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7D5DFCBD-B245-4FD3-B702-F63B15ABF590}" xr6:coauthVersionLast="47" xr6:coauthVersionMax="47" xr10:uidLastSave="{00000000-0000-0000-0000-000000000000}"/>
  <bookViews>
    <workbookView xWindow="-120" yWindow="-120" windowWidth="29040" windowHeight="14670" tabRatio="500" firstSheet="2" activeTab="3" xr2:uid="{00000000-000D-0000-FFFF-FFFF00000000}"/>
  </bookViews>
  <sheets>
    <sheet name="pb_calc_pre_2025" sheetId="1" r:id="rId1"/>
    <sheet name="2025_pb" sheetId="2" r:id="rId2"/>
    <sheet name="Sheet2" sheetId="15" r:id="rId3"/>
    <sheet name="2025_pb_2" sheetId="3" r:id="rId4"/>
    <sheet name="calculations" sheetId="14" r:id="rId5"/>
    <sheet name="SWAP Data Volumns" sheetId="6" r:id="rId6"/>
    <sheet name="Overview 2025" sheetId="4" r:id="rId7"/>
    <sheet name="Sheet37" sheetId="5" r:id="rId8"/>
    <sheet name="swap_rates" sheetId="7" r:id="rId9"/>
    <sheet name="swap_rates_2" sheetId="8" r:id="rId10"/>
    <sheet name="Sheet1" sheetId="9" r:id="rId11"/>
    <sheet name="status tracker" sheetId="10" r:id="rId12"/>
    <sheet name="totals" sheetId="11" r:id="rId13"/>
    <sheet name="22144-hibernation 2022 +" sheetId="12" r:id="rId14"/>
    <sheet name="24267_pepssi" sheetId="13" r:id="rId15"/>
  </sheets>
  <definedNames>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43" i="3" l="1"/>
  <c r="AB311" i="3"/>
  <c r="W327" i="3" l="1"/>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I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sharedStrings.xml><?xml version="1.0" encoding="utf-8"?>
<sst xmlns="http://schemas.openxmlformats.org/spreadsheetml/2006/main" count="19359" uniqueCount="4387">
  <si>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</si>
  <si>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</si>
  <si>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</si>
  <si>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</si>
  <si>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</si>
  <si>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</si>
  <si>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</si>
  <si>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</si>
  <si>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</si>
  <si>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</si>
  <si>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</si>
  <si>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</si>
  <si>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</si>
  <si>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</si>
  <si>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</si>
  <si>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</si>
  <si>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</si>
  <si>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</si>
  <si>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</si>
  <si>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</si>
  <si>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</si>
  <si>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</si>
  <si>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</si>
  <si>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</si>
  <si>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</si>
  <si>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</si>
  <si>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</si>
  <si>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</si>
  <si>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</si>
  <si>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</si>
  <si>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</si>
  <si>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</si>
  <si>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</si>
  <si>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</si>
  <si>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</si>
  <si>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</si>
  <si>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</si>
  <si>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</si>
  <si>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</si>
  <si>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</si>
  <si>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</si>
  <si>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</si>
  <si>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</si>
  <si>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</si>
  <si>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</si>
  <si>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</si>
  <si>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</si>
  <si>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</si>
  <si>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</si>
  <si>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</si>
  <si>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</si>
  <si>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</si>
  <si>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</si>
  <si>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</si>
  <si>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</si>
  <si>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</si>
  <si>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</si>
  <si>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</si>
  <si>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</si>
  <si>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</si>
  <si>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</si>
  <si>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</si>
  <si>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</si>
  <si>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</si>
  <si>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</si>
  <si>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</si>
  <si>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</si>
  <si>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</si>
  <si>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</si>
  <si>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</si>
  <si>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</si>
  <si>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</si>
  <si>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</si>
  <si>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</si>
  <si>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</si>
  <si>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</si>
  <si>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</si>
  <si>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</si>
  <si>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</si>
  <si>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</si>
  <si>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</si>
  <si>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</si>
  <si>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</si>
  <si>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</si>
  <si>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</si>
  <si>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</si>
  <si>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</si>
  <si>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</si>
  <si>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</si>
  <si>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</si>
  <si>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</si>
  <si>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</si>
  <si>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</si>
  <si>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</si>
  <si>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</si>
  <si>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</si>
  <si>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</si>
  <si>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</si>
  <si>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</si>
  <si>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</si>
  <si>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</si>
  <si>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</si>
  <si>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</si>
  <si>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</si>
  <si>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</si>
  <si>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</si>
  <si>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</si>
  <si>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</si>
  <si>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</si>
  <si>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</si>
  <si>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</si>
  <si>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</si>
  <si>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</si>
  <si>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</si>
  <si>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</si>
  <si>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</si>
  <si>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</si>
  <si>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</si>
  <si>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</si>
  <si>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</si>
  <si>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</si>
  <si>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</si>
  <si>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</si>
  <si>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</si>
  <si>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</si>
  <si>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</si>
  <si>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</si>
  <si>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</si>
  <si>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</si>
  <si>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</si>
  <si>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</si>
  <si>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</si>
  <si>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</si>
  <si>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</si>
  <si>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</si>
  <si>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</si>
  <si>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</si>
  <si>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</si>
  <si>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</si>
  <si>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</si>
  <si>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</si>
  <si>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</si>
  <si>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</si>
  <si>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</si>
  <si>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</si>
  <si>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</si>
  <si>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</si>
  <si>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</si>
  <si>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</si>
  <si>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</si>
  <si>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</si>
  <si>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</si>
  <si>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</si>
  <si>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</si>
  <si>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</si>
  <si>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</si>
  <si>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</si>
  <si>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</si>
  <si>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</si>
  <si>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</si>
  <si>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</si>
  <si>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</si>
  <si>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</si>
  <si>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</si>
  <si>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</si>
  <si>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</si>
  <si>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</si>
  <si>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</si>
  <si>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</si>
  <si>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</si>
  <si>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</si>
  <si>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</si>
  <si>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</si>
  <si>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</si>
  <si>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</si>
  <si>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</si>
  <si>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</si>
  <si>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</si>
  <si>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</si>
  <si>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</si>
  <si>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</si>
  <si>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</si>
  <si>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</si>
  <si>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</si>
  <si>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</si>
  <si>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</si>
  <si>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</si>
  <si>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</si>
  <si>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</si>
  <si>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</si>
  <si>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</si>
  <si>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</si>
  <si>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</si>
  <si>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</si>
  <si>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</si>
  <si>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</si>
  <si>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</si>
  <si>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</si>
  <si>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</si>
  <si>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</si>
  <si>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</si>
  <si>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</si>
  <si>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</si>
  <si>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</si>
  <si>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</si>
  <si>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</si>
  <si>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</si>
  <si>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</si>
  <si>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</si>
  <si>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</si>
  <si>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</si>
  <si>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</si>
  <si>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</si>
  <si>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</si>
  <si>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</si>
  <si>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</si>
  <si>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</si>
  <si>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</si>
  <si>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</si>
  <si>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</si>
  <si>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</si>
  <si>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</si>
  <si>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</si>
  <si>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</si>
  <si>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</si>
  <si>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</si>
  <si>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</si>
  <si>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</si>
  <si>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</si>
  <si>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</si>
  <si>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</si>
  <si>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</si>
  <si>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</si>
  <si>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</si>
  <si>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</si>
  <si>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</si>
  <si>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</si>
  <si>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</si>
  <si>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</si>
  <si>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</si>
  <si>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</si>
  <si>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</si>
  <si>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</si>
  <si>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</si>
  <si>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</si>
  <si>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</si>
  <si>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</si>
  <si>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</si>
  <si>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</si>
  <si>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</si>
  <si>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</si>
  <si>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</si>
  <si>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</si>
  <si>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</si>
  <si>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</si>
  <si>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</si>
  <si>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</si>
  <si>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</si>
  <si>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</si>
  <si>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</si>
  <si>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</si>
  <si>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</si>
  <si>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</si>
  <si>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</si>
  <si>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</si>
  <si>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</si>
  <si>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</si>
  <si>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</si>
  <si>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</si>
  <si>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</si>
  <si>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</si>
  <si>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</si>
  <si>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</si>
  <si>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</si>
  <si>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</si>
  <si>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</si>
  <si>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</si>
  <si>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</si>
  <si>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</si>
  <si>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</si>
  <si>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</si>
  <si>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</si>
  <si>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</si>
  <si>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</si>
  <si>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</si>
  <si>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</si>
  <si>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</si>
  <si>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</si>
  <si>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</si>
  <si>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</si>
  <si>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</si>
  <si>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</si>
  <si>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</si>
  <si>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</si>
  <si>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</si>
  <si>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</si>
  <si>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</si>
  <si>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</si>
  <si>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</si>
  <si>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</si>
  <si>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</si>
  <si>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</si>
  <si>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</si>
  <si>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</si>
  <si>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</si>
  <si>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</si>
  <si>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</si>
  <si>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</si>
  <si>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</si>
  <si>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</si>
  <si>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</si>
  <si>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</si>
  <si>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</si>
  <si>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</si>
  <si>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</si>
  <si>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</si>
  <si>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</si>
  <si>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</si>
  <si>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</si>
  <si>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</si>
  <si>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</si>
  <si>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</si>
  <si>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</si>
  <si>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</si>
  <si>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</si>
  <si>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</si>
  <si>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</si>
  <si>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</si>
  <si>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</si>
  <si>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</si>
  <si>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</si>
  <si>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</si>
  <si>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</si>
  <si>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</si>
  <si>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</si>
  <si>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</si>
  <si>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</si>
  <si>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</si>
  <si>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</si>
  <si>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</si>
  <si>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</si>
  <si>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</si>
  <si>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</si>
  <si>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</si>
  <si>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</si>
  <si>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</si>
  <si>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</si>
  <si>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</si>
  <si>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</si>
  <si>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</si>
  <si>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</si>
  <si>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</si>
  <si>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</si>
  <si>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</si>
  <si>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</si>
  <si>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</si>
  <si>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</si>
  <si>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</si>
  <si>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</si>
  <si>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</si>
  <si>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</si>
  <si>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</si>
  <si>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</si>
  <si>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</si>
  <si>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</si>
  <si>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</si>
  <si>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</si>
  <si>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</si>
  <si>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</si>
  <si>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</si>
  <si>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</si>
  <si>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</si>
  <si>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</si>
  <si>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</si>
  <si>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</si>
  <si>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</si>
  <si>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</si>
  <si>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</si>
  <si>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</si>
  <si>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</si>
  <si>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</si>
  <si>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</si>
  <si>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</si>
  <si>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</si>
  <si>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</si>
  <si>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</si>
  <si>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</si>
  <si>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</si>
  <si>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</si>
  <si>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</si>
  <si>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</si>
  <si>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</si>
  <si>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</si>
  <si>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</si>
  <si>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</si>
  <si>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</si>
  <si>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</si>
  <si>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</si>
  <si>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</si>
  <si>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</si>
  <si>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</si>
  <si>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</si>
  <si>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</si>
  <si>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</si>
  <si>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</si>
  <si>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</si>
  <si>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</si>
  <si>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</si>
  <si>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</si>
  <si>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</si>
  <si>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</si>
  <si>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</si>
  <si>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</si>
  <si>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</si>
  <si>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</si>
  <si>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</si>
  <si>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</si>
  <si>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</si>
  <si>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</si>
  <si>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</si>
  <si>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</si>
  <si>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</si>
  <si>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</si>
  <si>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</si>
  <si>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</si>
  <si>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</si>
  <si>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</si>
  <si>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</si>
  <si>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</si>
  <si>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</si>
  <si>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</si>
  <si>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</si>
  <si>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</si>
  <si>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</si>
  <si>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</si>
  <si>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</si>
  <si>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</si>
  <si>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</si>
  <si>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</si>
  <si>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</si>
  <si>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</si>
  <si>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</si>
  <si>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</si>
  <si>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</si>
  <si>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</si>
  <si>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</si>
  <si>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</si>
  <si>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</si>
  <si>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</si>
  <si>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</si>
  <si>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</si>
  <si>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</si>
  <si>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</si>
  <si>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</si>
  <si>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</si>
  <si>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</si>
  <si>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</si>
  <si>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</si>
  <si>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</si>
  <si>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</si>
  <si>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</si>
  <si>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</si>
  <si>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</si>
  <si>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</si>
  <si>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</si>
  <si>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</si>
  <si>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</si>
  <si>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</si>
  <si>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</si>
  <si>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</si>
  <si>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</si>
  <si>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</si>
  <si>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</si>
  <si>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</si>
  <si>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</si>
  <si>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</si>
  <si>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</si>
  <si>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</si>
  <si>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</si>
  <si>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</si>
  <si>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</si>
  <si>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</si>
  <si>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</si>
  <si>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</si>
  <si>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</si>
  <si>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</si>
  <si>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</si>
  <si>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</si>
  <si>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</si>
  <si>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</si>
  <si>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</si>
  <si>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</si>
  <si>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</si>
  <si>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</si>
  <si>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</si>
  <si>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</si>
  <si>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</si>
  <si>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</si>
  <si>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</si>
  <si>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</si>
  <si>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</si>
  <si>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</si>
  <si>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</si>
  <si>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</si>
  <si>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</si>
  <si>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</si>
  <si>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</si>
  <si>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</si>
  <si>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</si>
  <si>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</si>
  <si>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</si>
  <si>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</si>
  <si>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</si>
  <si>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</si>
  <si>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</si>
  <si>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</si>
  <si>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</si>
  <si>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</si>
  <si>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</si>
  <si>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</si>
  <si>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</si>
  <si>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</si>
  <si>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</si>
  <si>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</si>
  <si>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</si>
  <si>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</si>
  <si>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</si>
  <si>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</si>
  <si>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</si>
  <si>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</si>
  <si>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</si>
  <si>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</si>
  <si>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</si>
  <si>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</si>
  <si>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</si>
  <si>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</si>
  <si>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</si>
  <si>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</si>
  <si>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</si>
  <si>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</si>
  <si>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</si>
  <si>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</si>
  <si>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</si>
  <si>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</si>
  <si>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</si>
  <si>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</si>
  <si>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</si>
  <si>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</si>
  <si>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</si>
  <si>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</si>
  <si>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</si>
  <si>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</si>
  <si>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</si>
  <si>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</si>
  <si>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</si>
  <si>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</si>
  <si>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</si>
  <si>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</si>
  <si>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</si>
  <si>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</si>
  <si>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</si>
  <si>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</si>
  <si>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</si>
  <si>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</si>
  <si>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</si>
  <si>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</si>
  <si>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</si>
  <si>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</si>
  <si>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</si>
  <si>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</si>
  <si>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</si>
  <si>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</si>
  <si>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</si>
  <si>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</si>
  <si>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</si>
  <si>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</si>
  <si>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</si>
  <si>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</si>
  <si>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</si>
  <si>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</si>
  <si>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</si>
  <si>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</si>
  <si>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</si>
  <si>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</si>
  <si>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</si>
  <si>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</si>
  <si>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</si>
  <si>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</si>
  <si>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</si>
  <si>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</si>
  <si>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</si>
  <si>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</si>
  <si>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</si>
  <si>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</si>
  <si>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</si>
  <si>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</si>
  <si>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</si>
  <si>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</si>
  <si>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</si>
  <si>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</si>
  <si>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</si>
  <si>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</si>
  <si>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</si>
  <si>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</si>
  <si>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</si>
  <si>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</si>
  <si>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</si>
  <si>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</si>
  <si>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</si>
  <si>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</si>
  <si>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</si>
  <si>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</si>
  <si>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</si>
  <si>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</si>
  <si>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</si>
  <si>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</si>
  <si>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</si>
  <si>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</si>
  <si>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</si>
  <si>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</si>
  <si>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</si>
  <si>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</si>
  <si>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</si>
  <si>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</si>
  <si>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</si>
  <si>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</si>
  <si>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</si>
  <si>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</si>
  <si>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</si>
  <si>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</si>
  <si>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</si>
  <si>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</si>
  <si>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</si>
  <si>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</si>
  <si>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</si>
  <si>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</si>
  <si>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</si>
  <si>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</si>
  <si>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</si>
  <si>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</si>
  <si>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</si>
  <si>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</si>
  <si>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</si>
  <si>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</si>
  <si>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</si>
  <si>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</si>
  <si>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</si>
  <si>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</si>
  <si>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</si>
  <si>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</si>
  <si>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</si>
  <si>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</si>
  <si>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</si>
  <si>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</si>
  <si>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</si>
  <si>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</si>
  <si>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</si>
  <si>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</si>
  <si>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</si>
  <si>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</si>
  <si>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</si>
  <si>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</si>
  <si>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</si>
  <si>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</si>
  <si>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</si>
  <si>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</si>
  <si>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</si>
  <si>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</si>
  <si>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</si>
  <si>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</si>
  <si>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</si>
  <si>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</si>
  <si>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</si>
  <si>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</si>
  <si>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</si>
  <si>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</si>
  <si>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</si>
  <si>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</si>
  <si>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</si>
  <si>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</si>
  <si>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</si>
  <si>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</si>
  <si>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</si>
  <si>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</si>
  <si>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</si>
  <si>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</si>
  <si>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</si>
  <si>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</si>
  <si>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</si>
  <si>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</si>
  <si>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</si>
  <si>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</si>
  <si>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</si>
  <si>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</si>
  <si>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</si>
  <si>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</si>
  <si>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</si>
  <si>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</si>
  <si>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</si>
  <si>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</si>
  <si>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</si>
  <si>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</si>
  <si>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</si>
  <si>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</si>
  <si>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</si>
  <si>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</si>
  <si>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</si>
  <si>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</si>
  <si>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</si>
  <si>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</si>
  <si>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</si>
  <si>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</si>
  <si>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</si>
  <si>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</si>
  <si>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</si>
  <si>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</si>
  <si>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</si>
  <si>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</si>
  <si>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</si>
  <si>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</si>
  <si>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</si>
  <si>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</si>
  <si>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</si>
  <si>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</si>
  <si>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</si>
  <si>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</si>
  <si>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</si>
  <si>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</si>
  <si>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</si>
  <si>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</si>
  <si>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</si>
  <si>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</si>
  <si>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</si>
  <si>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</si>
  <si>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</si>
  <si>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</si>
  <si>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</si>
  <si>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</si>
  <si>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</si>
  <si>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</si>
  <si>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</si>
  <si>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</si>
  <si>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</si>
  <si>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</si>
  <si>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</si>
  <si>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</si>
  <si>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</si>
  <si>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</si>
  <si>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</si>
  <si>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</si>
  <si>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</si>
  <si>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</si>
  <si>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</si>
  <si>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</si>
  <si>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</si>
  <si>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</si>
  <si>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</si>
  <si>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</si>
  <si>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</si>
  <si>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</si>
  <si>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</si>
  <si>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</si>
  <si>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</si>
  <si>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</si>
  <si>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</si>
  <si>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</si>
  <si>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</si>
  <si>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</si>
  <si>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</si>
  <si>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</si>
  <si>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</si>
  <si>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</si>
  <si>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</si>
  <si>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</si>
  <si>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</si>
  <si>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</si>
  <si>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</si>
  <si>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</si>
  <si>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</si>
  <si>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</si>
  <si>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</si>
  <si>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</si>
  <si>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</si>
  <si>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</si>
  <si>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</si>
  <si>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</si>
  <si>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</si>
  <si>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</si>
  <si>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</si>
  <si>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</si>
  <si>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</si>
  <si>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</si>
  <si>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</si>
  <si>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</si>
  <si>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</si>
  <si>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</si>
  <si>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</si>
  <si>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</si>
  <si>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</si>
  <si>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</si>
  <si>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</si>
  <si>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</si>
  <si>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</si>
  <si>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</si>
  <si>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</si>
  <si>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</si>
  <si>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</si>
  <si>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</si>
  <si>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</si>
  <si>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</si>
  <si>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</si>
  <si>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</si>
  <si>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</si>
  <si>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</si>
  <si>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</si>
  <si>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</si>
  <si>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</si>
  <si>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</si>
  <si>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</si>
  <si>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</si>
  <si>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</si>
  <si>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</si>
  <si>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</si>
  <si>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</si>
  <si>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</si>
  <si>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</si>
  <si>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</si>
  <si>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</si>
  <si>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</si>
  <si>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</si>
  <si>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</si>
  <si>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</si>
  <si>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</si>
  <si>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</si>
  <si>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</si>
  <si>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</si>
  <si>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</si>
  <si>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</si>
  <si>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</si>
  <si>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</si>
  <si>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</si>
  <si>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</si>
  <si>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</si>
  <si>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</si>
  <si>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</si>
  <si>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</si>
  <si>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</si>
  <si>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</si>
  <si>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</si>
  <si>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</si>
  <si>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</si>
  <si>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</si>
  <si>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</si>
  <si>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</si>
  <si>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</si>
  <si>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</si>
  <si>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</si>
  <si>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</si>
  <si>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</si>
  <si>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</si>
  <si>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</si>
  <si>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</si>
  <si>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</si>
  <si>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</si>
  <si>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</si>
  <si>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</si>
  <si>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</si>
  <si>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</si>
  <si>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</si>
  <si>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</si>
  <si>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</si>
  <si>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</si>
  <si>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</si>
  <si>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</si>
  <si>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</si>
  <si>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</si>
  <si>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</si>
  <si>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</si>
  <si>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</si>
  <si>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</si>
  <si>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</si>
  <si>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</si>
  <si>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</si>
  <si>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</si>
  <si>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</si>
  <si>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</si>
  <si>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</si>
  <si>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</si>
  <si>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</si>
  <si>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</si>
  <si>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</si>
  <si>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</si>
  <si>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</si>
  <si>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</si>
  <si>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</si>
  <si>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</si>
  <si>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</si>
  <si>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</si>
  <si>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</si>
  <si>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</si>
  <si>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</si>
  <si>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</si>
  <si>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</si>
  <si>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</si>
  <si>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</si>
  <si>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</si>
  <si>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</si>
  <si>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</si>
  <si>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</si>
  <si>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</si>
  <si>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</si>
  <si>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</si>
  <si>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</si>
  <si>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</si>
  <si>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</si>
  <si>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</si>
  <si>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</si>
  <si>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</si>
  <si>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</si>
  <si>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</si>
  <si>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</si>
  <si>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</si>
  <si>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</si>
  <si>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</si>
  <si>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</si>
  <si>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</si>
  <si>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</si>
  <si>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</si>
  <si>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</si>
  <si>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</si>
  <si>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</si>
  <si>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</si>
  <si>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</si>
  <si>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</si>
  <si>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</si>
  <si>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</si>
  <si>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</si>
  <si>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</si>
  <si>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</si>
  <si>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</si>
  <si>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</si>
  <si>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</si>
  <si>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</si>
  <si>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</si>
  <si>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</si>
  <si>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</si>
  <si>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</si>
  <si>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</si>
  <si>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</si>
  <si>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</si>
  <si>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</si>
  <si>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</si>
  <si>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</si>
  <si>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</si>
  <si>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</si>
  <si>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</si>
  <si>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</si>
  <si>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</si>
  <si>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</si>
  <si>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</si>
  <si>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</si>
  <si>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</si>
  <si>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</si>
  <si>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</si>
  <si>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</si>
  <si>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</si>
  <si>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</si>
  <si>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</si>
  <si>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</si>
  <si>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</si>
  <si>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</si>
  <si>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</si>
  <si>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</si>
  <si>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</si>
  <si>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</si>
  <si>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</si>
  <si>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</si>
  <si>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</si>
  <si>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</si>
  <si>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</si>
  <si>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</si>
  <si>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</si>
  <si>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</si>
  <si>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</si>
  <si>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</si>
  <si>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</si>
  <si>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</si>
  <si>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</si>
  <si>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</si>
  <si>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</si>
  <si>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</si>
  <si>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</si>
  <si>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</si>
  <si>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</si>
  <si>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</si>
  <si>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</si>
  <si>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</si>
  <si>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</si>
  <si>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</si>
  <si>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</si>
  <si>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</si>
  <si>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</si>
  <si>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</si>
  <si>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</si>
  <si>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</si>
  <si>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</si>
  <si>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</si>
  <si>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</si>
  <si>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</si>
  <si>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</si>
  <si>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</si>
  <si>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</si>
  <si>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</si>
  <si>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</si>
  <si>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</si>
  <si>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</si>
  <si>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</si>
  <si>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</si>
  <si>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</si>
  <si>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</si>
  <si>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</si>
  <si>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</si>
  <si>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</si>
  <si>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</si>
  <si>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</si>
  <si>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</si>
  <si>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</si>
  <si>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</si>
  <si>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</si>
  <si>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</si>
  <si>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</si>
  <si>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</si>
  <si>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</si>
  <si>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</si>
  <si>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</si>
  <si>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</si>
  <si>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</si>
  <si>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</si>
  <si>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</si>
  <si>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</si>
  <si>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</si>
  <si>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</si>
  <si>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</si>
  <si>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</si>
  <si>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</si>
  <si>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</si>
  <si>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</si>
  <si>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</si>
  <si>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</si>
  <si>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</si>
  <si>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</si>
  <si>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</si>
  <si>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</si>
  <si>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</si>
  <si>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</si>
  <si>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</si>
  <si>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</si>
  <si>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</si>
  <si>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</si>
  <si>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</si>
  <si>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</si>
  <si>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</si>
  <si>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</si>
  <si>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</si>
  <si>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</si>
  <si>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</si>
  <si>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</si>
  <si>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</si>
  <si>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</si>
  <si>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</si>
  <si>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</si>
  <si>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</si>
  <si>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</si>
  <si>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</si>
  <si>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</si>
  <si>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</si>
  <si>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</si>
  <si>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</si>
  <si>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</si>
  <si>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</si>
  <si>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</si>
  <si>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</si>
  <si>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</si>
  <si>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</si>
  <si>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</si>
  <si>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</si>
  <si>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</si>
  <si>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</si>
  <si>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</si>
  <si>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</si>
  <si>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</si>
  <si>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</si>
  <si>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</si>
  <si>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</si>
  <si>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</si>
  <si>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</si>
  <si>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</si>
  <si>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</si>
  <si>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</si>
  <si>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</si>
  <si>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</si>
  <si>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</si>
  <si>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</si>
  <si>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</si>
  <si>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</si>
  <si>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</si>
  <si>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</si>
  <si>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</si>
  <si>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</si>
  <si>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</si>
  <si>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</si>
  <si>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</si>
  <si>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</si>
  <si>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</si>
  <si>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</si>
  <si>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</si>
  <si>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</si>
  <si>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</si>
  <si>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</si>
  <si>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</si>
  <si>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</si>
  <si>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</si>
  <si>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</si>
  <si>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</si>
  <si>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</si>
  <si>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</si>
  <si>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</si>
  <si>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</si>
  <si>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</si>
  <si>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</si>
  <si>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</si>
  <si>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</si>
  <si>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</si>
  <si>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</si>
  <si>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</si>
  <si>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</si>
  <si>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</si>
  <si>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</si>
  <si>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</si>
  <si>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</si>
  <si>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</si>
  <si>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</si>
  <si>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</si>
  <si>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</si>
  <si>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</si>
  <si>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</si>
  <si>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</si>
  <si>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</si>
  <si>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</si>
  <si>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</si>
  <si>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</si>
  <si>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</si>
  <si>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</si>
  <si>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</si>
  <si>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</si>
  <si>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</si>
  <si>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</si>
  <si>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</si>
  <si>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</si>
  <si>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</si>
  <si>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</si>
  <si>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</si>
  <si>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</si>
  <si>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</si>
  <si>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</si>
  <si>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</si>
  <si>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</si>
  <si>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</si>
  <si>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</si>
  <si>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</si>
  <si>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</si>
  <si>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</si>
  <si>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</si>
  <si>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</si>
  <si>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</si>
  <si>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</si>
  <si>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</si>
  <si>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</si>
  <si>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</si>
  <si>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</si>
  <si>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</si>
  <si>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</si>
  <si>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</si>
  <si>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</si>
  <si>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</si>
  <si>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</si>
  <si>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</si>
  <si>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</si>
  <si>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</si>
  <si>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</si>
  <si>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</si>
  <si>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</si>
  <si>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</si>
  <si>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</si>
  <si>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</si>
  <si>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</si>
  <si>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</si>
  <si>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</si>
  <si>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</si>
  <si>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</si>
  <si>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</si>
  <si>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</si>
  <si>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</si>
  <si>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</si>
  <si>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</si>
  <si>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</si>
  <si>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</si>
  <si>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</si>
  <si>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</si>
  <si>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</si>
  <si>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</si>
  <si>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</si>
  <si>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</si>
  <si>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</si>
  <si>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</si>
  <si>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</si>
  <si>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</si>
  <si>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</si>
  <si>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</si>
  <si>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</si>
  <si>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</si>
  <si>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</si>
  <si>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</si>
  <si>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</si>
  <si>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</si>
  <si>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</si>
  <si>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</si>
  <si>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</si>
  <si>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</si>
  <si>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</si>
  <si>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</si>
  <si>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</si>
  <si>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</si>
  <si>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</si>
  <si>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</si>
  <si>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</si>
  <si>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</si>
  <si>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</si>
  <si>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</si>
  <si>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</si>
  <si>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</si>
  <si>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</si>
  <si>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</si>
  <si>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</si>
  <si>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</si>
  <si>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</si>
  <si>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</si>
  <si>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</si>
  <si>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</si>
  <si>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</si>
  <si>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</si>
  <si>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</si>
  <si>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</si>
  <si>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</si>
  <si>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</si>
  <si>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</si>
  <si>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</si>
  <si>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</si>
  <si>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</si>
  <si>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</si>
  <si>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</si>
  <si>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</si>
  <si>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</si>
  <si>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</si>
  <si>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</si>
  <si>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</si>
  <si>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</si>
  <si>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</si>
  <si>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</si>
  <si>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</si>
  <si>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</si>
  <si>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</si>
  <si>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</si>
  <si>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</si>
  <si>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</si>
  <si>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</si>
  <si>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</si>
  <si>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</si>
  <si>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</si>
  <si>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</si>
  <si>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</si>
  <si>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</si>
  <si>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</si>
  <si>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</si>
  <si>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</si>
  <si>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</si>
  <si>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</si>
  <si>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</si>
  <si>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</si>
  <si>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</si>
  <si>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</si>
  <si>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</si>
  <si>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</si>
  <si>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</si>
  <si>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</si>
  <si>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</si>
  <si>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</si>
  <si>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</si>
  <si>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</si>
  <si>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</si>
  <si>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</si>
  <si>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</si>
  <si>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</si>
  <si>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</si>
  <si>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</si>
  <si>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</si>
  <si>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</si>
  <si>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</si>
  <si>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</si>
  <si>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</si>
  <si>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</si>
  <si>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</si>
  <si>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</si>
  <si>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</si>
  <si>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</si>
  <si>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</si>
  <si>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</si>
  <si>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</si>
  <si>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</si>
  <si>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</si>
  <si>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</si>
  <si>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</si>
  <si>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</si>
  <si>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</si>
  <si>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</si>
  <si>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</si>
  <si>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</si>
  <si>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</si>
  <si>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</si>
  <si>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</si>
  <si>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</si>
  <si>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</si>
  <si>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</si>
  <si>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</si>
  <si>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</si>
  <si>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</si>
  <si>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</si>
  <si>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</si>
  <si>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</si>
  <si>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</si>
  <si>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</si>
  <si>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</si>
  <si>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</si>
  <si>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</si>
  <si>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</si>
  <si>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</si>
  <si>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</si>
  <si>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</si>
  <si>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</si>
  <si>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</si>
  <si>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</si>
  <si>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</si>
  <si>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</si>
  <si>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</si>
  <si>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</si>
  <si>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</si>
  <si>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</si>
  <si>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</si>
  <si>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</si>
  <si>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</si>
  <si>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</si>
  <si>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</si>
  <si>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</si>
  <si>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</si>
  <si>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</si>
  <si>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</si>
  <si>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</si>
  <si>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</si>
  <si>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</si>
  <si>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</si>
  <si>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</si>
  <si>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</si>
  <si>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</si>
  <si>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</si>
  <si>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</si>
  <si>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</si>
  <si>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</si>
  <si>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</si>
  <si>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</si>
  <si>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</si>
  <si>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</si>
  <si>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</si>
  <si>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</si>
  <si>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</si>
  <si>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</si>
  <si>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</si>
  <si>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</si>
  <si>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</si>
  <si>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</si>
  <si>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</si>
  <si>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</si>
  <si>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</si>
  <si>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</si>
  <si>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</si>
  <si>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</si>
  <si>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</si>
  <si>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</si>
  <si>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</si>
  <si>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</si>
  <si>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</si>
  <si>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</si>
  <si>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</si>
  <si>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</si>
  <si>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</si>
  <si>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</si>
  <si>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</si>
  <si>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</si>
  <si>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</si>
  <si>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</si>
  <si>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</si>
  <si>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</si>
  <si>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</si>
  <si>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</si>
  <si>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</si>
  <si>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</si>
  <si>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</si>
  <si>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</si>
  <si>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</si>
  <si>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</si>
  <si>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</si>
  <si>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</si>
  <si>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</si>
  <si>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</si>
  <si>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</si>
  <si>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</si>
  <si>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</si>
  <si>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</si>
  <si>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</si>
  <si>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</si>
  <si>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</si>
  <si>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</si>
  <si>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</si>
  <si>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</si>
  <si>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</si>
  <si>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</si>
  <si>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</si>
  <si>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</si>
  <si>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</si>
  <si>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</si>
  <si>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</si>
  <si>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</si>
  <si>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</si>
  <si>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</si>
  <si>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</si>
  <si>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</si>
  <si>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</si>
  <si>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</si>
  <si>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</si>
  <si>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</si>
  <si>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</si>
  <si>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</si>
  <si>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</si>
  <si>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</si>
  <si>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</si>
  <si>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</si>
  <si>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</si>
  <si>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</si>
  <si>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</si>
  <si>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</si>
  <si>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</si>
  <si>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</si>
  <si>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</si>
  <si>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</si>
  <si>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</si>
  <si>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</si>
  <si>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</si>
  <si>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</si>
  <si>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</si>
  <si>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</si>
  <si>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</si>
  <si>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</si>
  <si>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</si>
  <si>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</si>
  <si>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</si>
  <si>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</si>
  <si>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</si>
  <si>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</si>
  <si>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</si>
  <si>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</si>
  <si>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</si>
  <si>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</si>
  <si>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</si>
  <si>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</si>
  <si>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</si>
  <si>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</si>
  <si>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</si>
  <si>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</si>
  <si>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</si>
  <si>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</si>
  <si>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</si>
  <si>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</si>
  <si>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</si>
  <si>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</si>
  <si>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</si>
  <si>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</si>
  <si>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</si>
  <si>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</si>
  <si>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</si>
  <si>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</si>
  <si>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</si>
  <si>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</si>
  <si>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</si>
  <si>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</si>
  <si>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</si>
  <si>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</si>
  <si>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</si>
  <si>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</si>
  <si>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</si>
  <si>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</si>
  <si>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</si>
  <si>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</si>
  <si>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</si>
  <si>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</si>
  <si>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</si>
  <si>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</si>
  <si>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</si>
  <si>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</si>
  <si>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</si>
  <si>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</si>
  <si>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</si>
  <si>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</si>
  <si>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</si>
  <si>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</si>
  <si>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</si>
  <si>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</si>
  <si>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</si>
  <si>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</si>
  <si>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</si>
  <si>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</si>
  <si>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</si>
  <si>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</si>
  <si>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</si>
  <si>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</si>
  <si>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</si>
  <si>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</si>
  <si>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</si>
  <si>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</si>
  <si>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</si>
  <si>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</si>
  <si>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</si>
  <si>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</si>
  <si>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</si>
  <si>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</si>
  <si>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</si>
  <si>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</si>
  <si>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</si>
  <si>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</si>
  <si>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</si>
  <si>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2d</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</si>
  <si>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</si>
  <si>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</si>
  <si>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</si>
  <si>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</si>
  <si>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</si>
  <si>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</si>
  <si>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</si>
  <si>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</si>
  <si>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</si>
  <si>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</si>
  <si>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</si>
  <si>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</si>
  <si>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</si>
  <si>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</si>
  <si>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</si>
  <si>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</si>
  <si>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</si>
  <si>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</si>
  <si>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</si>
  <si>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</si>
  <si>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</si>
  <si>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</si>
  <si>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</si>
  <si>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</si>
  <si>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</si>
  <si>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</si>
  <si>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</si>
  <si>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</si>
  <si>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</si>
  <si>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</si>
  <si>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</si>
  <si>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</si>
  <si>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</si>
  <si>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</si>
  <si>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</si>
  <si>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</si>
  <si>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</si>
  <si>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</si>
  <si>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</si>
  <si>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</si>
  <si>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</si>
  <si>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</si>
  <si>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</si>
  <si>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</si>
  <si>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</si>
  <si>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</si>
  <si>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</si>
  <si>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</si>
  <si>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</si>
  <si>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</si>
  <si>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</si>
  <si>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</si>
  <si>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</si>
  <si>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</si>
  <si>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</si>
  <si>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</si>
  <si>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</si>
  <si>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</si>
  <si>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</si>
  <si>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</si>
  <si>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</si>
  <si>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</si>
  <si>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</si>
  <si>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</si>
  <si>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</si>
  <si>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</si>
  <si>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</si>
  <si>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</si>
  <si>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</si>
  <si>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</si>
  <si>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</si>
  <si>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</si>
  <si>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</si>
  <si>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</si>
  <si>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</si>
  <si>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</si>
  <si>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</si>
  <si>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</si>
  <si>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</si>
  <si>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</si>
  <si>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</si>
  <si>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</si>
  <si>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</si>
  <si>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</si>
  <si>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</si>
  <si>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</si>
  <si>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</si>
  <si>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</si>
  <si>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</si>
  <si>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</si>
  <si>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</si>
  <si>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</si>
  <si>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</si>
  <si>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</si>
  <si>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</si>
  <si>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</si>
  <si>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</si>
  <si>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</si>
  <si>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</si>
  <si>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</si>
  <si>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</si>
  <si>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</si>
  <si>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</si>
  <si>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</si>
  <si>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</si>
  <si>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</si>
  <si>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</si>
  <si>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</si>
  <si>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</si>
  <si>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</si>
  <si>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</si>
  <si>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</si>
  <si>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</si>
  <si>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</si>
  <si>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</si>
  <si>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</si>
  <si>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</si>
  <si>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</si>
  <si>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</si>
  <si>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</si>
  <si>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</si>
  <si>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</si>
  <si>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</si>
  <si>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</si>
  <si>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</si>
  <si>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</si>
  <si>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</si>
  <si>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</si>
  <si>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</si>
  <si>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</si>
  <si>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</si>
  <si>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</si>
  <si>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</si>
  <si>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</si>
  <si>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</si>
  <si>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</si>
  <si>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</si>
  <si>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</si>
  <si>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</si>
  <si>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</si>
  <si>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</si>
  <si>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</si>
  <si>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</si>
  <si>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</si>
  <si>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</si>
  <si>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</si>
  <si>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</si>
  <si>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</si>
  <si>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</si>
  <si>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</si>
  <si>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</si>
  <si>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</si>
  <si>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</si>
  <si>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</si>
  <si>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</si>
  <si>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</si>
  <si>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</si>
  <si>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</si>
  <si>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</si>
  <si>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</si>
  <si>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</si>
  <si>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</si>
  <si>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</si>
  <si>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</si>
  <si>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</si>
  <si>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</si>
  <si>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</si>
  <si>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</si>
  <si>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</si>
  <si>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</si>
  <si>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</si>
  <si>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</si>
  <si>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</si>
  <si>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</si>
  <si>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</si>
  <si>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</si>
  <si>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</si>
  <si>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</si>
  <si>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</si>
  <si>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</si>
  <si>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</si>
  <si>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</si>
  <si>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</si>
  <si>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</si>
  <si>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</si>
  <si>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</si>
  <si>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</si>
  <si>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</si>
  <si>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</si>
  <si>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</si>
  <si>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</si>
  <si>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</si>
  <si>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</si>
  <si>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</si>
  <si>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</si>
  <si>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</si>
  <si>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</si>
  <si>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</si>
  <si>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</si>
  <si>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</si>
  <si>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</si>
  <si>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</si>
  <si>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</si>
  <si>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</si>
  <si>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</si>
  <si>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</si>
  <si>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</si>
  <si>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</si>
  <si>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</si>
  <si>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</si>
  <si>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</si>
  <si>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</si>
  <si>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</si>
  <si>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</si>
  <si>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</si>
  <si>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</si>
  <si>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</si>
  <si>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</si>
  <si>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</si>
  <si>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</si>
  <si>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</si>
  <si>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</si>
  <si>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</si>
  <si>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</si>
  <si>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</si>
  <si>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</si>
  <si>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</si>
  <si>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</si>
  <si>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</si>
  <si>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</si>
  <si>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</si>
  <si>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</si>
  <si>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</si>
  <si>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</si>
  <si>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</si>
  <si>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</si>
  <si>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</si>
  <si>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</si>
  <si>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</si>
  <si>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</si>
  <si>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</si>
  <si>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</si>
  <si>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</si>
  <si>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</si>
  <si>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</si>
  <si>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</si>
  <si>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</si>
  <si>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</si>
  <si>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</si>
  <si>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</si>
  <si>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</si>
  <si>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</si>
  <si>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</si>
  <si>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</si>
  <si>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</si>
  <si>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</si>
  <si>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</si>
  <si>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</si>
  <si>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</si>
  <si>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</si>
  <si>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</si>
  <si>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</si>
  <si>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</si>
  <si>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</si>
  <si>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</si>
  <si>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</si>
  <si>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</si>
  <si>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</si>
  <si>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</si>
  <si>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</si>
  <si>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</si>
  <si>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</si>
  <si>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</si>
  <si>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</si>
  <si>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</si>
  <si>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</si>
  <si>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</si>
  <si>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</si>
  <si>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</si>
  <si>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</si>
  <si>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</si>
  <si>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</si>
  <si>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</si>
  <si>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</si>
  <si>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</si>
  <si>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</si>
  <si>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</si>
  <si>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</si>
  <si>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</si>
  <si>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</si>
  <si>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</si>
  <si>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</si>
  <si>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</si>
  <si>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</si>
  <si>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</si>
  <si>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</si>
  <si>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</si>
  <si>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</si>
  <si>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</si>
  <si>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</si>
  <si>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</si>
  <si>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</si>
  <si>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</si>
  <si>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</si>
  <si>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</si>
  <si>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</si>
  <si>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</si>
  <si>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</si>
  <si>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</si>
  <si>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</si>
  <si>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</si>
  <si>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</si>
  <si>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</si>
  <si>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</si>
  <si>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</si>
  <si>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</si>
  <si>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</si>
  <si>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</si>
  <si>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</si>
  <si>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</si>
  <si>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</si>
  <si>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</si>
  <si>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</si>
  <si>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</si>
  <si>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</si>
  <si>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</si>
  <si>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</si>
  <si>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</si>
  <si>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</si>
  <si>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</si>
  <si>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</si>
  <si>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</si>
  <si>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</si>
  <si>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</si>
  <si>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</si>
  <si>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</si>
  <si>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</si>
  <si>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</si>
  <si>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</si>
  <si>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</si>
  <si>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</si>
  <si>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</si>
  <si>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</si>
  <si>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</si>
  <si>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</si>
  <si>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</si>
  <si>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</si>
  <si>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</si>
  <si>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</si>
  <si>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</si>
  <si>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</si>
  <si>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</si>
  <si>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</si>
  <si>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</si>
  <si>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</si>
  <si>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</si>
  <si>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</si>
  <si>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</si>
  <si>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</si>
  <si>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</si>
  <si>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</si>
  <si>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</si>
  <si>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</si>
  <si>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</si>
  <si>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</si>
  <si>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</si>
  <si>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</si>
  <si>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</si>
  <si>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</si>
  <si>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</si>
  <si>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</si>
  <si>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</si>
  <si>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</si>
  <si>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</si>
  <si>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</si>
  <si>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</si>
  <si>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</si>
  <si>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</si>
  <si>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</si>
  <si>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</si>
  <si>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</si>
  <si>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</si>
  <si>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</si>
  <si>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</si>
  <si>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</si>
  <si>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</si>
  <si>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</si>
  <si>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</si>
  <si>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</si>
  <si>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</si>
  <si>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</si>
  <si>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</si>
  <si>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</si>
  <si>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</si>
  <si>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</si>
  <si>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</si>
  <si>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</si>
  <si>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</si>
  <si>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</si>
  <si>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</si>
  <si>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</si>
  <si>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</si>
  <si>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</si>
  <si>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</si>
  <si>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</si>
  <si>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</si>
  <si>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</si>
  <si>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</si>
  <si>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</si>
  <si>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</si>
  <si>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</si>
  <si>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</si>
  <si>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</si>
  <si>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</si>
  <si>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</si>
  <si>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</si>
  <si>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</si>
  <si>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</si>
  <si>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</si>
  <si>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</si>
  <si>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</si>
  <si>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</si>
  <si>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</si>
  <si>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</si>
  <si>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</si>
  <si>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</si>
  <si>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</si>
  <si>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</si>
  <si>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</si>
  <si>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</si>
  <si>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</si>
  <si>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</si>
  <si>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</si>
  <si>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</si>
  <si>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</si>
  <si>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</si>
  <si>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</si>
  <si>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</si>
  <si>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</si>
  <si>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</si>
  <si>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</si>
  <si>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</si>
  <si>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</si>
  <si>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</si>
  <si>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</si>
  <si>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</si>
  <si>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</si>
  <si>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</si>
  <si>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</si>
  <si>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</si>
  <si>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</si>
  <si>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</si>
  <si>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</si>
  <si>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</si>
  <si>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</si>
  <si>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</si>
  <si>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</si>
  <si>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</si>
  <si>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</si>
  <si>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</si>
  <si>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</si>
  <si>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</si>
  <si>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</si>
  <si>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</si>
  <si>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</si>
  <si>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</si>
  <si>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</si>
  <si>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</si>
  <si>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</si>
  <si>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</si>
  <si>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</si>
  <si>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</si>
  <si>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</si>
  <si>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</si>
  <si>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</si>
  <si>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</si>
  <si>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</si>
  <si>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</si>
  <si>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</si>
  <si>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</si>
  <si>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</si>
  <si>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</si>
  <si>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</si>
  <si>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</si>
  <si>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</si>
  <si>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</si>
  <si>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</si>
  <si>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</si>
  <si>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</si>
  <si>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</si>
  <si>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</si>
  <si>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</si>
  <si>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</si>
  <si>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</si>
  <si>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</si>
  <si>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</si>
  <si>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</si>
  <si>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</si>
  <si>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</si>
  <si>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</si>
  <si>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</si>
  <si>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</si>
  <si>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</si>
  <si>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</si>
  <si>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</si>
  <si>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</si>
  <si>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</si>
  <si>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</si>
  <si>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</si>
  <si>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</si>
  <si>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</si>
  <si>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</si>
  <si>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</si>
  <si>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</si>
  <si>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</si>
  <si>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</si>
  <si>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</si>
  <si>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</si>
  <si>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</si>
  <si>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</si>
  <si>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</si>
  <si>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</si>
  <si>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</si>
  <si>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</si>
  <si>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</si>
  <si>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</si>
  <si>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</si>
  <si>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</si>
  <si>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</si>
  <si>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</si>
  <si>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</si>
  <si>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</si>
  <si>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</si>
  <si>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</si>
  <si>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</si>
  <si>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</si>
  <si>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</si>
  <si>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</si>
  <si>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</si>
  <si>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</si>
  <si>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</si>
  <si>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</si>
  <si>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</si>
  <si>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</si>
  <si>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</si>
  <si>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</si>
  <si>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</si>
  <si>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</si>
  <si>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</si>
  <si>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</si>
  <si>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</si>
  <si>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</si>
  <si>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</si>
  <si>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</si>
  <si>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</si>
  <si>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</si>
  <si>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</si>
  <si>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</si>
  <si>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</si>
  <si>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</si>
  <si>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</si>
  <si>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</si>
  <si>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</si>
  <si>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</si>
  <si>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</si>
  <si>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</si>
  <si>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</si>
  <si>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</si>
  <si>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</si>
  <si>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</si>
  <si>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</si>
  <si>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</si>
  <si>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</si>
  <si>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</si>
  <si>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</si>
  <si>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</si>
  <si>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</si>
  <si>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</si>
  <si>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</si>
  <si>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</si>
  <si>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</si>
  <si>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</si>
  <si>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</si>
  <si>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</si>
  <si>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</si>
  <si>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</si>
  <si>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</si>
  <si>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</si>
  <si>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</si>
  <si>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</si>
  <si>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</si>
  <si>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</si>
  <si>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</si>
  <si>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</si>
  <si>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</si>
  <si>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</si>
  <si>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</si>
  <si>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</si>
  <si>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</si>
  <si>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</si>
  <si>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</si>
  <si>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</si>
  <si>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</si>
  <si>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</si>
  <si>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</si>
  <si>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</si>
  <si>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</si>
  <si>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</si>
  <si>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</si>
  <si>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</si>
  <si>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</si>
  <si>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</si>
  <si>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</si>
  <si>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</si>
  <si>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</si>
  <si>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</si>
  <si>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</si>
  <si>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</si>
  <si>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</si>
  <si>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</si>
  <si>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</si>
  <si>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</si>
  <si>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</si>
  <si>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</si>
  <si>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</si>
  <si>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</si>
  <si>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</si>
  <si>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</si>
  <si>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</si>
  <si>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</si>
  <si>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</si>
  <si>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</si>
  <si>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</si>
  <si>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</si>
  <si>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</si>
  <si>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</si>
  <si>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</si>
  <si>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</si>
  <si>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</si>
  <si>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</si>
  <si>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</si>
  <si>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</si>
  <si>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</si>
  <si>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</si>
  <si>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</si>
  <si>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</si>
  <si>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</si>
  <si>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</si>
  <si>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</si>
  <si>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</si>
  <si>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</si>
  <si>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</si>
  <si>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</si>
  <si>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</si>
  <si>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</si>
  <si>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</si>
  <si>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</si>
  <si>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</si>
  <si>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</si>
  <si>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</si>
  <si>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</si>
  <si>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</si>
  <si>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</si>
  <si>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</si>
  <si>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</si>
  <si>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</si>
  <si>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</si>
  <si>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</si>
  <si>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</si>
  <si>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</si>
  <si>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</si>
  <si>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</si>
  <si>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</si>
  <si>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</si>
  <si>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</si>
  <si>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</si>
  <si>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</si>
  <si>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</si>
  <si>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</si>
  <si>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</si>
  <si>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</si>
  <si>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</si>
  <si>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</si>
  <si>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</si>
  <si>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</si>
  <si>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</si>
  <si>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</si>
  <si>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</si>
  <si>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</si>
  <si>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</si>
  <si>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</si>
  <si>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</si>
  <si>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</si>
  <si>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</si>
  <si>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</si>
  <si>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</si>
  <si>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</si>
  <si>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</si>
  <si>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</si>
  <si>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</si>
  <si>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</si>
  <si>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</si>
  <si>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</si>
  <si>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</si>
  <si>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</si>
  <si>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</si>
  <si>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</si>
  <si>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</si>
  <si>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</si>
  <si>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</si>
  <si>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</si>
  <si>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</si>
  <si>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</si>
  <si>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</si>
  <si>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</si>
  <si>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</si>
  <si>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</si>
  <si>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</si>
  <si>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</si>
  <si>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</si>
  <si>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</si>
  <si>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</si>
  <si>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</si>
  <si>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</si>
  <si>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</si>
  <si>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</si>
  <si>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</si>
  <si>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</si>
  <si>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</si>
  <si>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</si>
  <si>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</si>
  <si>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</si>
  <si>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</si>
  <si>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</si>
  <si>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</si>
  <si>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</si>
  <si>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</si>
  <si>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</si>
  <si>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</si>
  <si>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</si>
  <si>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</si>
  <si>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</si>
  <si>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</si>
  <si>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</si>
  <si>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</si>
  <si>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</si>
  <si>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</si>
  <si>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</si>
  <si>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</si>
  <si>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</si>
  <si>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</si>
  <si>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</si>
  <si>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</si>
  <si>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</si>
  <si>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</si>
  <si>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</si>
  <si>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</si>
  <si>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</si>
  <si>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</si>
  <si>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</si>
  <si>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</si>
  <si>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</si>
  <si>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</si>
  <si>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</si>
  <si>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</si>
  <si>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</si>
  <si>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</si>
  <si>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</si>
  <si>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</si>
  <si>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</si>
  <si>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</si>
  <si>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</si>
  <si>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</si>
  <si>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</si>
  <si>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</si>
  <si>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</si>
  <si>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</si>
  <si>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</si>
  <si>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</si>
  <si>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</si>
  <si>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</si>
  <si>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</si>
  <si>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</si>
  <si>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</si>
  <si>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</si>
  <si>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</si>
  <si>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</si>
  <si>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</si>
  <si>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</si>
  <si>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</si>
  <si>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</si>
  <si>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</si>
  <si>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</si>
  <si>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</si>
  <si>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</si>
  <si>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</si>
  <si>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</si>
  <si>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</si>
  <si>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</si>
  <si>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</si>
  <si>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</si>
  <si>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</si>
  <si>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</si>
  <si>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</si>
  <si>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</si>
  <si>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</si>
  <si>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</si>
  <si>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</si>
  <si>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</si>
  <si>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</si>
  <si>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</si>
  <si>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</si>
  <si>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</si>
  <si>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</si>
  <si>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</si>
  <si>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</si>
  <si>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</si>
  <si>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</si>
  <si>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</si>
  <si>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</si>
  <si>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</si>
  <si>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</si>
  <si>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</si>
  <si>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</si>
  <si>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</si>
  <si>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</si>
  <si>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</si>
  <si>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</si>
  <si>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</si>
  <si>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</si>
  <si>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</si>
  <si>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</si>
  <si>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</si>
  <si>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</si>
  <si>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</si>
  <si>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</si>
  <si>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</si>
  <si>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</si>
  <si>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</si>
  <si>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</si>
  <si>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</si>
  <si>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</si>
  <si>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</si>
  <si>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</si>
  <si>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</si>
  <si>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</si>
  <si>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</si>
  <si>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</si>
  <si>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</si>
  <si>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</si>
  <si>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</si>
  <si>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</si>
  <si>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</si>
  <si>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</si>
  <si>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</si>
  <si>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</si>
  <si>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</si>
  <si>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</si>
  <si>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</si>
  <si>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</si>
  <si>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</si>
  <si>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</si>
  <si>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</si>
  <si>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</si>
  <si>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</si>
  <si>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</si>
  <si>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</si>
  <si>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</si>
  <si>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</si>
  <si>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</si>
  <si>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</si>
  <si>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</si>
  <si>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</si>
  <si>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</si>
  <si>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</si>
  <si>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</si>
  <si>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</si>
  <si>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</si>
  <si>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</si>
  <si>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</si>
  <si>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</si>
  <si>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</si>
  <si>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</si>
  <si>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</si>
  <si>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</si>
  <si>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</si>
  <si>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</si>
  <si>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</si>
  <si>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</si>
  <si>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</si>
  <si>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</si>
  <si>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</si>
  <si>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</si>
  <si>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</si>
  <si>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</si>
  <si>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</si>
  <si>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</si>
  <si>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</si>
  <si>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</si>
  <si>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</si>
  <si>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</si>
  <si>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</si>
  <si>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</si>
  <si>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</si>
  <si>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</si>
  <si>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</si>
  <si>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</si>
  <si>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</si>
  <si>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</si>
  <si>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</si>
  <si>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</si>
  <si>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</si>
  <si>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</si>
  <si>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</si>
  <si>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</si>
  <si>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</si>
  <si>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</si>
  <si>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</si>
  <si>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</si>
  <si>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</si>
  <si>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</si>
  <si>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</si>
  <si>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</si>
  <si>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</si>
  <si>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</si>
  <si>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</si>
  <si>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</si>
  <si>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</si>
  <si>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</si>
  <si>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</si>
  <si>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</si>
  <si>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</si>
  <si>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</si>
  <si>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</si>
  <si>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</si>
  <si>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</si>
  <si>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</si>
  <si>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</si>
  <si>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</si>
  <si>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</si>
  <si>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</si>
  <si>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</si>
  <si>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</si>
  <si>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</si>
  <si>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</si>
  <si>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</si>
  <si>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</si>
  <si>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</si>
  <si>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</si>
  <si>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</si>
  <si>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</si>
  <si>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</si>
  <si>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</si>
  <si>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</si>
  <si>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</si>
  <si>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</si>
  <si>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</si>
  <si>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</si>
  <si>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</si>
  <si>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</si>
  <si>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</si>
  <si>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</si>
  <si>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</si>
  <si>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</si>
  <si>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</si>
  <si>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</si>
  <si>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</si>
  <si>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</si>
  <si>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</si>
  <si>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</si>
  <si>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</si>
  <si>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</si>
  <si>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</si>
  <si>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</si>
  <si>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</si>
  <si>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</si>
  <si>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</si>
  <si>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</si>
  <si>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</si>
  <si>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</si>
  <si>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</si>
  <si>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</si>
  <si>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</si>
  <si>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</si>
  <si>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</si>
  <si>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</si>
  <si>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</si>
  <si>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</si>
  <si>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</si>
  <si>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</si>
  <si>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</si>
  <si>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</si>
  <si>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</si>
  <si>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</si>
  <si>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</si>
  <si>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</si>
  <si>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</si>
  <si>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</si>
  <si>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</si>
  <si>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</si>
  <si>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</si>
  <si>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</si>
  <si>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</si>
  <si>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</si>
  <si>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</si>
  <si>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</si>
  <si>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</si>
  <si>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</si>
  <si>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</si>
  <si>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</si>
  <si>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</si>
  <si>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</si>
  <si>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</si>
  <si>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</si>
  <si>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</si>
  <si>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</si>
  <si>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</si>
  <si>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</si>
  <si>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</si>
  <si>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</si>
  <si>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</si>
  <si>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</si>
  <si>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</si>
  <si>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</si>
  <si>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</si>
  <si>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</si>
  <si>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</si>
  <si>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</si>
  <si>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</si>
  <si>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</si>
  <si>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</si>
  <si>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</si>
  <si>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</si>
  <si>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</si>
  <si>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</si>
  <si>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</si>
  <si>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</si>
  <si>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</si>
  <si>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</si>
  <si>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</si>
  <si>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</si>
  <si>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</si>
  <si>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</si>
  <si>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</si>
  <si>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</si>
  <si>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</si>
  <si>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</si>
  <si>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</si>
  <si>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</si>
  <si>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</si>
  <si>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</si>
  <si>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</si>
  <si>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</si>
  <si>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</si>
  <si>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</si>
  <si>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</si>
  <si>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</si>
  <si>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</si>
  <si>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</si>
  <si>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</si>
  <si>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</si>
  <si>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</si>
  <si>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</si>
  <si>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</si>
  <si>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</si>
  <si>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</si>
  <si>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</si>
  <si>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</si>
  <si>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</si>
  <si>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</si>
  <si>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</si>
  <si>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</si>
  <si>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</si>
  <si>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</si>
  <si>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</si>
  <si>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</si>
  <si>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</si>
  <si>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</si>
  <si>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</si>
  <si>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</si>
  <si>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</si>
  <si>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</si>
  <si>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</si>
  <si>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</si>
  <si>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</si>
  <si>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</si>
  <si>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</si>
  <si>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</si>
  <si>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</si>
  <si>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</si>
  <si>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</si>
  <si>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</si>
  <si>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</si>
  <si>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</si>
  <si>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</si>
  <si>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</si>
  <si>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</si>
  <si>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</si>
  <si>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</si>
  <si>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</si>
  <si>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</si>
  <si>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</si>
  <si>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</si>
  <si>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</si>
  <si>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</si>
  <si>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</si>
  <si>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</si>
  <si>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</si>
  <si>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</si>
  <si>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</si>
  <si>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</si>
  <si>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</si>
  <si>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</si>
  <si>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</si>
  <si>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</si>
  <si>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</si>
  <si>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</si>
  <si>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</si>
  <si>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</si>
  <si>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</si>
  <si>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</si>
  <si>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</si>
  <si>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</si>
  <si>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</si>
  <si>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</si>
  <si>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</si>
  <si>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</si>
  <si>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</si>
  <si>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</si>
  <si>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</si>
  <si>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</si>
  <si>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</si>
  <si>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</si>
  <si>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</si>
  <si>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</si>
  <si>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</si>
  <si>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</si>
  <si>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</si>
  <si>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</si>
  <si>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</si>
  <si>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</si>
  <si>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</si>
  <si>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</si>
  <si>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</si>
  <si>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</si>
  <si>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</si>
  <si>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</si>
  <si>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</si>
  <si>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</si>
  <si>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</si>
  <si>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</si>
  <si>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</si>
  <si>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</si>
  <si>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</si>
  <si>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</si>
  <si>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</si>
  <si>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</si>
  <si>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</si>
  <si>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</si>
  <si>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</si>
  <si>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</si>
  <si>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</si>
  <si>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</si>
  <si>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</si>
  <si>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</si>
  <si>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</si>
  <si>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</si>
  <si>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</si>
  <si>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</si>
  <si>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</si>
  <si>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</si>
  <si>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</si>
  <si>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</si>
  <si>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</si>
  <si>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</si>
  <si>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</si>
  <si>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</si>
  <si>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</si>
  <si>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</si>
  <si>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</si>
  <si>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</si>
  <si>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</si>
  <si>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</si>
  <si>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</si>
  <si>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</si>
  <si>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</si>
  <si>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</si>
  <si>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</si>
  <si>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</si>
  <si>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</si>
  <si>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</si>
  <si>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</si>
  <si>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</si>
  <si>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</si>
  <si>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</si>
  <si>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</si>
  <si>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</si>
  <si>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</si>
  <si>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</si>
  <si>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</si>
  <si>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</si>
  <si>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</si>
  <si>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</si>
  <si>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</si>
  <si>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</si>
  <si>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</si>
  <si>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</si>
  <si>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</si>
  <si>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</si>
  <si>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</si>
  <si>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</si>
  <si>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</si>
  <si>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</si>
  <si>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</si>
  <si>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</si>
  <si>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</si>
  <si>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</si>
  <si>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</si>
  <si>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</si>
  <si>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</si>
  <si>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</si>
  <si>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</si>
  <si>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</si>
  <si>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</si>
  <si>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</si>
  <si>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</si>
  <si>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</si>
  <si>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</si>
  <si>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</si>
  <si>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</si>
  <si>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</si>
  <si>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</si>
  <si>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</si>
  <si>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</si>
  <si>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</si>
  <si>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</si>
  <si>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</si>
  <si>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</si>
  <si>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</si>
  <si>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</si>
  <si>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</si>
  <si>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</si>
  <si>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</si>
  <si>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</si>
  <si>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</si>
  <si>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</si>
  <si>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</si>
  <si>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</si>
  <si>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</si>
  <si>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</si>
  <si>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</si>
  <si>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</si>
  <si>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</si>
  <si>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</si>
  <si>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</si>
  <si>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</si>
  <si>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</si>
  <si>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</si>
  <si>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</si>
  <si>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</si>
  <si>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</si>
  <si>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</si>
  <si>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</si>
  <si>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</si>
  <si>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</si>
  <si>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</si>
  <si>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</si>
  <si>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</si>
  <si>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</si>
  <si>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</si>
  <si>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</si>
  <si>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</si>
  <si>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</si>
  <si>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</si>
  <si>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</si>
  <si>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</si>
  <si>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</si>
  <si>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</si>
  <si>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</si>
  <si>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</si>
  <si>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</si>
  <si>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</si>
  <si>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</si>
  <si>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</si>
  <si>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</si>
  <si>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</si>
  <si>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</si>
  <si>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</si>
  <si>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</si>
  <si>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</si>
  <si>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</si>
  <si>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</si>
  <si>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</si>
  <si>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</si>
  <si>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</si>
  <si>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</si>
  <si>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</si>
  <si>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</si>
  <si>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</si>
  <si>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</si>
  <si>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</si>
  <si>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</si>
  <si>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</si>
  <si>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</si>
  <si>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</si>
  <si>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</si>
  <si>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</si>
  <si>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</si>
  <si>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</si>
  <si>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</si>
  <si>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</si>
  <si>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</si>
  <si>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</si>
  <si>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</si>
  <si>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</si>
  <si>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</si>
  <si>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</si>
  <si>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</si>
  <si>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</si>
  <si>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</si>
  <si>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</si>
  <si>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</si>
  <si>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</si>
  <si>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</si>
  <si>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</si>
  <si>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</si>
  <si>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</si>
  <si>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</si>
  <si>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</si>
  <si>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</si>
  <si>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</si>
  <si>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</si>
  <si>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</si>
  <si>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</si>
  <si>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</si>
  <si>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</si>
  <si>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</si>
  <si>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</si>
  <si>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</si>
  <si>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</si>
  <si>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</si>
  <si>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</si>
  <si>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</si>
  <si>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</si>
  <si>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</si>
  <si>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</si>
  <si>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</si>
  <si>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</si>
  <si>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</si>
  <si>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</si>
  <si>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</si>
  <si>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</si>
  <si>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</si>
  <si>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</si>
  <si>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</si>
  <si>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</si>
  <si>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</si>
  <si>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</si>
  <si>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</si>
  <si>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</si>
  <si>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</si>
  <si>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</si>
  <si>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</si>
  <si>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</si>
  <si>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</si>
  <si>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</si>
  <si>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</si>
  <si>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</si>
  <si>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</si>
  <si>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</si>
  <si>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</si>
  <si>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</si>
  <si>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</si>
  <si>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</si>
  <si>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</si>
  <si>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</si>
  <si>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</si>
  <si>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</si>
  <si>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</si>
  <si>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</si>
  <si>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</si>
  <si>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</si>
  <si>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</si>
  <si>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</si>
  <si>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</si>
  <si>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</si>
  <si>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</si>
  <si>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</si>
  <si>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</si>
  <si>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</si>
  <si>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</si>
  <si>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</si>
  <si>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</si>
  <si>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</si>
  <si>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</si>
  <si>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</si>
  <si>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</si>
  <si>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</si>
  <si>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</si>
  <si>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</si>
  <si>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</si>
  <si>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</si>
  <si>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</si>
  <si>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</si>
  <si>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</si>
  <si>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</si>
  <si>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</si>
  <si>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</si>
  <si>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</si>
  <si>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</si>
  <si>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</si>
  <si>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</si>
  <si>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</si>
  <si>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</si>
  <si>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</si>
  <si>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</si>
  <si>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</si>
  <si>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</si>
  <si>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</si>
  <si>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</si>
  <si>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</si>
  <si>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</si>
  <si>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</si>
  <si>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</si>
  <si>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</si>
  <si>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</si>
  <si>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</si>
  <si>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</si>
  <si>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</si>
  <si>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</si>
  <si>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</si>
  <si>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</si>
  <si>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</si>
  <si>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</si>
  <si>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</si>
  <si>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</si>
  <si>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</si>
  <si>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</si>
  <si>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</si>
  <si>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</si>
  <si>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</si>
  <si>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</si>
  <si>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</si>
  <si>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</si>
  <si>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</si>
  <si>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</si>
  <si>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</si>
  <si>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</si>
  <si>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</si>
  <si>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</si>
  <si>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</si>
  <si>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</si>
  <si>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</si>
  <si>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</si>
  <si>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</si>
  <si>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</si>
  <si>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</si>
  <si>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</si>
  <si>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</si>
  <si>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</si>
  <si>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</si>
  <si>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</si>
  <si>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</si>
  <si>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</si>
  <si>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</si>
  <si>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</si>
  <si>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</si>
  <si>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</si>
  <si>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</si>
  <si>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</si>
  <si>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</si>
  <si>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</si>
  <si>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</si>
  <si>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</si>
  <si>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</si>
  <si>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</si>
  <si>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</si>
  <si>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</si>
  <si>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</si>
  <si>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</si>
  <si>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</si>
  <si>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</si>
  <si>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</si>
  <si>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</si>
  <si>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</si>
  <si>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</si>
  <si>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</si>
  <si>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</si>
  <si>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</si>
  <si>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</si>
  <si>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</si>
  <si>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</si>
  <si>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</si>
  <si>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</si>
  <si>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</si>
  <si>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</si>
  <si>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</si>
  <si>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</si>
  <si>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</si>
  <si>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</si>
  <si>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</si>
  <si>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</si>
  <si>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</si>
  <si>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</si>
  <si>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</si>
  <si>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</si>
  <si>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</si>
  <si>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</si>
  <si>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</si>
  <si>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</si>
  <si>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</si>
  <si>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</si>
  <si>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</si>
  <si>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</si>
  <si>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</si>
  <si>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</si>
  <si>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</si>
  <si>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</si>
  <si>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</si>
  <si>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</si>
  <si>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</si>
  <si>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</si>
  <si>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</si>
  <si>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</si>
  <si>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</si>
  <si>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</si>
  <si>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</si>
  <si>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</si>
  <si>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</si>
  <si>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</si>
  <si>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</si>
  <si>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</si>
  <si>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</si>
  <si>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</si>
  <si>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</si>
  <si>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</si>
  <si>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</si>
  <si>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</si>
  <si>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</si>
  <si>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</si>
  <si>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</si>
  <si>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</si>
  <si>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</si>
  <si>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</si>
  <si>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</si>
  <si>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</si>
  <si>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</si>
  <si>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</si>
  <si>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</si>
  <si>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</si>
  <si>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</si>
  <si>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</si>
  <si>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</si>
  <si>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</si>
  <si>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</si>
  <si>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</si>
  <si>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</si>
  <si>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</si>
  <si>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</si>
  <si>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</si>
  <si>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</si>
  <si>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</si>
  <si>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</si>
  <si>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</si>
  <si>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</si>
  <si>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</si>
  <si>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</si>
  <si>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</si>
  <si>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</si>
  <si>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</si>
  <si>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</si>
  <si>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</si>
  <si>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</si>
  <si>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</si>
  <si>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</si>
  <si>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</si>
  <si>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</si>
  <si>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</si>
  <si>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</si>
  <si>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</si>
  <si>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</si>
  <si>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</si>
  <si>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</si>
  <si>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</si>
  <si>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</si>
  <si>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</si>
  <si>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</si>
  <si>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</si>
  <si>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</si>
  <si>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</si>
  <si>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</si>
  <si>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</si>
  <si>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</si>
  <si>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</si>
  <si>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</si>
  <si>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</si>
  <si>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</si>
  <si>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</si>
  <si>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</si>
  <si>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</si>
  <si>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</si>
  <si>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</si>
  <si>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</si>
  <si>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</si>
  <si>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</si>
  <si>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</si>
  <si>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</si>
  <si>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</si>
  <si>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</si>
  <si>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</si>
  <si>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</si>
  <si>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</si>
  <si>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</si>
  <si>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</si>
  <si>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</si>
  <si>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</si>
  <si>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</si>
  <si>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</si>
  <si>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</si>
  <si>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</si>
  <si>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</si>
  <si>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</si>
  <si>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</si>
  <si>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</si>
  <si>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</si>
  <si>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</si>
  <si>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</si>
  <si>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</si>
  <si>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</si>
  <si>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</si>
  <si>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</si>
  <si>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</si>
  <si>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</si>
  <si>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</si>
  <si>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</si>
  <si>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</si>
  <si>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</si>
  <si>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</si>
  <si>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</si>
  <si>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</si>
  <si>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</si>
  <si>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</si>
  <si>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</si>
  <si>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</si>
  <si>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</si>
  <si>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</si>
  <si>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</si>
  <si>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</si>
  <si>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</si>
  <si>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</si>
  <si>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</si>
  <si>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</si>
  <si>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</si>
  <si>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</si>
  <si>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</si>
  <si>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</si>
  <si>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</si>
  <si>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</si>
  <si>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</si>
  <si>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</si>
  <si>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</si>
  <si>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</si>
  <si>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</si>
  <si>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</si>
  <si>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</si>
  <si>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</si>
  <si>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</si>
  <si>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</si>
  <si>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</si>
  <si>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</si>
  <si>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</si>
  <si>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</si>
  <si>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</si>
  <si>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</si>
  <si>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</si>
  <si>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</si>
  <si>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</si>
  <si>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</si>
  <si>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</si>
  <si>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</si>
  <si>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</si>
  <si>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</si>
  <si>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</si>
  <si>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</si>
  <si>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</si>
  <si>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</si>
  <si>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</si>
  <si>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</si>
  <si>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</si>
  <si>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</si>
  <si>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</si>
  <si>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</si>
  <si>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</si>
  <si>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</si>
  <si>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</si>
  <si>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</si>
  <si>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</si>
  <si>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</si>
  <si>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</si>
  <si>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</si>
  <si>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</si>
  <si>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</si>
  <si>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</si>
  <si>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</si>
  <si>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</si>
  <si>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</si>
  <si>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</si>
  <si>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</si>
  <si>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</si>
  <si>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</si>
  <si>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</si>
  <si>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</si>
  <si>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</si>
  <si>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</si>
  <si>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</si>
  <si>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</si>
  <si>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</si>
  <si>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</si>
  <si>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</si>
  <si>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</si>
  <si>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</si>
  <si>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</si>
  <si>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</si>
  <si>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</si>
  <si>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</si>
  <si>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</si>
  <si>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</si>
  <si>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</si>
  <si>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</si>
  <si>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</si>
  <si>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</si>
  <si>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</si>
  <si>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</si>
  <si>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</si>
  <si>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</si>
  <si>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</si>
  <si>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</si>
  <si>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</si>
  <si>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</si>
  <si>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</si>
  <si>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</si>
  <si>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</si>
  <si>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</si>
  <si>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</si>
  <si>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</si>
  <si>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</si>
  <si>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</si>
  <si>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</si>
  <si>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</si>
  <si>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</si>
  <si>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</si>
  <si>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</si>
  <si>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</si>
  <si>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</si>
  <si>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</si>
  <si>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</si>
  <si>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</si>
  <si>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</si>
  <si>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</si>
  <si>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</si>
  <si>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</si>
  <si>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</si>
  <si>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</si>
  <si>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</si>
  <si>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</si>
  <si>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</si>
  <si>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</si>
  <si>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</si>
  <si>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</si>
  <si>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</si>
  <si>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</si>
  <si>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</si>
  <si>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</si>
  <si>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</si>
  <si>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</si>
  <si>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</si>
  <si>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</si>
  <si>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</si>
  <si>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</si>
  <si>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</si>
  <si>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</si>
  <si>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</si>
  <si>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</si>
  <si>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</si>
  <si>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</si>
  <si>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</si>
  <si>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</si>
  <si>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</si>
  <si>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</si>
  <si>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</si>
  <si>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</si>
  <si>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</si>
  <si>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</si>
  <si>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</si>
  <si>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</si>
  <si>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</si>
  <si>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</si>
  <si>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</si>
  <si>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</si>
  <si>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</si>
  <si>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</si>
  <si>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</si>
  <si>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</si>
  <si>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</si>
  <si>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</si>
  <si>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</si>
  <si>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</si>
  <si>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</si>
  <si>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</si>
  <si>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</si>
  <si>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</si>
  <si>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</si>
  <si>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</si>
  <si>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</si>
  <si>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</si>
  <si>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</si>
  <si>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</si>
  <si>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</si>
  <si>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</si>
  <si>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</si>
  <si>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</si>
  <si>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</si>
  <si>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</si>
  <si>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</si>
  <si>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</si>
  <si>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</si>
  <si>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</si>
  <si>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</si>
  <si>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</si>
  <si>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</si>
  <si>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</si>
  <si>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</si>
  <si>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</si>
  <si>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</si>
  <si>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</si>
  <si>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</si>
  <si>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</si>
  <si>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</si>
  <si>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</si>
  <si>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</si>
  <si>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</si>
  <si>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</si>
  <si>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</si>
  <si>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</si>
  <si>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</si>
  <si>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</si>
  <si>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</si>
  <si>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</si>
  <si>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</si>
  <si>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</si>
  <si>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</si>
  <si>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</si>
  <si>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</si>
  <si>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</si>
  <si>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</si>
  <si>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</si>
  <si>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</si>
  <si>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</si>
  <si>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</si>
  <si>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</si>
  <si>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</si>
  <si>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</si>
  <si>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</si>
  <si>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</si>
  <si>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</si>
  <si>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</si>
  <si>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</si>
  <si>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</si>
  <si>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</si>
  <si>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</si>
  <si>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</si>
  <si>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</si>
  <si>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</si>
  <si>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</si>
  <si>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</si>
  <si>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</si>
  <si>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</si>
  <si>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</si>
  <si>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</si>
  <si>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</si>
  <si>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</si>
  <si>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</si>
  <si>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</si>
  <si>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</si>
  <si>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</si>
  <si>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</si>
  <si>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</si>
  <si>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</si>
  <si>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</si>
  <si>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</si>
  <si>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</si>
  <si>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</si>
  <si>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</si>
  <si>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</si>
  <si>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</si>
  <si>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</si>
  <si>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</si>
  <si>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</si>
  <si>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</si>
  <si>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</si>
  <si>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</si>
  <si>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</si>
  <si>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</si>
  <si>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</si>
  <si>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</si>
  <si>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</si>
  <si>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</si>
  <si>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</si>
  <si>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</si>
  <si>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</si>
  <si>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</si>
  <si>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</si>
  <si>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</si>
  <si>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</si>
  <si>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</si>
  <si>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</si>
  <si>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</si>
  <si>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</si>
  <si>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</si>
  <si>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</si>
  <si>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</si>
  <si>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</si>
  <si>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</si>
  <si>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</si>
  <si>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</si>
  <si>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</si>
  <si>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</si>
  <si>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</si>
  <si>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</si>
  <si>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</si>
  <si>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</si>
  <si>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</si>
  <si>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</si>
  <si>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</si>
  <si>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</si>
  <si>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</si>
  <si>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</si>
  <si>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</si>
  <si>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</si>
  <si>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</si>
  <si>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</si>
  <si>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</si>
  <si>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</si>
  <si>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</si>
  <si>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</si>
  <si>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</si>
  <si>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</si>
  <si>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</si>
  <si>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</si>
  <si>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</si>
  <si>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</si>
  <si>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</si>
  <si>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</si>
  <si>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</si>
  <si>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</si>
  <si>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</si>
  <si>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</si>
  <si>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</si>
  <si>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</si>
  <si>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</si>
  <si>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</si>
  <si>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</si>
  <si>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</si>
  <si>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</si>
  <si>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</si>
  <si>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</si>
  <si>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</si>
  <si>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</si>
  <si>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</si>
  <si>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</si>
  <si>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</si>
  <si>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</si>
  <si>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</si>
  <si>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</si>
  <si>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</si>
  <si>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</si>
  <si>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</si>
  <si>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</si>
  <si>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</si>
  <si>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</si>
  <si>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</si>
  <si>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</si>
  <si>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</si>
  <si>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</si>
  <si>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</si>
  <si>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</si>
  <si>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</si>
  <si>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</si>
  <si>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</si>
  <si>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</si>
  <si>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</si>
  <si>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</si>
  <si>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</si>
  <si>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</si>
  <si>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</si>
  <si>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</si>
  <si>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</si>
  <si>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</si>
  <si>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</si>
  <si>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</si>
  <si>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</si>
  <si>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</si>
  <si>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</si>
  <si>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</si>
  <si>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</si>
  <si>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</si>
  <si>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</si>
  <si>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</si>
  <si>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</si>
  <si>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</si>
  <si>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</si>
  <si>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</si>
  <si>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</si>
  <si>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</si>
  <si>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</si>
  <si>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</si>
  <si>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</si>
  <si>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</si>
  <si>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</si>
  <si>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</si>
  <si>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</si>
  <si>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</si>
  <si>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</si>
  <si>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</si>
  <si>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</si>
  <si>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</si>
  <si>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</si>
  <si>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</si>
  <si>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</si>
  <si>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</si>
  <si>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</si>
  <si>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</si>
  <si>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</si>
  <si>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</si>
  <si>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</si>
  <si>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</si>
  <si>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</si>
  <si>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</si>
  <si>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</si>
  <si>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</si>
  <si>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</si>
  <si>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</si>
  <si>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</si>
  <si>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</si>
  <si>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</si>
  <si>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</si>
  <si>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</si>
  <si>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</si>
  <si>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</si>
  <si>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</si>
  <si>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</si>
  <si>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</si>
  <si>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</si>
  <si>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</si>
  <si>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</si>
  <si>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</si>
  <si>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</si>
  <si>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</si>
  <si>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</si>
  <si>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</si>
  <si>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</si>
  <si>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</si>
  <si>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</si>
  <si>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</si>
  <si>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</si>
  <si>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</si>
  <si>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</si>
  <si>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</si>
  <si>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</si>
  <si>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</si>
  <si>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</si>
  <si>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</si>
  <si>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</si>
  <si>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</si>
  <si>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</si>
  <si>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</si>
  <si>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</si>
  <si>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</si>
  <si>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</si>
  <si>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</si>
  <si>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</si>
  <si>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</si>
  <si>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</si>
  <si>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</si>
  <si>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</si>
  <si>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</si>
  <si>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</si>
  <si>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</si>
  <si>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</si>
  <si>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</si>
  <si>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</si>
  <si>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</si>
  <si>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</si>
  <si>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</si>
  <si>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</si>
  <si>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</si>
  <si>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</si>
  <si>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</si>
  <si>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</si>
  <si>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</si>
  <si>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</si>
  <si>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</si>
  <si>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</si>
  <si>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</si>
  <si>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</si>
  <si>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</si>
  <si>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</si>
  <si>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</si>
  <si>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</si>
  <si>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</si>
  <si>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</si>
  <si>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</si>
  <si>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</si>
  <si>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</si>
  <si>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</si>
  <si>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</si>
  <si>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</si>
  <si>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</si>
  <si>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</si>
  <si>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</si>
  <si>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</si>
  <si>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</si>
  <si>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</si>
  <si>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</si>
  <si>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</si>
  <si>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</si>
  <si>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</si>
  <si>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</si>
  <si>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</si>
  <si>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</si>
  <si>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</si>
  <si>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</si>
  <si>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</si>
  <si>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</si>
  <si>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</si>
  <si>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</si>
  <si>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</si>
  <si>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</si>
  <si>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</si>
  <si>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</si>
  <si>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</si>
  <si>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</si>
  <si>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</si>
  <si>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</si>
  <si>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</si>
  <si>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</si>
  <si>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</si>
  <si>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</si>
  <si>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</si>
  <si>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</si>
  <si>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</si>
  <si>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</si>
  <si>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</si>
  <si>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</si>
  <si>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</si>
  <si>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</si>
  <si>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</si>
  <si>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</si>
  <si>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</si>
  <si>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</si>
  <si>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</si>
  <si>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</si>
  <si>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</si>
  <si>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</si>
  <si>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</si>
  <si>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</si>
  <si>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</si>
  <si>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</si>
  <si>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</si>
  <si>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</si>
  <si>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</si>
  <si>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</si>
  <si>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</si>
  <si>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</si>
  <si>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</si>
  <si>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</si>
  <si>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</si>
  <si>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</si>
  <si>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</si>
  <si>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</si>
  <si>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</si>
  <si>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</si>
  <si>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</si>
  <si>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</si>
  <si>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</si>
  <si>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</si>
  <si>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</si>
  <si>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</si>
  <si>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</si>
  <si>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</si>
  <si>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</si>
  <si>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</si>
  <si>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</si>
  <si>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</si>
  <si>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</si>
  <si>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</si>
  <si>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</si>
  <si>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</si>
  <si>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</si>
  <si>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</si>
  <si>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</si>
  <si>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</si>
  <si>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</si>
  <si>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</si>
  <si>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</si>
  <si>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</si>
  <si>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</si>
  <si>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</si>
  <si>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</si>
  <si>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</si>
  <si>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</si>
  <si>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</si>
  <si>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</si>
  <si>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</si>
  <si>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</si>
  <si>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</si>
  <si>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</si>
  <si>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</si>
  <si>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</si>
  <si>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</si>
  <si>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</si>
  <si>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</si>
  <si>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</si>
  <si>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</si>
  <si>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</si>
  <si>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</si>
  <si>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</si>
  <si>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</si>
  <si>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</si>
  <si>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</si>
  <si>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</si>
  <si>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</si>
  <si>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</si>
  <si>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</si>
  <si>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</si>
  <si>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</si>
  <si>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</si>
  <si>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</si>
  <si>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</si>
  <si>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</si>
  <si>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</si>
  <si>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</si>
  <si>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</si>
  <si>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</si>
  <si>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</si>
  <si>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</si>
  <si>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</si>
  <si>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</si>
  <si>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</si>
  <si>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</si>
  <si>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</si>
  <si>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</si>
  <si>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</si>
  <si>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</si>
  <si>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</si>
  <si>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</si>
  <si>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</si>
  <si>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</si>
  <si>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</si>
  <si>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</si>
  <si>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</si>
  <si>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</si>
  <si>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</si>
  <si>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</si>
  <si>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</si>
  <si>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</si>
  <si>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</si>
  <si>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</si>
  <si>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</si>
  <si>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</si>
  <si>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</si>
  <si>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</si>
  <si>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</si>
  <si>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</si>
  <si>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</si>
  <si>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</si>
  <si>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</si>
  <si>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</si>
  <si>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</si>
  <si>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</si>
  <si>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</si>
  <si>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</si>
  <si>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</si>
  <si>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</si>
  <si>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</si>
  <si>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</si>
  <si>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</si>
  <si>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</si>
  <si>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</si>
  <si>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</si>
  <si>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</si>
  <si>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</si>
  <si>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</si>
  <si>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</si>
  <si>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</si>
  <si>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</si>
  <si>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</si>
  <si>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</si>
  <si>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</si>
  <si>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</si>
  <si>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</si>
  <si>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</si>
  <si>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</si>
  <si>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</si>
  <si>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</si>
  <si>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</si>
  <si>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</si>
  <si>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</si>
  <si>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</si>
  <si>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</si>
  <si>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</si>
  <si>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</si>
  <si>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</si>
  <si>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</si>
  <si>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</si>
  <si>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</si>
  <si>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</si>
  <si>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</si>
  <si>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</si>
  <si>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</si>
  <si>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</si>
  <si>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</si>
  <si>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</si>
  <si>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</si>
  <si>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</si>
  <si>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</si>
  <si>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</si>
  <si>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</si>
  <si>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</si>
  <si>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</si>
  <si>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</si>
  <si>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</si>
  <si>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</si>
  <si>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</si>
  <si>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</si>
  <si>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</si>
  <si>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</si>
  <si>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</si>
  <si>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</si>
  <si>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</si>
  <si>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</si>
  <si>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</si>
  <si>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</si>
  <si>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</si>
  <si>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</si>
  <si>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</si>
  <si>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</si>
  <si>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</si>
  <si>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</si>
  <si>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</si>
  <si>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</si>
  <si>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</si>
  <si>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</si>
  <si>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</si>
  <si>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</si>
  <si>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</si>
  <si>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</si>
  <si>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</si>
  <si>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</si>
  <si>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</si>
  <si>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</si>
  <si>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</si>
  <si>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</si>
  <si>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</si>
  <si>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</si>
  <si>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</si>
  <si>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</si>
  <si>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</si>
  <si>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</si>
  <si>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</si>
  <si>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</si>
  <si>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</si>
  <si>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</si>
  <si>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</si>
  <si>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</si>
  <si>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</si>
  <si>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</si>
  <si>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</si>
  <si>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</si>
  <si>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</si>
  <si>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</si>
  <si>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</si>
  <si>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</si>
  <si>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</si>
  <si>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</si>
  <si>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</si>
  <si>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</si>
  <si>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</si>
  <si>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</si>
  <si>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</si>
  <si>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</si>
  <si>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</si>
  <si>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</si>
  <si>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</si>
  <si>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</si>
  <si>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</si>
  <si>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</si>
  <si>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</si>
  <si>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</si>
  <si>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</si>
  <si>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</si>
  <si>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</si>
  <si>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</si>
  <si>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</si>
  <si>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</si>
  <si>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</si>
  <si>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</si>
  <si>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</si>
  <si>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</si>
  <si>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</si>
  <si>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</si>
  <si>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</si>
  <si>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</si>
  <si>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</si>
  <si>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</si>
  <si>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</si>
  <si>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</si>
  <si>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</si>
  <si>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</si>
  <si>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</si>
  <si>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</si>
  <si>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</si>
  <si>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</si>
  <si>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</si>
  <si>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</si>
  <si>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</si>
  <si>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</si>
  <si>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</si>
  <si>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</si>
  <si>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</si>
  <si>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</si>
  <si>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</si>
  <si>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</si>
  <si>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</si>
  <si>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</si>
  <si>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</si>
  <si>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</si>
  <si>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</si>
  <si>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</si>
  <si>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</si>
  <si>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</si>
  <si>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</si>
  <si>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</si>
  <si>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</si>
  <si>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</si>
  <si>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</si>
  <si>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</si>
  <si>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</si>
  <si>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</si>
  <si>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</si>
  <si>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</si>
  <si>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</si>
  <si>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</si>
  <si>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</si>
  <si>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</si>
  <si>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</si>
  <si>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</si>
  <si>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</si>
  <si>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</si>
  <si>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</si>
  <si>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</si>
  <si>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</si>
  <si>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</si>
  <si>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</si>
  <si>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</si>
  <si>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</si>
  <si>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</si>
  <si>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</si>
  <si>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</si>
  <si>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</si>
  <si>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</si>
  <si>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</si>
  <si>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</si>
  <si>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</si>
  <si>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</si>
  <si>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</si>
  <si>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</si>
  <si>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</si>
  <si>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</si>
  <si>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</si>
  <si>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</si>
  <si>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</si>
  <si>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</si>
  <si>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</si>
  <si>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</si>
  <si>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</si>
  <si>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</si>
  <si>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</si>
  <si>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</si>
  <si>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</si>
  <si>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</si>
  <si>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</si>
  <si>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</si>
  <si>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</si>
  <si>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</si>
  <si>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</si>
  <si>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</si>
  <si>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</si>
  <si>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</si>
  <si>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</si>
  <si>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</si>
  <si>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</si>
  <si>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</si>
  <si>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</si>
  <si>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</si>
  <si>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</si>
  <si>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</si>
  <si>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</si>
  <si>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</si>
  <si>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</si>
  <si>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</si>
  <si>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</si>
  <si>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</si>
  <si>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</si>
  <si>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</si>
  <si>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</si>
  <si>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</si>
  <si>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</si>
  <si>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</si>
  <si>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</si>
  <si>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</si>
  <si>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</si>
  <si>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</si>
  <si>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</si>
  <si>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</si>
  <si>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</si>
  <si>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</si>
  <si>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</si>
  <si>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</si>
  <si>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</si>
  <si>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</si>
  <si>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</si>
  <si>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</si>
  <si>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</si>
  <si>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</si>
  <si>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</si>
  <si>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</si>
  <si>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</si>
  <si>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</si>
  <si>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</si>
  <si>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</si>
  <si>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</si>
  <si>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</si>
  <si>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</si>
  <si>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</si>
  <si>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</si>
  <si>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</si>
  <si>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</si>
  <si>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</si>
  <si>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</si>
  <si>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</si>
  <si>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</si>
  <si>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</si>
  <si>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</si>
  <si>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</si>
  <si>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</si>
  <si>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</si>
  <si>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</si>
  <si>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</si>
  <si>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</si>
  <si>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</si>
  <si>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</si>
  <si>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</si>
  <si>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</si>
  <si>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</si>
  <si>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</si>
  <si>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</si>
  <si>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</si>
  <si>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</si>
  <si>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</si>
  <si>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</si>
  <si>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</si>
  <si>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</si>
  <si>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</si>
  <si>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</si>
  <si>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</si>
  <si>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</si>
  <si>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</si>
  <si>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</si>
  <si>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</si>
  <si>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</si>
  <si>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</si>
  <si>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</si>
  <si>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</si>
  <si>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</si>
  <si>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</si>
  <si>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</si>
  <si>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</si>
  <si>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</si>
  <si>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</si>
  <si>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</si>
  <si>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</si>
  <si>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</si>
  <si>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</si>
  <si>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</si>
  <si>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</si>
  <si>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</si>
  <si>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</si>
  <si>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</si>
  <si>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</si>
  <si>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</si>
  <si>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</si>
  <si>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</si>
  <si>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</si>
  <si>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</si>
  <si>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</si>
  <si>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</si>
  <si>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</si>
  <si>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</si>
  <si>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</si>
  <si>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</si>
  <si>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</si>
  <si>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</si>
  <si>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</si>
  <si>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</si>
  <si>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</si>
  <si>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</si>
  <si>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</si>
  <si>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</si>
  <si>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</si>
  <si>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</si>
  <si>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</si>
  <si>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</si>
  <si>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</si>
  <si>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</si>
  <si>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</si>
  <si>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</si>
  <si>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</si>
  <si>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</si>
  <si>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</si>
  <si>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</si>
  <si>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</si>
  <si>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</si>
  <si>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</si>
  <si>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</si>
  <si>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</si>
  <si>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</si>
  <si>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</si>
  <si>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</si>
  <si>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</si>
  <si>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</si>
  <si>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</si>
  <si>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</si>
  <si>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</si>
  <si>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</si>
  <si>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</si>
  <si>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</si>
  <si>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</si>
  <si>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</si>
  <si>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</si>
  <si>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</si>
  <si>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</si>
  <si>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</si>
  <si>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</si>
  <si>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</si>
  <si>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</si>
  <si>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</si>
  <si>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</si>
  <si>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</si>
  <si>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</si>
  <si>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</si>
  <si>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</si>
  <si>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</si>
  <si>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</si>
  <si>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</si>
  <si>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</si>
  <si>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</si>
  <si>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</si>
  <si>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</si>
  <si>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</si>
  <si>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</si>
  <si>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</si>
  <si>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</si>
  <si>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</si>
  <si>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</si>
  <si>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</si>
  <si>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</si>
  <si>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</si>
  <si>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</si>
  <si>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</si>
  <si>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</si>
  <si>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</si>
  <si>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</si>
  <si>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</si>
  <si>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</si>
  <si>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</si>
  <si>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</si>
  <si>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</si>
  <si>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</si>
  <si>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</si>
  <si>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</si>
  <si>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</si>
  <si>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</si>
  <si>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</si>
  <si>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</si>
  <si>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</si>
  <si>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</si>
  <si>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</si>
  <si>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</si>
  <si>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</si>
  <si>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</si>
  <si>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</si>
  <si>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</si>
  <si>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</si>
  <si>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</si>
  <si>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</si>
  <si>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</si>
  <si>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</si>
  <si>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</si>
  <si>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</si>
  <si>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</si>
  <si>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</si>
  <si>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</si>
  <si>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</si>
  <si>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</si>
  <si>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</si>
  <si>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</si>
  <si>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</si>
  <si>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</si>
  <si>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</si>
  <si>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</si>
  <si>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</si>
  <si>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</si>
  <si>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</si>
  <si>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</si>
  <si>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</si>
  <si>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</si>
  <si>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</si>
  <si>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</si>
  <si>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</si>
  <si>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</si>
  <si>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</si>
  <si>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</si>
  <si>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</si>
  <si>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</si>
  <si>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</si>
  <si>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</si>
  <si>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</si>
  <si>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</si>
  <si>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</si>
  <si>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</si>
  <si>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</si>
  <si>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</si>
  <si>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</si>
  <si>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</si>
  <si>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</si>
  <si>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</si>
  <si>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</si>
  <si>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</si>
  <si>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</si>
  <si>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</si>
  <si>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</si>
  <si>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</si>
  <si>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</si>
  <si>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</si>
  <si>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</si>
  <si>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</si>
  <si>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</si>
  <si>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</si>
  <si>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</si>
  <si>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</si>
  <si>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</si>
  <si>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</si>
  <si>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</si>
  <si>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</si>
  <si>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</si>
  <si>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</si>
  <si>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</si>
  <si>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</si>
  <si>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</si>
  <si>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</si>
  <si>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</si>
  <si>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</si>
  <si>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</si>
  <si>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</si>
  <si>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</si>
  <si>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</si>
  <si>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</si>
  <si>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</si>
  <si>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</si>
  <si>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</si>
  <si>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</si>
  <si>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</si>
  <si>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</si>
  <si>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</si>
  <si>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</si>
  <si>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</si>
  <si>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</si>
  <si>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stop at gain start</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</si>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</sst>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67">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s>
  <fills count="7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4">
    <xf numFmtId="0" fontId="0" fillId="0" borderId="0"/>
    <xf numFmtId="165" fontId="27" fillId="0" borderId="0" applyBorder="0" applyProtection="0"/>
    <xf numFmtId="0" fontId="2" fillId="0" borderId="0"/>
    <xf numFmtId="0" fontId="1" fillId="0" borderId="0"/>
  </cellStyleXfs>
  <cellXfs count="470">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0" fillId="7" borderId="2" xfId="0" applyFill="1" applyBorder="1" applyAlignment="1">
      <alignment horizontal="right"/>
    </xf>
    <xf numFmtId="0" fontId="42" fillId="16" borderId="2" xfId="0" applyFont="1" applyFill="1" applyBorder="1" applyAlignment="1">
      <alignment horizontal="center"/>
    </xf>
    <xf numFmtId="0" fontId="45" fillId="0" borderId="28" xfId="0" applyFont="1" applyBorder="1" applyAlignment="1">
      <alignment horizontal="left" wrapText="1"/>
    </xf>
    <xf numFmtId="0" fontId="0" fillId="0" borderId="2" xfId="0" applyBorder="1" applyAlignment="1">
      <alignment horizontal="center"/>
    </xf>
    <xf numFmtId="0" fontId="45" fillId="0" borderId="28" xfId="0" applyFont="1" applyBorder="1" applyAlignment="1">
      <alignment horizontal="left" vertical="center" wrapText="1"/>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cellXfs>
  <cellStyles count="4">
    <cellStyle name="Comma" xfId="1" builtinId="3"/>
    <cellStyle name="Normal" xfId="0" builtinId="0"/>
    <cellStyle name="Normal 2" xfId="2" xr:uid="{00000000-0005-0000-0000-000006000000}"/>
    <cellStyle name="Normal 3" xfId="3" xr:uid="{C260EE9F-154D-418A-8F21-4716B700A363}"/>
  </cellStyles>
  <dxfs count="31">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1704974</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G565" zoomScale="110" zoomScaleNormal="110" workbookViewId="0">
      <selection activeCell="O583" sqref="O583"/>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55" t="s">
        <v>1</v>
      </c>
      <c r="I3" s="455"/>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56" t="s">
        <v>22</v>
      </c>
      <c r="G21" s="456"/>
      <c r="H21" s="456"/>
      <c r="I21" s="456"/>
    </row>
    <row r="22" spans="3:25" ht="18">
      <c r="F22" s="457" t="s">
        <v>23</v>
      </c>
      <c r="G22" s="457"/>
      <c r="H22" s="457"/>
      <c r="I22" s="29">
        <v>20</v>
      </c>
      <c r="O22" s="30"/>
    </row>
    <row r="23" spans="3:25" ht="15">
      <c r="F23" s="458" t="s">
        <v>24</v>
      </c>
      <c r="G23" s="458"/>
      <c r="H23" s="458"/>
      <c r="I23" s="29">
        <f>0.7*I22/10</f>
        <v>1.4</v>
      </c>
    </row>
    <row r="24" spans="3:25" ht="15">
      <c r="F24" s="458" t="s">
        <v>25</v>
      </c>
      <c r="G24" s="458"/>
      <c r="H24" s="458"/>
      <c r="I24" s="29">
        <v>2</v>
      </c>
    </row>
    <row r="25" spans="3:25" ht="15">
      <c r="F25" s="458" t="s">
        <v>26</v>
      </c>
      <c r="G25" s="458"/>
      <c r="H25" s="458"/>
      <c r="I25" s="29">
        <v>0</v>
      </c>
    </row>
    <row r="26" spans="3:25" ht="15">
      <c r="F26" s="458" t="s">
        <v>27</v>
      </c>
      <c r="G26" s="458"/>
      <c r="H26" s="458"/>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55" t="s">
        <v>1</v>
      </c>
      <c r="I33" s="455"/>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56" t="s">
        <v>22</v>
      </c>
      <c r="G51" s="456"/>
      <c r="H51" s="456"/>
      <c r="I51" s="456"/>
      <c r="K51" t="s">
        <v>33</v>
      </c>
      <c r="L51" t="s">
        <v>34</v>
      </c>
    </row>
    <row r="52" spans="3:25" ht="18">
      <c r="F52" s="457" t="s">
        <v>23</v>
      </c>
      <c r="G52" s="457"/>
      <c r="H52" s="457"/>
      <c r="I52" s="29">
        <v>20</v>
      </c>
      <c r="K52">
        <v>1</v>
      </c>
      <c r="L52">
        <v>2</v>
      </c>
      <c r="O52" s="30"/>
    </row>
    <row r="53" spans="3:25" ht="15">
      <c r="F53" s="458" t="s">
        <v>24</v>
      </c>
      <c r="G53" s="458"/>
      <c r="H53" s="458"/>
      <c r="I53" s="29">
        <f>0.7*I52/10</f>
        <v>1.4</v>
      </c>
      <c r="K53">
        <v>3</v>
      </c>
      <c r="L53">
        <v>6</v>
      </c>
      <c r="M53" t="str">
        <f>IF((K53/L53)=INT(K53/L53), "good", "bad")</f>
        <v>bad</v>
      </c>
    </row>
    <row r="54" spans="3:25" ht="15">
      <c r="F54" s="458" t="s">
        <v>25</v>
      </c>
      <c r="G54" s="458"/>
      <c r="H54" s="458"/>
      <c r="I54" s="29">
        <v>2</v>
      </c>
      <c r="K54">
        <v>1</v>
      </c>
      <c r="L54">
        <v>2</v>
      </c>
      <c r="M54" t="str">
        <f>IF((K54/L54)=INT(K54/L54), "good", "bad")</f>
        <v>bad</v>
      </c>
    </row>
    <row r="55" spans="3:25" ht="15">
      <c r="F55" s="458" t="s">
        <v>26</v>
      </c>
      <c r="G55" s="458"/>
      <c r="H55" s="458"/>
      <c r="I55" s="29">
        <v>0</v>
      </c>
      <c r="K55">
        <v>1</v>
      </c>
      <c r="L55">
        <v>2</v>
      </c>
      <c r="M55" t="str">
        <f>IF((K55/L55)=INT(K55/L55), "good", "bad")</f>
        <v>bad</v>
      </c>
    </row>
    <row r="56" spans="3:25" ht="15">
      <c r="F56" s="458" t="s">
        <v>27</v>
      </c>
      <c r="G56" s="458"/>
      <c r="H56" s="458"/>
      <c r="I56" s="29">
        <v>0</v>
      </c>
    </row>
    <row r="58" spans="3:25" ht="15">
      <c r="Y58" t="s">
        <v>28</v>
      </c>
    </row>
    <row r="60" spans="3:25" ht="15">
      <c r="C60" s="6" t="s">
        <v>35</v>
      </c>
      <c r="D60" s="7"/>
      <c r="E60" s="6"/>
      <c r="F60" s="8"/>
      <c r="G60" s="8"/>
      <c r="H60" s="8"/>
      <c r="I60" s="9"/>
      <c r="J60" s="9"/>
      <c r="K60" s="8"/>
      <c r="L60" s="8"/>
      <c r="M60" s="8"/>
      <c r="N60" s="10"/>
      <c r="O60" s="9"/>
      <c r="P60" s="9"/>
    </row>
    <row r="61" spans="3:25" ht="15">
      <c r="H61" s="455" t="s">
        <v>1</v>
      </c>
      <c r="I61" s="455"/>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56" t="s">
        <v>22</v>
      </c>
      <c r="G79" s="456"/>
      <c r="H79" s="456"/>
      <c r="I79" s="456"/>
    </row>
    <row r="80" spans="6:18" ht="18">
      <c r="F80" s="457" t="s">
        <v>23</v>
      </c>
      <c r="G80" s="457"/>
      <c r="H80" s="457"/>
      <c r="I80" s="29">
        <v>20</v>
      </c>
      <c r="O80" s="30"/>
    </row>
    <row r="81" spans="3:25" ht="15">
      <c r="F81" s="458" t="s">
        <v>24</v>
      </c>
      <c r="G81" s="458"/>
      <c r="H81" s="458"/>
      <c r="I81" s="29">
        <f>0.7*I80/10</f>
        <v>1.4</v>
      </c>
    </row>
    <row r="82" spans="3:25" ht="15">
      <c r="F82" s="458" t="s">
        <v>25</v>
      </c>
      <c r="G82" s="458"/>
      <c r="H82" s="458"/>
      <c r="I82" s="29">
        <v>2</v>
      </c>
    </row>
    <row r="83" spans="3:25" ht="15">
      <c r="F83" s="458" t="s">
        <v>26</v>
      </c>
      <c r="G83" s="458"/>
      <c r="H83" s="458"/>
      <c r="I83" s="29">
        <v>0</v>
      </c>
    </row>
    <row r="84" spans="3:25" ht="15">
      <c r="F84" s="458" t="s">
        <v>27</v>
      </c>
      <c r="G84" s="458"/>
      <c r="H84" s="458"/>
      <c r="I84" s="29">
        <v>0</v>
      </c>
    </row>
    <row r="86" spans="3:25" ht="15">
      <c r="Y86" t="s">
        <v>28</v>
      </c>
    </row>
    <row r="90" spans="3:25" ht="15">
      <c r="C90" s="6" t="s">
        <v>36</v>
      </c>
      <c r="D90" s="7"/>
      <c r="E90" s="6"/>
      <c r="F90" s="8"/>
      <c r="G90" s="8"/>
      <c r="H90" s="8"/>
      <c r="I90" s="9"/>
      <c r="J90" s="9"/>
      <c r="K90" s="8"/>
      <c r="L90" s="8"/>
      <c r="M90" s="8"/>
      <c r="N90" s="10"/>
      <c r="O90" s="9"/>
      <c r="P90" s="9"/>
    </row>
    <row r="91" spans="3:25" ht="15">
      <c r="H91" s="455" t="s">
        <v>1</v>
      </c>
      <c r="I91" s="455"/>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56" t="s">
        <v>22</v>
      </c>
      <c r="G109" s="456"/>
      <c r="H109" s="456"/>
      <c r="I109" s="456"/>
    </row>
    <row r="110" spans="6:18" ht="18">
      <c r="F110" s="457" t="s">
        <v>23</v>
      </c>
      <c r="G110" s="457"/>
      <c r="H110" s="457"/>
      <c r="I110" s="29">
        <v>20</v>
      </c>
      <c r="O110" s="30"/>
    </row>
    <row r="111" spans="6:18" ht="15">
      <c r="F111" s="458" t="s">
        <v>24</v>
      </c>
      <c r="G111" s="458"/>
      <c r="H111" s="458"/>
      <c r="I111" s="29">
        <f>0.7*I110/10</f>
        <v>1.4</v>
      </c>
    </row>
    <row r="112" spans="6:18" ht="15">
      <c r="F112" s="458" t="s">
        <v>25</v>
      </c>
      <c r="G112" s="458"/>
      <c r="H112" s="458"/>
      <c r="I112" s="29">
        <v>2</v>
      </c>
    </row>
    <row r="113" spans="3:17" ht="15">
      <c r="F113" s="458" t="s">
        <v>26</v>
      </c>
      <c r="G113" s="458"/>
      <c r="H113" s="458"/>
      <c r="I113" s="29">
        <v>2</v>
      </c>
    </row>
    <row r="114" spans="3:17" ht="15">
      <c r="F114" s="458" t="s">
        <v>27</v>
      </c>
      <c r="G114" s="458"/>
      <c r="H114" s="458"/>
      <c r="I114" s="29">
        <v>2</v>
      </c>
    </row>
    <row r="119" spans="3:17" ht="15">
      <c r="C119" s="6" t="s">
        <v>38</v>
      </c>
      <c r="D119" s="7"/>
      <c r="E119" s="6"/>
      <c r="F119" s="8"/>
      <c r="G119" s="8"/>
      <c r="H119" s="8"/>
      <c r="I119" s="9"/>
      <c r="J119" s="9"/>
      <c r="K119" s="8"/>
      <c r="L119" s="8"/>
      <c r="M119" s="8"/>
      <c r="N119" s="10"/>
      <c r="O119" s="9"/>
      <c r="P119" s="9"/>
    </row>
    <row r="120" spans="3:17" ht="15">
      <c r="H120" s="455" t="s">
        <v>1</v>
      </c>
      <c r="I120" s="455"/>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56" t="s">
        <v>22</v>
      </c>
      <c r="G138" s="456"/>
      <c r="H138" s="456"/>
      <c r="I138" s="456"/>
    </row>
    <row r="139" spans="6:18" ht="18">
      <c r="F139" s="457" t="s">
        <v>23</v>
      </c>
      <c r="G139" s="457"/>
      <c r="H139" s="457"/>
      <c r="I139" s="29">
        <v>20</v>
      </c>
      <c r="O139" s="30"/>
    </row>
    <row r="140" spans="6:18" ht="15">
      <c r="F140" s="458" t="s">
        <v>24</v>
      </c>
      <c r="G140" s="458"/>
      <c r="H140" s="458"/>
      <c r="I140" s="29">
        <f>0.7*I139/10</f>
        <v>1.4</v>
      </c>
    </row>
    <row r="141" spans="6:18" ht="15">
      <c r="F141" s="458" t="s">
        <v>25</v>
      </c>
      <c r="G141" s="458"/>
      <c r="H141" s="458"/>
      <c r="I141" s="29">
        <v>2</v>
      </c>
    </row>
    <row r="142" spans="6:18" ht="15">
      <c r="F142" s="458" t="s">
        <v>26</v>
      </c>
      <c r="G142" s="458"/>
      <c r="H142" s="458"/>
      <c r="I142" s="29">
        <v>1</v>
      </c>
    </row>
    <row r="143" spans="6:18" ht="15">
      <c r="F143" s="458" t="s">
        <v>27</v>
      </c>
      <c r="G143" s="458"/>
      <c r="H143" s="458"/>
      <c r="I143" s="29">
        <v>1</v>
      </c>
    </row>
    <row r="149" spans="3:17" ht="15">
      <c r="C149" s="6" t="s">
        <v>39</v>
      </c>
      <c r="D149" s="7"/>
      <c r="E149" s="6"/>
      <c r="F149" s="8"/>
      <c r="G149" s="8"/>
      <c r="H149" s="8"/>
      <c r="I149" s="9"/>
      <c r="J149" s="9"/>
      <c r="K149" s="8"/>
      <c r="L149" s="8"/>
      <c r="M149" s="8"/>
      <c r="N149" s="10"/>
      <c r="O149" s="9"/>
      <c r="P149" s="9"/>
    </row>
    <row r="150" spans="3:17" ht="15">
      <c r="H150" s="455" t="s">
        <v>1</v>
      </c>
      <c r="I150" s="455"/>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56" t="s">
        <v>22</v>
      </c>
      <c r="G168" s="456"/>
      <c r="H168" s="456"/>
      <c r="I168" s="456"/>
    </row>
    <row r="169" spans="6:18" ht="18">
      <c r="F169" s="457" t="s">
        <v>23</v>
      </c>
      <c r="G169" s="457"/>
      <c r="H169" s="457"/>
      <c r="I169" s="29">
        <v>20</v>
      </c>
      <c r="O169" s="30"/>
    </row>
    <row r="170" spans="6:18" ht="15">
      <c r="F170" s="458" t="s">
        <v>24</v>
      </c>
      <c r="G170" s="458"/>
      <c r="H170" s="458"/>
      <c r="I170" s="29">
        <f>0.7*I169/10</f>
        <v>1.4</v>
      </c>
    </row>
    <row r="171" spans="6:18" ht="15">
      <c r="F171" s="458" t="s">
        <v>25</v>
      </c>
      <c r="G171" s="458"/>
      <c r="H171" s="458"/>
      <c r="I171" s="29">
        <v>2</v>
      </c>
    </row>
    <row r="172" spans="6:18" ht="15">
      <c r="F172" s="458" t="s">
        <v>26</v>
      </c>
      <c r="G172" s="458"/>
      <c r="H172" s="458"/>
      <c r="I172" s="29">
        <v>1</v>
      </c>
    </row>
    <row r="173" spans="6:18" ht="15">
      <c r="F173" s="458" t="s">
        <v>27</v>
      </c>
      <c r="G173" s="458"/>
      <c r="H173" s="458"/>
      <c r="I173" s="29">
        <v>1</v>
      </c>
    </row>
    <row r="178" spans="3:17" ht="15">
      <c r="C178" s="6" t="s">
        <v>40</v>
      </c>
      <c r="D178" s="7"/>
      <c r="E178" s="6"/>
      <c r="F178" s="8"/>
      <c r="G178" s="8"/>
      <c r="H178" s="8"/>
      <c r="I178" s="9"/>
      <c r="J178" s="9"/>
      <c r="K178" s="8"/>
      <c r="L178" s="8"/>
      <c r="M178" s="8"/>
      <c r="N178" s="10"/>
      <c r="O178" s="9"/>
      <c r="P178" s="9"/>
    </row>
    <row r="179" spans="3:17" ht="15">
      <c r="H179" s="455" t="s">
        <v>1</v>
      </c>
      <c r="I179" s="455"/>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56" t="s">
        <v>22</v>
      </c>
      <c r="G197" s="456"/>
      <c r="H197" s="456"/>
      <c r="I197" s="456"/>
    </row>
    <row r="198" spans="6:19" ht="18">
      <c r="F198" s="457" t="s">
        <v>23</v>
      </c>
      <c r="G198" s="457"/>
      <c r="H198" s="457"/>
      <c r="I198" s="29">
        <v>20</v>
      </c>
      <c r="O198" s="30"/>
    </row>
    <row r="199" spans="6:19" ht="15">
      <c r="F199" s="458" t="s">
        <v>24</v>
      </c>
      <c r="G199" s="458"/>
      <c r="H199" s="458"/>
      <c r="I199" s="29">
        <f>0.7*I198/10</f>
        <v>1.4</v>
      </c>
    </row>
    <row r="200" spans="6:19" ht="15">
      <c r="F200" s="458" t="s">
        <v>25</v>
      </c>
      <c r="G200" s="458"/>
      <c r="H200" s="458"/>
      <c r="I200" s="29">
        <v>2</v>
      </c>
    </row>
    <row r="201" spans="6:19" ht="15">
      <c r="F201" s="458" t="s">
        <v>26</v>
      </c>
      <c r="G201" s="458"/>
      <c r="H201" s="458"/>
      <c r="I201" s="29">
        <v>1</v>
      </c>
    </row>
    <row r="202" spans="6:19" ht="15">
      <c r="F202" s="458" t="s">
        <v>27</v>
      </c>
      <c r="G202" s="458"/>
      <c r="H202" s="458"/>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55" t="s">
        <v>1</v>
      </c>
      <c r="I219" s="455"/>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56" t="s">
        <v>22</v>
      </c>
      <c r="G237" s="456"/>
      <c r="H237" s="456"/>
      <c r="I237" s="456"/>
    </row>
    <row r="238" spans="6:19" ht="18">
      <c r="F238" s="457" t="s">
        <v>23</v>
      </c>
      <c r="G238" s="457"/>
      <c r="H238" s="457"/>
      <c r="I238" s="29">
        <v>20</v>
      </c>
      <c r="O238" s="30"/>
      <c r="P238" s="40" t="s">
        <v>47</v>
      </c>
      <c r="Q238" s="41"/>
      <c r="R238" s="42">
        <f>P235</f>
        <v>643.01035679999995</v>
      </c>
      <c r="S238" s="43" t="s">
        <v>42</v>
      </c>
    </row>
    <row r="239" spans="6:19" ht="15">
      <c r="F239" s="458" t="s">
        <v>24</v>
      </c>
      <c r="G239" s="458"/>
      <c r="H239" s="458"/>
      <c r="I239" s="29">
        <f>0.7*I238/10</f>
        <v>1.4</v>
      </c>
    </row>
    <row r="240" spans="6:19" ht="15">
      <c r="F240" s="458" t="s">
        <v>25</v>
      </c>
      <c r="G240" s="458"/>
      <c r="H240" s="458"/>
      <c r="I240" s="29">
        <v>2</v>
      </c>
    </row>
    <row r="241" spans="3:19" ht="15">
      <c r="F241" s="458" t="s">
        <v>26</v>
      </c>
      <c r="G241" s="458"/>
      <c r="H241" s="458"/>
      <c r="I241" s="29">
        <v>20</v>
      </c>
    </row>
    <row r="242" spans="3:19" ht="15">
      <c r="F242" s="458" t="s">
        <v>27</v>
      </c>
      <c r="G242" s="458"/>
      <c r="H242" s="458"/>
      <c r="I242" s="29">
        <v>8</v>
      </c>
    </row>
    <row r="246" spans="3:19" ht="15">
      <c r="C246" s="6" t="s">
        <v>48</v>
      </c>
      <c r="D246" s="7"/>
      <c r="E246" s="6"/>
      <c r="F246" s="8"/>
      <c r="G246" s="8"/>
      <c r="H246" s="8"/>
      <c r="I246" s="9"/>
      <c r="J246" s="9"/>
      <c r="K246" s="8"/>
      <c r="L246" s="8"/>
      <c r="M246" s="8"/>
      <c r="N246" s="10"/>
      <c r="O246" s="9"/>
      <c r="P246" s="9"/>
    </row>
    <row r="247" spans="3:19" ht="15">
      <c r="H247" s="455" t="s">
        <v>1</v>
      </c>
      <c r="I247" s="455"/>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56" t="s">
        <v>22</v>
      </c>
      <c r="G265" s="456"/>
      <c r="H265" s="456"/>
      <c r="I265" s="456"/>
      <c r="K265" s="54" t="s">
        <v>58</v>
      </c>
      <c r="L265" s="55"/>
      <c r="M265" s="55"/>
      <c r="N265" s="56"/>
      <c r="O265" s="57" t="s">
        <v>59</v>
      </c>
      <c r="P265" s="57" t="s">
        <v>60</v>
      </c>
      <c r="Q265" s="58"/>
      <c r="S265" s="59" t="s">
        <v>61</v>
      </c>
      <c r="T265" s="60"/>
      <c r="U265" s="55"/>
      <c r="V265" s="56"/>
      <c r="W265" s="57" t="s">
        <v>59</v>
      </c>
      <c r="X265" s="57" t="s">
        <v>60</v>
      </c>
      <c r="Y265" s="58"/>
    </row>
    <row r="266" spans="6:25" ht="18">
      <c r="F266" s="457" t="s">
        <v>23</v>
      </c>
      <c r="G266" s="457"/>
      <c r="H266" s="457"/>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58" t="s">
        <v>24</v>
      </c>
      <c r="G267" s="458"/>
      <c r="H267" s="458"/>
      <c r="I267" s="29">
        <f>0.7*I266/10</f>
        <v>1.4</v>
      </c>
      <c r="K267" s="61"/>
      <c r="L267" s="46"/>
      <c r="M267" s="46"/>
      <c r="N267" s="46"/>
      <c r="O267" s="66" t="s">
        <v>62</v>
      </c>
      <c r="P267" s="46"/>
      <c r="Q267" s="64"/>
      <c r="S267" s="61"/>
      <c r="T267" s="65"/>
      <c r="U267" s="46"/>
      <c r="V267" s="46"/>
      <c r="W267" s="66" t="s">
        <v>62</v>
      </c>
      <c r="X267" s="62"/>
      <c r="Y267" s="64"/>
    </row>
    <row r="268" spans="6:25" ht="15">
      <c r="F268" s="458" t="s">
        <v>25</v>
      </c>
      <c r="G268" s="458"/>
      <c r="H268" s="458"/>
      <c r="I268" s="29">
        <v>2</v>
      </c>
      <c r="K268" s="61"/>
      <c r="L268" s="67"/>
      <c r="M268" s="46"/>
      <c r="N268" s="46"/>
      <c r="O268" s="68">
        <f>Q238/86400</f>
        <v>0</v>
      </c>
      <c r="P268" s="46"/>
      <c r="Q268" s="64"/>
      <c r="S268" s="61"/>
      <c r="T268" s="69"/>
      <c r="U268" s="46"/>
      <c r="V268" s="46"/>
      <c r="W268" s="68">
        <f>Y238/86400</f>
        <v>0</v>
      </c>
      <c r="X268" s="46"/>
      <c r="Y268" s="64"/>
    </row>
    <row r="269" spans="6:25" ht="15">
      <c r="F269" s="458" t="s">
        <v>63</v>
      </c>
      <c r="G269" s="458"/>
      <c r="H269" s="458"/>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58" t="s">
        <v>71</v>
      </c>
      <c r="G270" s="458"/>
      <c r="H270" s="458"/>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0"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29"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28"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27"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6"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5"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4"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3"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2"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J6" zoomScale="90" zoomScaleNormal="90" workbookViewId="0">
      <pane ySplit="765" topLeftCell="A19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4381</v>
      </c>
    </row>
    <row r="12" spans="5:7">
      <c r="E12" t="s">
        <v>4377</v>
      </c>
      <c r="F12" t="s">
        <v>4378</v>
      </c>
    </row>
    <row r="13" spans="5:7">
      <c r="E13" t="s">
        <v>4378</v>
      </c>
      <c r="F13" t="s">
        <v>4379</v>
      </c>
    </row>
    <row r="14" spans="5:7">
      <c r="E14" t="s">
        <v>4380</v>
      </c>
      <c r="F14" t="s">
        <v>4380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2:BE396"/>
  <sheetViews>
    <sheetView tabSelected="1" zoomScaleNormal="100" workbookViewId="0">
      <pane ySplit="2325" topLeftCell="A312" activePane="bottomLeft"/>
      <selection activeCell="B6" sqref="B6"/>
      <selection pane="bottomLeft" activeCell="A314" sqref="A314"/>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4" max="14" width="11" customWidth="1"/>
    <col min="15" max="15" width="13.7109375" customWidth="1"/>
    <col min="16" max="16" width="15.1406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2:33" ht="15">
      <c r="M2" t="s">
        <v>758</v>
      </c>
      <c r="N2">
        <v>126</v>
      </c>
      <c r="O2">
        <v>159</v>
      </c>
      <c r="P2">
        <f>O2-N2</f>
        <v>33</v>
      </c>
      <c r="Q2">
        <f>P2*S6</f>
        <v>31.728378000000003</v>
      </c>
      <c r="R2" s="17" t="s">
        <v>4278</v>
      </c>
      <c r="S2" s="388">
        <f>'SWAP Data Volumns'!K108</f>
        <v>0.5056665308181959</v>
      </c>
    </row>
    <row r="3" spans="12:33" ht="15">
      <c r="N3">
        <v>159</v>
      </c>
      <c r="O3">
        <v>181</v>
      </c>
      <c r="P3">
        <f>O3-N3</f>
        <v>22</v>
      </c>
      <c r="Q3">
        <f>P3*X6</f>
        <v>56.201820631579039</v>
      </c>
      <c r="R3" s="17" t="s">
        <v>4308</v>
      </c>
      <c r="S3" s="388">
        <f>'SWAP Data Volumns'!K99</f>
        <v>0.80996710526315774</v>
      </c>
      <c r="V3">
        <f>4.513307/V10</f>
        <v>0.92947580888228509</v>
      </c>
      <c r="X3">
        <f>25/X6</f>
        <v>9.7861598400063663</v>
      </c>
    </row>
    <row r="4" spans="12:33" ht="15">
      <c r="N4">
        <v>181</v>
      </c>
      <c r="O4">
        <v>218</v>
      </c>
      <c r="P4">
        <f>O4-N4</f>
        <v>37</v>
      </c>
      <c r="Q4">
        <f>P4*S6</f>
        <v>35.574241999999998</v>
      </c>
      <c r="R4" s="17" t="s">
        <v>4172</v>
      </c>
      <c r="S4" s="388">
        <f>'SWAP Data Volumns'!K90</f>
        <v>1.4028285692679976</v>
      </c>
      <c r="W4" t="s">
        <v>4117</v>
      </c>
      <c r="X4" s="401">
        <f>'SWAP Data Volumns'!K108</f>
        <v>0.5056665308181959</v>
      </c>
    </row>
    <row r="5" spans="12:33" ht="15">
      <c r="L5">
        <f>66+90+23+164+28+5</f>
        <v>376</v>
      </c>
      <c r="M5">
        <f>16+18+66+90+23+164+33</f>
        <v>410</v>
      </c>
      <c r="Q5">
        <f>Q4+Q3+Q2</f>
        <v>123.50444063157904</v>
      </c>
      <c r="R5" s="17" t="s">
        <v>4277</v>
      </c>
      <c r="S5" s="388">
        <f>'SWAP Data Volumns'!K72</f>
        <v>3.6959320175438592</v>
      </c>
    </row>
    <row r="6" spans="12:33" ht="15">
      <c r="L6">
        <f>(51-44)*X6</f>
        <v>17.882397473684239</v>
      </c>
      <c r="M6">
        <f>82+49+54+105+82+39</f>
        <v>411</v>
      </c>
      <c r="R6" t="s">
        <v>759</v>
      </c>
      <c r="S6" s="3">
        <v>0.96146600000000004</v>
      </c>
      <c r="U6" t="s">
        <v>759</v>
      </c>
      <c r="V6" s="3">
        <f>V9*8*86400/1000000</f>
        <v>2.6403840000000001</v>
      </c>
      <c r="W6" s="3">
        <v>2.546459</v>
      </c>
      <c r="X6">
        <v>2.5546282105263201</v>
      </c>
    </row>
    <row r="7" spans="1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1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4090</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4091</v>
      </c>
      <c r="U22" s="134" t="s">
        <v>785</v>
      </c>
      <c r="V22" s="218">
        <f t="shared" ref="V22" si="3">Y22/8</f>
        <v>4.5625303819444447</v>
      </c>
      <c r="W22" t="s">
        <v>805</v>
      </c>
      <c r="X22" s="3" t="s">
        <v>4171</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4151</v>
      </c>
      <c r="R29" s="91"/>
      <c r="S29" s="91"/>
      <c r="T29" s="146" t="s">
        <v>4091</v>
      </c>
      <c r="U29" s="134" t="s">
        <v>785</v>
      </c>
      <c r="V29" s="218">
        <f t="shared" si="6"/>
        <v>6.3515147569444439</v>
      </c>
      <c r="W29" t="s">
        <v>4151</v>
      </c>
      <c r="X29" s="3" t="s">
        <v>4171</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4151</v>
      </c>
      <c r="R30" s="91"/>
      <c r="S30" s="91">
        <v>26201</v>
      </c>
      <c r="T30" s="146" t="s">
        <v>4268</v>
      </c>
      <c r="U30" s="134" t="s">
        <v>785</v>
      </c>
      <c r="V30" s="218">
        <f t="shared" ref="V30" si="9">Y30/8</f>
        <v>4.9404774305555561</v>
      </c>
      <c r="W30" t="s">
        <v>4151</v>
      </c>
      <c r="X30" s="3" t="s">
        <v>4269</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4366</v>
      </c>
      <c r="R31" s="91"/>
      <c r="S31" s="91">
        <v>26179</v>
      </c>
      <c r="T31" s="146" t="s">
        <v>4268</v>
      </c>
      <c r="U31" s="134" t="s">
        <v>785</v>
      </c>
      <c r="V31" s="218">
        <f t="shared" ref="V31" si="11">Y31/8</f>
        <v>0.34244791666666669</v>
      </c>
      <c r="W31" t="s">
        <v>4151</v>
      </c>
      <c r="X31" s="3" t="s">
        <v>4269</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12: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12:45" ht="15">
      <c r="L50" s="3"/>
      <c r="M50" s="3"/>
      <c r="N50" s="3"/>
      <c r="AA50" s="3"/>
      <c r="AD50" s="3"/>
      <c r="AE50" s="3"/>
      <c r="AH50" s="232"/>
      <c r="AI50" s="232"/>
      <c r="AJ50">
        <f>SUM(AJ47:AJ49)</f>
        <v>36.639108999999998</v>
      </c>
    </row>
    <row r="51" spans="12:45" ht="15.75">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12:45" ht="15">
      <c r="L52" s="3"/>
      <c r="M52" s="3" t="s">
        <v>893</v>
      </c>
      <c r="N52" s="3"/>
      <c r="O52" s="3"/>
      <c r="Y52">
        <f>SUM(Y41:Y51)</f>
        <v>69.607270999999997</v>
      </c>
      <c r="AB52" s="243">
        <f>AC51+AC44+AC43+AC42+AC41</f>
        <v>16.324089734483657</v>
      </c>
      <c r="AC52" s="3"/>
      <c r="AD52" s="3"/>
      <c r="AG52" s="219"/>
      <c r="AH52" s="219"/>
    </row>
    <row r="53" spans="12:45" ht="15">
      <c r="L53" s="3"/>
      <c r="M53" s="3"/>
      <c r="N53" s="3"/>
      <c r="O53" s="3"/>
      <c r="Y53">
        <f>Y51+Y44+Y43+Y41</f>
        <v>32.968162</v>
      </c>
      <c r="Z53" s="239">
        <f>Y49+Y48+Y47</f>
        <v>36.639108999999998</v>
      </c>
      <c r="AB53" t="s">
        <v>894</v>
      </c>
      <c r="AC53" s="3"/>
      <c r="AD53" s="3"/>
      <c r="AG53" s="219"/>
      <c r="AH53" s="219"/>
    </row>
    <row r="54" spans="12: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12:45" ht="15">
      <c r="L55" s="93" t="s">
        <v>899</v>
      </c>
      <c r="M55" s="3"/>
      <c r="N55" s="3"/>
      <c r="O55" s="3"/>
      <c r="AC55" s="3"/>
      <c r="AD55" s="3"/>
      <c r="AG55" s="219"/>
      <c r="AH55" s="219"/>
      <c r="AK55" s="244" t="s">
        <v>900</v>
      </c>
      <c r="AL55" s="244" t="s">
        <v>901</v>
      </c>
      <c r="AM55" s="244">
        <v>3.7</v>
      </c>
      <c r="AN55" s="244">
        <v>3.7</v>
      </c>
      <c r="AO55" s="244">
        <v>-1.73</v>
      </c>
      <c r="AR55" s="3">
        <v>4.07</v>
      </c>
    </row>
    <row r="56" spans="12: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12:45" ht="15">
      <c r="O57" s="3"/>
      <c r="AC57" s="3"/>
      <c r="AD57" s="3"/>
      <c r="AG57" s="219"/>
      <c r="AH57" s="219"/>
      <c r="AK57" s="244" t="s">
        <v>905</v>
      </c>
      <c r="AL57" s="244" t="s">
        <v>906</v>
      </c>
      <c r="AM57" s="244">
        <v>4.42</v>
      </c>
      <c r="AN57" s="244">
        <v>1.46</v>
      </c>
      <c r="AO57" s="244">
        <v>-2.68</v>
      </c>
      <c r="AR57" s="3">
        <v>4.87</v>
      </c>
    </row>
    <row r="58" spans="12: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12:45" ht="15">
      <c r="X59" t="s">
        <v>913</v>
      </c>
      <c r="AC59" s="3"/>
      <c r="AD59" s="3"/>
      <c r="AG59" s="219"/>
      <c r="AH59" s="219"/>
      <c r="AK59" s="245" t="s">
        <v>914</v>
      </c>
      <c r="AL59" s="246" t="s">
        <v>915</v>
      </c>
      <c r="AM59" s="244">
        <v>11.16</v>
      </c>
      <c r="AN59" s="244">
        <v>11.16</v>
      </c>
      <c r="AO59" s="246">
        <v>11.16</v>
      </c>
      <c r="AP59" s="248">
        <f>AP58+AO59</f>
        <v>17.59</v>
      </c>
      <c r="AR59" s="3">
        <v>12.28</v>
      </c>
    </row>
    <row r="60" spans="12:45" ht="15">
      <c r="X60" t="s">
        <v>916</v>
      </c>
      <c r="AC60" s="3"/>
      <c r="AD60" s="3"/>
      <c r="AE60" s="3"/>
      <c r="AH60" s="219"/>
      <c r="AI60" s="219"/>
      <c r="AL60" s="244" t="s">
        <v>917</v>
      </c>
      <c r="AM60" s="244" t="s">
        <v>918</v>
      </c>
      <c r="AN60" s="244">
        <v>0</v>
      </c>
      <c r="AO60" s="244">
        <v>0</v>
      </c>
      <c r="AP60" s="249">
        <v>0</v>
      </c>
      <c r="AS60" s="3"/>
    </row>
    <row r="61" spans="12: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12:45" ht="15">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12:45" ht="15">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12: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4375</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M85" s="3"/>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V92">
        <f>23*0.96</f>
        <v>22.08</v>
      </c>
      <c r="W92">
        <f>86400*V92</f>
        <v>1907711.9999999998</v>
      </c>
      <c r="Z92" s="238">
        <f>Y82</f>
        <v>0</v>
      </c>
      <c r="AB92" s="243">
        <f>AB91+AB86+AB80</f>
        <v>1397840</v>
      </c>
      <c r="AC92" s="3"/>
      <c r="AD92" s="3">
        <f>SUM(AD84:AD91)</f>
        <v>2.1029840000018876</v>
      </c>
      <c r="AE92" s="3"/>
      <c r="AH92" s="232"/>
      <c r="AI92" s="232"/>
    </row>
    <row r="93" spans="1:43" ht="15">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4374</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4372</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4049</v>
      </c>
      <c r="M157">
        <f>2000000/3600</f>
        <v>555.55555555555554</v>
      </c>
      <c r="N157" t="s">
        <v>4044</v>
      </c>
      <c r="O157">
        <v>27</v>
      </c>
      <c r="P157">
        <f>O157*3600*M157</f>
        <v>54000000</v>
      </c>
      <c r="Q157" t="s">
        <v>4047</v>
      </c>
      <c r="S157" t="s">
        <v>4048</v>
      </c>
      <c r="U157" s="3">
        <v>27</v>
      </c>
      <c r="AE157" s="232"/>
      <c r="AF157" s="232"/>
    </row>
    <row r="158" spans="1:57" ht="15">
      <c r="M158" t="s">
        <v>4045</v>
      </c>
      <c r="N158" t="s">
        <v>4046</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v>3.1</v>
      </c>
      <c r="H166" s="3"/>
      <c r="I166" s="3" t="s">
        <v>769</v>
      </c>
      <c r="J166" s="3"/>
      <c r="K166" s="17" t="s">
        <v>1309</v>
      </c>
      <c r="L166" s="257" t="s">
        <v>1223</v>
      </c>
      <c r="M166" s="257" t="s">
        <v>1310</v>
      </c>
      <c r="N166" t="s">
        <v>1311</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G167">
        <v>3.5</v>
      </c>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4376</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I222">
        <f>7*2.55</f>
        <v>17.849999999999998</v>
      </c>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K225" t="s">
        <v>1548</v>
      </c>
      <c r="L225" t="s">
        <v>1549</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1550</v>
      </c>
      <c r="M227">
        <v>2.5546282105263201</v>
      </c>
      <c r="P227" s="81" t="s">
        <v>1531</v>
      </c>
      <c r="Q227" s="81" t="s">
        <v>1532</v>
      </c>
      <c r="R227" s="81">
        <v>615857756</v>
      </c>
      <c r="S227" s="81">
        <v>0</v>
      </c>
      <c r="T227" s="81" t="s">
        <v>1124</v>
      </c>
      <c r="U227" s="81" t="s">
        <v>1516</v>
      </c>
      <c r="V227" s="81" t="s">
        <v>1533</v>
      </c>
      <c r="W227" s="81"/>
      <c r="X227" s="81" t="s">
        <v>1518</v>
      </c>
      <c r="AF227" t="s">
        <v>1551</v>
      </c>
    </row>
    <row r="229" spans="1:45" ht="13.5" customHeight="1">
      <c r="A229" t="s">
        <v>1318</v>
      </c>
      <c r="C229" s="3"/>
      <c r="D229" s="3"/>
      <c r="E229" s="3"/>
      <c r="F229" s="3"/>
      <c r="G229" s="3"/>
      <c r="H229" s="3"/>
      <c r="I229" s="3"/>
      <c r="J229" s="3" t="s">
        <v>943</v>
      </c>
      <c r="K229" s="3" t="s">
        <v>1540</v>
      </c>
      <c r="L229" s="226" t="str">
        <f>M220</f>
        <v>051/14:02</v>
      </c>
      <c r="M229" s="226" t="s">
        <v>1552</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1553</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1554</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1555</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1556</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1557</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1558</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1559</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1560</v>
      </c>
      <c r="J237" s="3" t="s">
        <v>943</v>
      </c>
      <c r="K237" s="3" t="s">
        <v>1540</v>
      </c>
      <c r="L237" s="226" t="str">
        <f t="shared" si="90"/>
        <v>064/02:39</v>
      </c>
      <c r="M237" s="226" t="s">
        <v>1561</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1560</v>
      </c>
      <c r="J238" s="3" t="s">
        <v>943</v>
      </c>
      <c r="K238" s="3" t="s">
        <v>1540</v>
      </c>
      <c r="L238" s="226" t="str">
        <f t="shared" si="90"/>
        <v>066/15:58</v>
      </c>
      <c r="M238" s="226" t="s">
        <v>1562</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1560</v>
      </c>
      <c r="J239" s="3" t="s">
        <v>943</v>
      </c>
      <c r="K239" s="3" t="s">
        <v>1540</v>
      </c>
      <c r="L239" s="226" t="str">
        <f t="shared" si="90"/>
        <v>069/04:77</v>
      </c>
      <c r="M239" s="226" t="s">
        <v>1563</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1560</v>
      </c>
      <c r="J240" s="3" t="s">
        <v>943</v>
      </c>
      <c r="K240" s="3" t="s">
        <v>1540</v>
      </c>
      <c r="L240" s="226" t="str">
        <f t="shared" si="90"/>
        <v>071/18:36</v>
      </c>
      <c r="M240" s="411" t="s">
        <v>1564</v>
      </c>
      <c r="N240" s="3" t="s">
        <v>4373</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4050</v>
      </c>
      <c r="Q265" s="396" t="s">
        <v>4051</v>
      </c>
      <c r="R265" s="396">
        <v>644923315</v>
      </c>
      <c r="S265" s="390">
        <v>7</v>
      </c>
      <c r="T265" s="390" t="s">
        <v>373</v>
      </c>
      <c r="U265" s="390" t="s">
        <v>1013</v>
      </c>
      <c r="V265" s="396" t="s">
        <v>866</v>
      </c>
      <c r="W265" s="390" t="s">
        <v>867</v>
      </c>
      <c r="X265" s="390" t="s">
        <v>4052</v>
      </c>
    </row>
    <row r="266" spans="12:24" ht="13.5" customHeight="1">
      <c r="P266" s="390" t="s">
        <v>4053</v>
      </c>
      <c r="Q266" s="390" t="s">
        <v>4054</v>
      </c>
      <c r="R266" s="390">
        <v>644924995</v>
      </c>
      <c r="S266" s="390">
        <v>0</v>
      </c>
      <c r="T266" s="390" t="s">
        <v>1124</v>
      </c>
      <c r="U266" s="390" t="s">
        <v>4055</v>
      </c>
      <c r="V266" s="390" t="s">
        <v>1517</v>
      </c>
      <c r="W266" s="390"/>
      <c r="X266" s="390" t="s">
        <v>4052</v>
      </c>
    </row>
    <row r="267" spans="12:24" ht="13.5" customHeight="1">
      <c r="P267" s="390" t="s">
        <v>4056</v>
      </c>
      <c r="Q267" s="390" t="s">
        <v>4057</v>
      </c>
      <c r="R267" s="390">
        <v>644924998</v>
      </c>
      <c r="S267" s="390">
        <v>0</v>
      </c>
      <c r="T267" s="390" t="s">
        <v>1124</v>
      </c>
      <c r="U267" s="390" t="s">
        <v>4055</v>
      </c>
      <c r="V267" s="390" t="s">
        <v>1523</v>
      </c>
      <c r="W267" s="390"/>
      <c r="X267" s="390" t="s">
        <v>4052</v>
      </c>
    </row>
    <row r="268" spans="12:24" ht="13.5" customHeight="1">
      <c r="P268" s="390" t="s">
        <v>4058</v>
      </c>
      <c r="Q268" s="390" t="s">
        <v>4059</v>
      </c>
      <c r="R268" s="390">
        <v>644925001</v>
      </c>
      <c r="S268" s="390">
        <v>0</v>
      </c>
      <c r="T268" s="390" t="s">
        <v>1124</v>
      </c>
      <c r="U268" s="390" t="s">
        <v>4055</v>
      </c>
      <c r="V268" s="390" t="s">
        <v>1528</v>
      </c>
      <c r="W268" s="390"/>
      <c r="X268" s="390" t="s">
        <v>4052</v>
      </c>
    </row>
    <row r="269" spans="12:24" ht="13.5" customHeight="1">
      <c r="P269" s="390" t="s">
        <v>4060</v>
      </c>
      <c r="Q269" s="390" t="s">
        <v>4061</v>
      </c>
      <c r="R269" s="390">
        <v>644925004</v>
      </c>
      <c r="S269" s="390">
        <v>0</v>
      </c>
      <c r="T269" s="390" t="s">
        <v>1124</v>
      </c>
      <c r="U269" s="390" t="s">
        <v>4055</v>
      </c>
      <c r="V269" s="390" t="s">
        <v>1164</v>
      </c>
      <c r="W269" s="390"/>
      <c r="X269" s="390" t="s">
        <v>4052</v>
      </c>
    </row>
    <row r="270" spans="12:24" ht="13.5" customHeight="1">
      <c r="L270">
        <f>265057</f>
        <v>265057</v>
      </c>
      <c r="M270">
        <v>21845</v>
      </c>
      <c r="P270" s="390" t="s">
        <v>4062</v>
      </c>
      <c r="Q270" s="390" t="s">
        <v>4063</v>
      </c>
      <c r="R270" s="390">
        <v>644925055</v>
      </c>
      <c r="S270" s="390">
        <v>0</v>
      </c>
      <c r="T270" s="390" t="s">
        <v>1124</v>
      </c>
      <c r="U270" s="390" t="s">
        <v>4055</v>
      </c>
      <c r="V270" s="396" t="s">
        <v>2585</v>
      </c>
      <c r="W270" s="390"/>
      <c r="X270" s="390" t="s">
        <v>4052</v>
      </c>
    </row>
    <row r="271" spans="12:24" ht="13.5" customHeight="1">
      <c r="L271">
        <f>L270*8/1000000</f>
        <v>2.1204559999999999</v>
      </c>
      <c r="M271">
        <f>M270*8/1000000</f>
        <v>0.17476</v>
      </c>
      <c r="P271" s="390" t="s">
        <v>4064</v>
      </c>
      <c r="Q271" s="390" t="s">
        <v>4065</v>
      </c>
      <c r="R271" s="390">
        <v>644925655</v>
      </c>
      <c r="S271" s="390">
        <v>0</v>
      </c>
      <c r="T271" s="390" t="s">
        <v>1124</v>
      </c>
      <c r="U271" s="390" t="s">
        <v>4055</v>
      </c>
      <c r="V271" s="390" t="s">
        <v>1533</v>
      </c>
      <c r="W271" s="390"/>
      <c r="X271" s="390" t="s">
        <v>4052</v>
      </c>
    </row>
    <row r="272" spans="12:24" ht="13.5" customHeight="1">
      <c r="P272" s="390" t="s">
        <v>4066</v>
      </c>
      <c r="Q272" s="390" t="s">
        <v>4067</v>
      </c>
      <c r="R272" s="390">
        <v>644926255</v>
      </c>
      <c r="S272" s="390">
        <v>0</v>
      </c>
      <c r="T272" s="390" t="s">
        <v>1124</v>
      </c>
      <c r="U272" s="390" t="s">
        <v>4055</v>
      </c>
      <c r="V272" s="390" t="s">
        <v>4068</v>
      </c>
      <c r="W272" s="390"/>
      <c r="X272" s="390" t="s">
        <v>4052</v>
      </c>
    </row>
    <row r="273" spans="1:43" ht="13.5" customHeight="1">
      <c r="P273" s="409"/>
      <c r="Q273" s="409"/>
      <c r="R273" s="409"/>
      <c r="S273" s="409"/>
      <c r="T273" s="409"/>
      <c r="U273" s="409"/>
      <c r="V273" s="409"/>
      <c r="W273" s="409"/>
      <c r="X273" s="409"/>
    </row>
    <row r="274" spans="1:43" ht="13.5" customHeight="1">
      <c r="O274" t="s">
        <v>4156</v>
      </c>
      <c r="P274" s="392" t="s">
        <v>4152</v>
      </c>
      <c r="Q274" s="392" t="s">
        <v>4153</v>
      </c>
      <c r="R274" s="392">
        <v>644288021</v>
      </c>
      <c r="S274" s="392">
        <v>1</v>
      </c>
      <c r="T274" s="392" t="s">
        <v>373</v>
      </c>
      <c r="U274" s="392" t="s">
        <v>4154</v>
      </c>
      <c r="V274" s="392" t="s">
        <v>382</v>
      </c>
      <c r="W274" s="392"/>
      <c r="X274" s="392" t="s">
        <v>4155</v>
      </c>
      <c r="AA274" t="s">
        <v>4161</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4160</v>
      </c>
      <c r="AJ275" s="3" t="s">
        <v>4118</v>
      </c>
      <c r="AK275" s="3" t="s">
        <v>4119</v>
      </c>
    </row>
    <row r="276" spans="1:43" ht="13.5" customHeight="1">
      <c r="C276" s="3">
        <v>104</v>
      </c>
      <c r="D276" s="3">
        <v>105</v>
      </c>
      <c r="E276" s="3" t="s">
        <v>766</v>
      </c>
      <c r="F276" s="3" t="s">
        <v>764</v>
      </c>
      <c r="G276" s="3" t="s">
        <v>765</v>
      </c>
      <c r="H276" s="3" t="s">
        <v>768</v>
      </c>
      <c r="I276" s="3" t="s">
        <v>769</v>
      </c>
      <c r="L276" s="257" t="s">
        <v>4158</v>
      </c>
      <c r="M276" s="257" t="s">
        <v>4157</v>
      </c>
      <c r="N276" t="s">
        <v>4159</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4102</v>
      </c>
      <c r="AJ276" s="232">
        <f t="shared" ref="AJ276:AJ297" si="103">X276*8/1000000</f>
        <v>4.1293300000000004</v>
      </c>
      <c r="AK276" s="232">
        <f t="shared" ref="AK276:AK297" si="104">V276*8/1000000</f>
        <v>5.0999999999999996</v>
      </c>
      <c r="AL276" s="391" t="s">
        <v>4069</v>
      </c>
      <c r="AM276" s="391" t="s">
        <v>4070</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4103</v>
      </c>
      <c r="M277" s="257" t="s">
        <v>4139</v>
      </c>
      <c r="N277" t="s">
        <v>4138</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4140</v>
      </c>
      <c r="N278" t="s">
        <v>4138</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4071</v>
      </c>
      <c r="AI278" s="391" t="s">
        <v>4101</v>
      </c>
      <c r="AJ278" s="232">
        <f t="shared" si="103"/>
        <v>-5.1781535148620602E-13</v>
      </c>
      <c r="AK278" s="232">
        <f t="shared" si="104"/>
        <v>15.029630000000518</v>
      </c>
      <c r="AL278" s="391" t="s">
        <v>4071</v>
      </c>
      <c r="AM278" s="391" t="s">
        <v>4072</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4141</v>
      </c>
      <c r="N279" t="s">
        <v>4138</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4073</v>
      </c>
      <c r="AI279" s="391" t="s">
        <v>4100</v>
      </c>
      <c r="AJ279" s="232">
        <f t="shared" si="103"/>
        <v>5.3457915782928464E-13</v>
      </c>
      <c r="AK279" s="232">
        <f t="shared" si="104"/>
        <v>9.0957379999994661</v>
      </c>
      <c r="AL279" s="391" t="s">
        <v>4073</v>
      </c>
      <c r="AM279" s="391" t="s">
        <v>4074</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4142</v>
      </c>
      <c r="N280" t="s">
        <v>4138</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4075</v>
      </c>
      <c r="AI280" s="391" t="s">
        <v>4099</v>
      </c>
      <c r="AJ280" s="232">
        <f t="shared" si="103"/>
        <v>-1.1455267667770385E-12</v>
      </c>
      <c r="AK280" s="232">
        <f t="shared" si="104"/>
        <v>15.695212000001145</v>
      </c>
      <c r="AL280" s="391" t="s">
        <v>4075</v>
      </c>
      <c r="AM280" s="391" t="s">
        <v>4076</v>
      </c>
      <c r="AN280">
        <v>0.210508</v>
      </c>
      <c r="AO280">
        <v>1.9940549999999999</v>
      </c>
      <c r="AP280">
        <v>1.783547</v>
      </c>
      <c r="AQ280" s="388">
        <v>15.695212</v>
      </c>
    </row>
    <row r="281" spans="1:43" ht="13.5" customHeight="1">
      <c r="O281" t="s">
        <v>4364</v>
      </c>
      <c r="P281" s="395" t="s">
        <v>4107</v>
      </c>
      <c r="Q281" s="395" t="s">
        <v>4108</v>
      </c>
      <c r="R281" s="395">
        <v>645155515</v>
      </c>
      <c r="S281" s="395">
        <v>8</v>
      </c>
      <c r="T281" s="395" t="s">
        <v>373</v>
      </c>
      <c r="U281" s="395" t="s">
        <v>4109</v>
      </c>
      <c r="V281" s="395" t="s">
        <v>816</v>
      </c>
      <c r="W281" s="395" t="s">
        <v>817</v>
      </c>
      <c r="X281" s="395" t="s">
        <v>4110</v>
      </c>
      <c r="AD281" s="297"/>
      <c r="AE281" s="278"/>
      <c r="AH281" s="391"/>
      <c r="AI281" s="391"/>
      <c r="AJ281" s="232"/>
      <c r="AK281" s="232"/>
      <c r="AL281" s="391"/>
      <c r="AM281" s="391"/>
      <c r="AQ281" s="388"/>
    </row>
    <row r="282" spans="1:43" ht="13.5" customHeight="1">
      <c r="O282" t="s">
        <v>4116</v>
      </c>
      <c r="P282" s="395" t="s">
        <v>4112</v>
      </c>
      <c r="Q282" s="395" t="s">
        <v>4113</v>
      </c>
      <c r="R282" s="395">
        <v>645161815</v>
      </c>
      <c r="S282" s="395">
        <v>7</v>
      </c>
      <c r="T282" s="395" t="s">
        <v>373</v>
      </c>
      <c r="U282" s="395" t="s">
        <v>4109</v>
      </c>
      <c r="V282" s="395" t="s">
        <v>816</v>
      </c>
      <c r="W282" s="395" t="s">
        <v>817</v>
      </c>
      <c r="X282" s="395" t="s">
        <v>4114</v>
      </c>
      <c r="AD282" s="297"/>
      <c r="AE282" s="278"/>
      <c r="AH282" s="391"/>
      <c r="AI282" s="391"/>
      <c r="AJ282" s="232"/>
      <c r="AK282" s="232"/>
      <c r="AL282" s="391"/>
      <c r="AM282" s="391"/>
      <c r="AQ282" s="388"/>
    </row>
    <row r="283" spans="1:43" ht="13.5" customHeight="1">
      <c r="O283" t="s">
        <v>175</v>
      </c>
      <c r="P283" s="402" t="s">
        <v>4162</v>
      </c>
      <c r="Q283" s="402" t="s">
        <v>4163</v>
      </c>
      <c r="R283" s="402">
        <v>645161840</v>
      </c>
      <c r="S283" s="402">
        <v>1</v>
      </c>
      <c r="T283" s="402" t="s">
        <v>373</v>
      </c>
      <c r="U283" s="402" t="s">
        <v>4109</v>
      </c>
      <c r="V283" s="402" t="s">
        <v>833</v>
      </c>
      <c r="W283" s="402"/>
      <c r="X283" s="402" t="s">
        <v>4114</v>
      </c>
      <c r="AD283" s="297"/>
      <c r="AE283" s="278"/>
      <c r="AH283" s="391"/>
      <c r="AI283" s="391"/>
      <c r="AJ283" s="232"/>
      <c r="AK283" s="232"/>
      <c r="AL283" s="391"/>
      <c r="AM283" s="391"/>
      <c r="AQ283" s="388"/>
    </row>
    <row r="284" spans="1:43" ht="13.5" customHeight="1">
      <c r="A284" t="s">
        <v>4106</v>
      </c>
      <c r="C284" s="3"/>
      <c r="D284" s="3"/>
      <c r="E284" s="3"/>
      <c r="F284" s="3"/>
      <c r="G284" s="3"/>
      <c r="H284" s="3"/>
      <c r="I284" s="3"/>
      <c r="J284" s="3" t="s">
        <v>943</v>
      </c>
      <c r="K284" s="3" t="s">
        <v>1540</v>
      </c>
      <c r="L284" s="226" t="s">
        <v>4104</v>
      </c>
      <c r="M284" s="226" t="s">
        <v>4105</v>
      </c>
      <c r="N284" t="s">
        <v>4111</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4077</v>
      </c>
      <c r="AI284" s="391" t="s">
        <v>4098</v>
      </c>
      <c r="AJ284" s="232">
        <f t="shared" si="103"/>
        <v>3.2585670000000002</v>
      </c>
      <c r="AK284" s="232">
        <f t="shared" si="104"/>
        <v>5.4</v>
      </c>
      <c r="AL284" s="391" t="s">
        <v>4077</v>
      </c>
      <c r="AM284" s="391" t="s">
        <v>4078</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4164</v>
      </c>
      <c r="N285" t="s">
        <v>4138</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4132</v>
      </c>
      <c r="P286" s="395" t="s">
        <v>4133</v>
      </c>
      <c r="Q286" s="402" t="s">
        <v>4134</v>
      </c>
      <c r="R286" s="402">
        <v>616842836</v>
      </c>
      <c r="S286" s="395">
        <v>7</v>
      </c>
      <c r="T286" s="395" t="s">
        <v>373</v>
      </c>
      <c r="U286" s="395" t="s">
        <v>4135</v>
      </c>
      <c r="V286" s="395" t="s">
        <v>816</v>
      </c>
      <c r="W286" s="395" t="s">
        <v>817</v>
      </c>
      <c r="X286" s="395" t="s">
        <v>4136</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4166</v>
      </c>
      <c r="M287" s="226" t="s">
        <v>4122</v>
      </c>
      <c r="N287" t="s">
        <v>4137</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4169</v>
      </c>
      <c r="AJ287" s="232">
        <f t="shared" ref="AJ287" si="128">X287*8/1000000</f>
        <v>5.1409006118774412E-13</v>
      </c>
      <c r="AK287" s="232">
        <f t="shared" ref="AK287" si="129">V287*8/1000000</f>
        <v>17.701824999999484</v>
      </c>
      <c r="AL287" s="391" t="s">
        <v>4167</v>
      </c>
      <c r="AM287" s="391" t="s">
        <v>4168</v>
      </c>
      <c r="AN287">
        <v>0.21068500000000001</v>
      </c>
      <c r="AO287">
        <v>2.2222559999999998</v>
      </c>
      <c r="AP287">
        <v>2.011571</v>
      </c>
      <c r="AQ287" s="388">
        <v>17.701824999999999</v>
      </c>
    </row>
    <row r="288" spans="1:43" ht="13.5" customHeight="1">
      <c r="N288" t="s">
        <v>4115</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4130</v>
      </c>
      <c r="AH288" s="391" t="str">
        <f>AL288</f>
        <v>TRK_197_2</v>
      </c>
      <c r="AI288" s="391" t="s">
        <v>4092</v>
      </c>
      <c r="AJ288" s="232">
        <f t="shared" si="103"/>
        <v>0.61897899999999995</v>
      </c>
      <c r="AK288" s="232">
        <f t="shared" si="104"/>
        <v>4.4156719999999998</v>
      </c>
      <c r="AL288" s="391" t="s">
        <v>628</v>
      </c>
      <c r="AM288" s="391" t="s">
        <v>4079</v>
      </c>
      <c r="AN288">
        <v>0.201819</v>
      </c>
      <c r="AO288">
        <v>0.77393800000000001</v>
      </c>
      <c r="AP288">
        <v>0.57211900000000004</v>
      </c>
      <c r="AQ288" s="388">
        <v>5.0346510000000002</v>
      </c>
    </row>
    <row r="289" spans="3:43" ht="13.5" customHeight="1">
      <c r="O289" t="s">
        <v>4147</v>
      </c>
      <c r="P289" s="405" t="s">
        <v>4144</v>
      </c>
      <c r="Q289" s="405" t="s">
        <v>4145</v>
      </c>
      <c r="R289" s="405">
        <v>629506577</v>
      </c>
      <c r="S289" s="405">
        <v>0</v>
      </c>
      <c r="T289" s="405" t="s">
        <v>1124</v>
      </c>
      <c r="U289" s="405" t="s">
        <v>4146</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4143</v>
      </c>
      <c r="M290" s="257" t="s">
        <v>4148</v>
      </c>
      <c r="N290" t="s">
        <v>4147</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4149</v>
      </c>
      <c r="N291" t="s">
        <v>4147</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4080</v>
      </c>
      <c r="AI291" s="391" t="s">
        <v>4093</v>
      </c>
      <c r="AJ291" s="232">
        <f t="shared" si="103"/>
        <v>2.942979335784912E-13</v>
      </c>
      <c r="AK291" s="232">
        <f t="shared" si="104"/>
        <v>25.983318999999707</v>
      </c>
      <c r="AL291" s="391" t="s">
        <v>4080</v>
      </c>
      <c r="AM291" s="391" t="s">
        <v>4081</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4165</v>
      </c>
      <c r="N292" t="s">
        <v>4147</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4082</v>
      </c>
      <c r="AI292" s="391" t="s">
        <v>4094</v>
      </c>
      <c r="AJ292" s="232">
        <f t="shared" si="103"/>
        <v>-4.6938657760620117E-13</v>
      </c>
      <c r="AK292" s="232">
        <f t="shared" si="104"/>
        <v>16.793788000000468</v>
      </c>
      <c r="AL292" s="391" t="s">
        <v>4082</v>
      </c>
      <c r="AM292" s="391" t="s">
        <v>4083</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4170</v>
      </c>
      <c r="N295" t="s">
        <v>4137</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4084</v>
      </c>
      <c r="AI295" s="391" t="s">
        <v>4095</v>
      </c>
      <c r="AJ295" s="232">
        <f t="shared" si="103"/>
        <v>1.1622905731201172E-12</v>
      </c>
      <c r="AK295" s="232">
        <f t="shared" si="104"/>
        <v>11.421338999998838</v>
      </c>
      <c r="AL295" s="391" t="s">
        <v>4084</v>
      </c>
      <c r="AM295" s="391" t="s">
        <v>4085</v>
      </c>
      <c r="AN295">
        <v>0.18662899999999999</v>
      </c>
      <c r="AO295">
        <v>1.4845079999999999</v>
      </c>
      <c r="AP295">
        <v>1.297879</v>
      </c>
      <c r="AQ295" s="388">
        <v>11.421339</v>
      </c>
    </row>
    <row r="296" spans="3:43" ht="13.5" customHeight="1">
      <c r="L296" s="257" t="str">
        <f>M292</f>
        <v>26-014/11:20</v>
      </c>
      <c r="M296" s="257" t="s">
        <v>4150</v>
      </c>
      <c r="N296" t="s">
        <v>4147</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4086</v>
      </c>
      <c r="AI296" s="391" t="s">
        <v>4096</v>
      </c>
      <c r="AJ296" s="232">
        <f t="shared" si="103"/>
        <v>-1.7634592950344086E-12</v>
      </c>
      <c r="AK296" s="232">
        <f t="shared" si="104"/>
        <v>3.9365090000017635</v>
      </c>
      <c r="AL296" s="391" t="s">
        <v>4086</v>
      </c>
      <c r="AM296" s="391" t="s">
        <v>4087</v>
      </c>
      <c r="AN296">
        <v>0.54563799999999996</v>
      </c>
      <c r="AO296">
        <v>0.99296899999999999</v>
      </c>
      <c r="AP296">
        <v>0.44733099999999998</v>
      </c>
      <c r="AQ296" s="388">
        <v>3.936509</v>
      </c>
    </row>
    <row r="297" spans="3:43" ht="13.5" customHeight="1">
      <c r="J297" s="3" t="s">
        <v>943</v>
      </c>
      <c r="K297" s="3" t="s">
        <v>1540</v>
      </c>
      <c r="L297" s="226" t="str">
        <f>M295</f>
        <v>25-081/18:34</v>
      </c>
      <c r="M297" s="226" t="s">
        <v>4127</v>
      </c>
      <c r="N297" t="s">
        <v>4131</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4088</v>
      </c>
      <c r="AI297" s="391" t="s">
        <v>4097</v>
      </c>
      <c r="AJ297" s="232">
        <f t="shared" si="103"/>
        <v>1.9691932106117309</v>
      </c>
      <c r="AK297" s="232">
        <f t="shared" si="104"/>
        <v>3.0935947893882694</v>
      </c>
      <c r="AL297" s="391" t="s">
        <v>4088</v>
      </c>
      <c r="AM297" s="391" t="s">
        <v>4089</v>
      </c>
      <c r="AN297">
        <v>0.24905099999999999</v>
      </c>
      <c r="AO297">
        <v>0.82436799999999999</v>
      </c>
      <c r="AP297">
        <v>0.57531699999999997</v>
      </c>
      <c r="AQ297" s="388">
        <v>5.0627880000000003</v>
      </c>
    </row>
    <row r="298" spans="3:43" ht="13.5" customHeight="1">
      <c r="J298" s="3" t="s">
        <v>943</v>
      </c>
      <c r="K298" s="3" t="s">
        <v>1540</v>
      </c>
      <c r="L298" s="226" t="s">
        <v>4175</v>
      </c>
      <c r="M298" s="226" t="s">
        <v>4174</v>
      </c>
      <c r="N298" t="s">
        <v>4173</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4128</v>
      </c>
      <c r="P299" s="398" t="s">
        <v>4123</v>
      </c>
      <c r="Q299" s="399" t="s">
        <v>4124</v>
      </c>
      <c r="R299" s="399">
        <v>605079001</v>
      </c>
      <c r="S299" s="400">
        <v>1</v>
      </c>
      <c r="T299" s="400" t="s">
        <v>373</v>
      </c>
      <c r="U299" s="400" t="s">
        <v>4125</v>
      </c>
      <c r="V299" s="400" t="s">
        <v>833</v>
      </c>
      <c r="W299" s="400"/>
      <c r="X299" s="400" t="s">
        <v>4126</v>
      </c>
      <c r="AC299" t="s">
        <v>4314</v>
      </c>
      <c r="AD299" t="s">
        <v>4315</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4246</v>
      </c>
      <c r="AA306" t="s">
        <v>4160</v>
      </c>
      <c r="AJ306" s="3" t="s">
        <v>4118</v>
      </c>
      <c r="AK306" s="3" t="s">
        <v>4119</v>
      </c>
      <c r="AQ306" t="s">
        <v>4371</v>
      </c>
      <c r="AR306" t="s">
        <v>4382</v>
      </c>
    </row>
    <row r="307" spans="3:46" ht="13.5" customHeight="1">
      <c r="M307" s="415"/>
      <c r="N307" s="425" t="s">
        <v>4244</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4221</v>
      </c>
      <c r="AJ307" s="232">
        <f t="shared" ref="AJ307:AJ377" si="156">X307*8/1000000</f>
        <v>-24.986500800000002</v>
      </c>
      <c r="AK307" s="232">
        <f t="shared" ref="AK307:AK376" si="157">V307*8/1000000</f>
        <v>28.626000000000001</v>
      </c>
      <c r="AL307" s="415" t="s">
        <v>640</v>
      </c>
      <c r="AM307" s="415" t="s">
        <v>4185</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4222</v>
      </c>
      <c r="AJ308" s="232">
        <f t="shared" si="156"/>
        <v>-1.9392405000000037</v>
      </c>
      <c r="AK308" s="232">
        <f t="shared" si="157"/>
        <v>0</v>
      </c>
      <c r="AL308" t="s">
        <v>4186</v>
      </c>
      <c r="AM308" t="s">
        <v>4187</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4245</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4223</v>
      </c>
      <c r="AJ309" s="232">
        <f t="shared" si="156"/>
        <v>-23.309993000000002</v>
      </c>
      <c r="AK309" s="232">
        <f t="shared" si="157"/>
        <v>30.074000000000002</v>
      </c>
      <c r="AL309" s="415" t="s">
        <v>4184</v>
      </c>
      <c r="AM309" s="415" t="s">
        <v>4188</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4247</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4243</v>
      </c>
      <c r="AJ310" s="232">
        <f t="shared" si="156"/>
        <v>-20.851107500000005</v>
      </c>
      <c r="AK310" s="232">
        <f t="shared" si="157"/>
        <v>0</v>
      </c>
      <c r="AL310" t="s">
        <v>4189</v>
      </c>
      <c r="AM310" t="s">
        <v>4190</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4346</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4224</v>
      </c>
      <c r="AJ311" s="232">
        <f t="shared" si="156"/>
        <v>-3.2855600000005217E-2</v>
      </c>
      <c r="AK311" s="232">
        <f t="shared" si="157"/>
        <v>0</v>
      </c>
      <c r="AL311" t="s">
        <v>1461</v>
      </c>
      <c r="AM311" t="s">
        <v>4191</v>
      </c>
      <c r="AN311">
        <v>0.31857600000000003</v>
      </c>
      <c r="AO311">
        <v>2.9471430000000001</v>
      </c>
      <c r="AP311">
        <v>2.6285669999999999</v>
      </c>
      <c r="AQ311" s="416">
        <v>23.131391000000001</v>
      </c>
      <c r="AR311">
        <f t="shared" si="158"/>
        <v>20.8182519</v>
      </c>
      <c r="AS311" s="415">
        <f t="shared" si="160"/>
        <v>58.667144399999998</v>
      </c>
      <c r="AT311" t="s">
        <v>4192</v>
      </c>
    </row>
    <row r="312" spans="3:46" ht="13.5" customHeight="1">
      <c r="O312" s="192" t="s">
        <v>4363</v>
      </c>
      <c r="P312" s="427" t="s">
        <v>4279</v>
      </c>
      <c r="Q312" s="427" t="s">
        <v>4280</v>
      </c>
      <c r="R312" s="427">
        <v>611968056</v>
      </c>
      <c r="S312" s="427">
        <v>1</v>
      </c>
      <c r="T312" s="427" t="s">
        <v>373</v>
      </c>
      <c r="U312" s="427" t="s">
        <v>2005</v>
      </c>
      <c r="V312" s="427" t="s">
        <v>833</v>
      </c>
      <c r="W312" s="427"/>
      <c r="X312" s="427"/>
      <c r="Y312" s="318"/>
      <c r="Z312" s="319"/>
      <c r="AA312" s="256"/>
      <c r="AH312" s="391"/>
      <c r="AJ312" s="232"/>
      <c r="AK312" s="232"/>
      <c r="AQ312" s="416"/>
      <c r="AS312" s="415"/>
    </row>
    <row r="313" spans="3:46" ht="13.5" customHeight="1">
      <c r="O313" s="263"/>
      <c r="P313" s="400" t="s">
        <v>4281</v>
      </c>
      <c r="Q313" s="399" t="s">
        <v>4282</v>
      </c>
      <c r="R313" s="438">
        <v>611992316</v>
      </c>
      <c r="S313" s="400">
        <v>8</v>
      </c>
      <c r="T313" s="400" t="s">
        <v>373</v>
      </c>
      <c r="U313" s="400" t="s">
        <v>4283</v>
      </c>
      <c r="V313" s="400" t="s">
        <v>816</v>
      </c>
      <c r="W313" s="400" t="s">
        <v>817</v>
      </c>
      <c r="X313" s="400" t="s">
        <v>4284</v>
      </c>
      <c r="Y313" s="318"/>
      <c r="Z313" s="319"/>
      <c r="AA313" s="256"/>
      <c r="AH313" s="391"/>
      <c r="AJ313" s="232"/>
      <c r="AK313" s="232"/>
      <c r="AQ313" s="416"/>
      <c r="AS313" s="415"/>
    </row>
    <row r="314" spans="3:46" ht="13.5" customHeight="1">
      <c r="O314" s="263"/>
      <c r="P314" s="400" t="s">
        <v>4285</v>
      </c>
      <c r="Q314" s="400" t="s">
        <v>4286</v>
      </c>
      <c r="R314" s="400">
        <v>611992336</v>
      </c>
      <c r="S314" s="400">
        <v>1</v>
      </c>
      <c r="T314" s="400" t="s">
        <v>373</v>
      </c>
      <c r="U314" s="400" t="s">
        <v>4283</v>
      </c>
      <c r="V314" s="400" t="s">
        <v>833</v>
      </c>
      <c r="W314" s="400"/>
      <c r="X314" s="400" t="s">
        <v>4284</v>
      </c>
      <c r="Y314" s="318"/>
      <c r="Z314" s="319"/>
      <c r="AA314" s="256"/>
      <c r="AH314" s="391"/>
      <c r="AJ314" s="232"/>
      <c r="AK314" s="232"/>
      <c r="AQ314" s="416"/>
      <c r="AS314" s="415"/>
    </row>
    <row r="315" spans="3:46" ht="13.5" customHeight="1">
      <c r="O315" s="263"/>
      <c r="P315" s="400" t="s">
        <v>4287</v>
      </c>
      <c r="Q315" s="400" t="s">
        <v>4288</v>
      </c>
      <c r="R315" s="438">
        <v>611992341</v>
      </c>
      <c r="S315" s="400">
        <v>1</v>
      </c>
      <c r="T315" s="400" t="s">
        <v>373</v>
      </c>
      <c r="U315" s="400" t="s">
        <v>4283</v>
      </c>
      <c r="V315" s="400" t="s">
        <v>833</v>
      </c>
      <c r="W315" s="400"/>
      <c r="X315" s="400" t="s">
        <v>4284</v>
      </c>
      <c r="Y315" s="318"/>
      <c r="Z315" s="319"/>
      <c r="AA315" s="256"/>
      <c r="AH315" s="391"/>
      <c r="AJ315" s="232"/>
      <c r="AK315" s="232"/>
      <c r="AQ315" s="416"/>
      <c r="AS315" s="415"/>
    </row>
    <row r="316" spans="3:46" ht="13.5" customHeight="1">
      <c r="O316" s="263"/>
      <c r="P316" s="400" t="s">
        <v>4289</v>
      </c>
      <c r="Q316" s="400" t="s">
        <v>4290</v>
      </c>
      <c r="R316" s="400">
        <v>611992832</v>
      </c>
      <c r="S316" s="400">
        <v>0</v>
      </c>
      <c r="T316" s="400" t="s">
        <v>826</v>
      </c>
      <c r="U316" s="400" t="s">
        <v>4291</v>
      </c>
      <c r="V316" s="400" t="s">
        <v>4292</v>
      </c>
      <c r="W316" s="400"/>
      <c r="X316" s="400" t="s">
        <v>4284</v>
      </c>
      <c r="Y316" s="318"/>
      <c r="Z316" s="319"/>
      <c r="AA316" s="256"/>
      <c r="AH316" s="391"/>
      <c r="AJ316" s="232"/>
      <c r="AK316" s="232"/>
      <c r="AQ316" s="416"/>
      <c r="AS316" s="415"/>
    </row>
    <row r="317" spans="3:46" ht="13.5" customHeight="1">
      <c r="O317" s="263"/>
      <c r="P317" s="400" t="s">
        <v>4289</v>
      </c>
      <c r="Q317" s="400" t="s">
        <v>4290</v>
      </c>
      <c r="R317" s="400">
        <v>611992832</v>
      </c>
      <c r="S317" s="400">
        <v>0</v>
      </c>
      <c r="T317" s="400" t="s">
        <v>826</v>
      </c>
      <c r="U317" s="400" t="s">
        <v>4291</v>
      </c>
      <c r="V317" s="400" t="s">
        <v>4293</v>
      </c>
      <c r="W317" s="400"/>
      <c r="X317" s="400" t="s">
        <v>4284</v>
      </c>
      <c r="Y317" s="318"/>
      <c r="Z317" s="319"/>
      <c r="AA317" s="256"/>
      <c r="AH317" s="391"/>
      <c r="AJ317" s="232"/>
      <c r="AK317" s="232"/>
      <c r="AQ317" s="416"/>
      <c r="AS317" s="415"/>
    </row>
    <row r="318" spans="3:46" ht="13.5" customHeight="1">
      <c r="O318" s="263"/>
      <c r="P318" s="400" t="s">
        <v>4289</v>
      </c>
      <c r="Q318" s="400" t="s">
        <v>4290</v>
      </c>
      <c r="R318" s="400">
        <v>611992832</v>
      </c>
      <c r="S318" s="400">
        <v>0</v>
      </c>
      <c r="T318" s="400" t="s">
        <v>826</v>
      </c>
      <c r="U318" s="400" t="s">
        <v>4291</v>
      </c>
      <c r="V318" s="400" t="s">
        <v>4294</v>
      </c>
      <c r="W318" s="400"/>
      <c r="X318" s="400" t="s">
        <v>4284</v>
      </c>
      <c r="Y318" s="318"/>
      <c r="Z318" s="319"/>
      <c r="AA318" s="256"/>
      <c r="AH318" s="391"/>
      <c r="AJ318" s="232"/>
      <c r="AK318" s="232"/>
      <c r="AQ318" s="416"/>
      <c r="AS318" s="415"/>
    </row>
    <row r="319" spans="3:46" ht="13.5" customHeight="1">
      <c r="O319" s="263"/>
      <c r="P319" s="400" t="s">
        <v>4289</v>
      </c>
      <c r="Q319" s="400" t="s">
        <v>4290</v>
      </c>
      <c r="R319" s="400">
        <v>611992832</v>
      </c>
      <c r="S319" s="400">
        <v>0</v>
      </c>
      <c r="T319" s="400" t="s">
        <v>826</v>
      </c>
      <c r="U319" s="400" t="s">
        <v>4291</v>
      </c>
      <c r="V319" s="400" t="s">
        <v>828</v>
      </c>
      <c r="W319" s="400"/>
      <c r="X319" s="400" t="s">
        <v>4284</v>
      </c>
      <c r="Y319" s="318"/>
      <c r="Z319" s="319"/>
      <c r="AA319" s="256"/>
      <c r="AH319" s="391"/>
      <c r="AJ319" s="232"/>
      <c r="AK319" s="232"/>
      <c r="AQ319" s="416"/>
      <c r="AS319" s="415"/>
    </row>
    <row r="320" spans="3:46" ht="13.5" customHeight="1">
      <c r="O320" s="437" t="s">
        <v>4324</v>
      </c>
      <c r="P320" s="400" t="s">
        <v>4289</v>
      </c>
      <c r="Q320" s="400" t="s">
        <v>4290</v>
      </c>
      <c r="R320" s="431">
        <v>611992832</v>
      </c>
      <c r="S320" s="400">
        <v>0</v>
      </c>
      <c r="T320" s="400" t="s">
        <v>826</v>
      </c>
      <c r="U320" s="400" t="s">
        <v>4291</v>
      </c>
      <c r="V320" s="399" t="s">
        <v>4295</v>
      </c>
      <c r="W320" s="400"/>
      <c r="X320" s="400" t="s">
        <v>4284</v>
      </c>
      <c r="Y320" s="318"/>
      <c r="Z320" s="319"/>
      <c r="AA320" s="256"/>
      <c r="AH320" s="391"/>
      <c r="AJ320" s="232"/>
      <c r="AK320" s="232"/>
      <c r="AQ320" s="416"/>
      <c r="AS320" s="415"/>
    </row>
    <row r="321" spans="3:45" ht="13.5" customHeight="1">
      <c r="O321" s="263"/>
      <c r="P321" s="400" t="s">
        <v>4289</v>
      </c>
      <c r="Q321" s="400" t="s">
        <v>4290</v>
      </c>
      <c r="R321" s="400">
        <v>611992832</v>
      </c>
      <c r="S321" s="400">
        <v>0</v>
      </c>
      <c r="T321" s="400" t="s">
        <v>826</v>
      </c>
      <c r="U321" s="400" t="s">
        <v>4291</v>
      </c>
      <c r="V321" s="400" t="s">
        <v>4296</v>
      </c>
      <c r="W321" s="400"/>
      <c r="X321" s="400" t="s">
        <v>4284</v>
      </c>
      <c r="Y321" s="318"/>
      <c r="Z321" s="319"/>
      <c r="AA321" s="256"/>
      <c r="AH321" s="391"/>
      <c r="AJ321" s="232"/>
      <c r="AK321" s="232"/>
      <c r="AQ321" s="416"/>
      <c r="AS321" s="415"/>
    </row>
    <row r="322" spans="3:45" ht="13.5" customHeight="1">
      <c r="O322" s="263"/>
      <c r="P322" s="400" t="s">
        <v>4289</v>
      </c>
      <c r="Q322" s="400" t="s">
        <v>4290</v>
      </c>
      <c r="R322" s="400">
        <v>611992832</v>
      </c>
      <c r="S322" s="400">
        <v>0</v>
      </c>
      <c r="T322" s="400" t="s">
        <v>826</v>
      </c>
      <c r="U322" s="400" t="s">
        <v>4291</v>
      </c>
      <c r="V322" s="400" t="s">
        <v>1471</v>
      </c>
      <c r="W322" s="400"/>
      <c r="X322" s="400" t="s">
        <v>4284</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4274</v>
      </c>
      <c r="N323" t="s">
        <v>4173</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4225</v>
      </c>
      <c r="AJ323" s="232">
        <f t="shared" si="156"/>
        <v>2.2351741790771485E-14</v>
      </c>
      <c r="AK323" s="232">
        <f t="shared" si="157"/>
        <v>5.4202488999999723</v>
      </c>
      <c r="AL323" t="s">
        <v>651</v>
      </c>
      <c r="AM323" t="s">
        <v>4193</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4275</v>
      </c>
      <c r="N324" t="s">
        <v>4173</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4226</v>
      </c>
      <c r="AJ324" s="232">
        <f t="shared" si="156"/>
        <v>-2.7194619178771972E-13</v>
      </c>
      <c r="AK324" s="232">
        <f t="shared" si="157"/>
        <v>10.612962000000271</v>
      </c>
      <c r="AL324" t="s">
        <v>1494</v>
      </c>
      <c r="AM324" t="s">
        <v>4194</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4276</v>
      </c>
      <c r="N325" t="s">
        <v>4173</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4227</v>
      </c>
      <c r="AJ325" s="232">
        <f t="shared" si="156"/>
        <v>2.4586915969848635E-13</v>
      </c>
      <c r="AK325" s="232">
        <f t="shared" si="157"/>
        <v>4.8993722999997544</v>
      </c>
      <c r="AL325" t="s">
        <v>1498</v>
      </c>
      <c r="AM325" t="s">
        <v>4195</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4347</v>
      </c>
      <c r="N326" t="s">
        <v>4173</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4228</v>
      </c>
      <c r="AJ326" s="232">
        <f t="shared" si="156"/>
        <v>1.8079765488298871</v>
      </c>
      <c r="AK326" s="232">
        <f t="shared" si="157"/>
        <v>12.847164451170112</v>
      </c>
      <c r="AL326" t="s">
        <v>664</v>
      </c>
      <c r="AM326" t="s">
        <v>4196</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4358</v>
      </c>
      <c r="N327" t="s">
        <v>4297</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4359</v>
      </c>
      <c r="N328" t="s">
        <v>4297</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4229</v>
      </c>
      <c r="AJ328" s="232">
        <f t="shared" si="156"/>
        <v>1.5459954738616944E-12</v>
      </c>
      <c r="AK328" s="232">
        <f t="shared" si="157"/>
        <v>21.463278299998453</v>
      </c>
      <c r="AL328" t="s">
        <v>4197</v>
      </c>
      <c r="AM328" t="s">
        <v>4198</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4360</v>
      </c>
      <c r="N329" t="s">
        <v>4297</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4230</v>
      </c>
      <c r="AJ329" s="232">
        <f t="shared" si="156"/>
        <v>4.4051557779312134E-13</v>
      </c>
      <c r="AK329" s="232">
        <f t="shared" si="157"/>
        <v>6.7295015999995593</v>
      </c>
      <c r="AL329" t="s">
        <v>669</v>
      </c>
      <c r="AM329" t="s">
        <v>4199</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4348</v>
      </c>
      <c r="N330" t="s">
        <v>4297</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4231</v>
      </c>
      <c r="AJ330" s="232">
        <f t="shared" si="156"/>
        <v>2.363682396196777</v>
      </c>
      <c r="AK330" s="232">
        <f t="shared" si="157"/>
        <v>16.479284603803222</v>
      </c>
      <c r="AL330" t="s">
        <v>4200</v>
      </c>
      <c r="AM330" t="s">
        <v>4201</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4325</v>
      </c>
      <c r="Q331" s="399" t="s">
        <v>4326</v>
      </c>
      <c r="R331" s="439">
        <v>613564318</v>
      </c>
      <c r="S331" s="400">
        <v>7</v>
      </c>
      <c r="T331" s="400" t="s">
        <v>373</v>
      </c>
      <c r="U331" s="400" t="s">
        <v>4327</v>
      </c>
      <c r="V331" s="400" t="s">
        <v>816</v>
      </c>
      <c r="W331" s="400" t="s">
        <v>817</v>
      </c>
      <c r="X331" s="400" t="s">
        <v>4328</v>
      </c>
      <c r="Y331" s="318"/>
      <c r="Z331" s="319"/>
      <c r="AA331" s="256"/>
      <c r="AC331" s="308"/>
      <c r="AH331" s="391"/>
      <c r="AJ331" s="232"/>
      <c r="AK331" s="232"/>
      <c r="AQ331" s="416"/>
    </row>
    <row r="332" spans="3:45" ht="13.5" customHeight="1">
      <c r="J332" s="3"/>
      <c r="K332" s="3"/>
      <c r="L332" s="226"/>
      <c r="M332" s="226"/>
      <c r="O332" s="263"/>
      <c r="P332" s="400" t="s">
        <v>4329</v>
      </c>
      <c r="Q332" s="400" t="s">
        <v>4330</v>
      </c>
      <c r="R332" s="400">
        <v>613564338</v>
      </c>
      <c r="S332" s="400">
        <v>1</v>
      </c>
      <c r="T332" s="400" t="s">
        <v>373</v>
      </c>
      <c r="U332" s="400" t="s">
        <v>4327</v>
      </c>
      <c r="V332" s="400" t="s">
        <v>833</v>
      </c>
      <c r="W332" s="400"/>
      <c r="X332" s="400" t="s">
        <v>4328</v>
      </c>
      <c r="Y332" s="318"/>
      <c r="Z332" s="319"/>
      <c r="AA332" s="256"/>
      <c r="AC332" s="308"/>
      <c r="AH332" s="391"/>
      <c r="AJ332" s="232"/>
      <c r="AK332" s="232"/>
      <c r="AQ332" s="416"/>
    </row>
    <row r="333" spans="3:45" ht="13.5" customHeight="1">
      <c r="J333" s="3"/>
      <c r="K333" s="3"/>
      <c r="L333" s="226"/>
      <c r="M333" s="226"/>
      <c r="O333" s="263"/>
      <c r="P333" s="400" t="s">
        <v>4331</v>
      </c>
      <c r="Q333" s="400" t="s">
        <v>4332</v>
      </c>
      <c r="R333" s="400">
        <v>613564343</v>
      </c>
      <c r="S333" s="400">
        <v>1</v>
      </c>
      <c r="T333" s="400" t="s">
        <v>373</v>
      </c>
      <c r="U333" s="400" t="s">
        <v>4327</v>
      </c>
      <c r="V333" s="400" t="s">
        <v>833</v>
      </c>
      <c r="W333" s="400"/>
      <c r="X333" s="400" t="s">
        <v>4328</v>
      </c>
      <c r="Y333" s="318"/>
      <c r="Z333" s="319"/>
      <c r="AA333" s="256"/>
      <c r="AC333" s="308"/>
      <c r="AH333" s="391"/>
      <c r="AJ333" s="232"/>
      <c r="AK333" s="232"/>
      <c r="AQ333" s="416"/>
    </row>
    <row r="334" spans="3:45" ht="13.5" customHeight="1">
      <c r="J334" s="3"/>
      <c r="K334" s="3"/>
      <c r="L334" s="226"/>
      <c r="M334" s="226"/>
      <c r="O334" s="263"/>
      <c r="P334" s="400" t="s">
        <v>4333</v>
      </c>
      <c r="Q334" s="400" t="s">
        <v>4334</v>
      </c>
      <c r="R334" s="400">
        <v>613564800</v>
      </c>
      <c r="S334" s="400">
        <v>0</v>
      </c>
      <c r="T334" s="400" t="s">
        <v>826</v>
      </c>
      <c r="U334" s="400" t="s">
        <v>1151</v>
      </c>
      <c r="V334" s="400" t="s">
        <v>4292</v>
      </c>
      <c r="W334" s="400"/>
      <c r="X334" s="400" t="s">
        <v>4328</v>
      </c>
      <c r="Y334" s="318"/>
      <c r="Z334" s="319"/>
      <c r="AA334" s="256"/>
      <c r="AC334" s="308"/>
      <c r="AH334" s="391"/>
      <c r="AJ334" s="232"/>
      <c r="AK334" s="232"/>
      <c r="AQ334" s="416"/>
    </row>
    <row r="335" spans="3:45" ht="13.5" customHeight="1">
      <c r="J335" s="3"/>
      <c r="K335" s="3"/>
      <c r="L335" s="226"/>
      <c r="M335" s="226"/>
      <c r="O335" s="263"/>
      <c r="P335" s="400" t="s">
        <v>4333</v>
      </c>
      <c r="Q335" s="400" t="s">
        <v>4334</v>
      </c>
      <c r="R335" s="400">
        <v>613564800</v>
      </c>
      <c r="S335" s="400">
        <v>0</v>
      </c>
      <c r="T335" s="400" t="s">
        <v>826</v>
      </c>
      <c r="U335" s="400" t="s">
        <v>1151</v>
      </c>
      <c r="V335" s="400" t="s">
        <v>4293</v>
      </c>
      <c r="W335" s="400"/>
      <c r="X335" s="400" t="s">
        <v>4328</v>
      </c>
      <c r="Y335" s="318"/>
      <c r="Z335" s="319"/>
      <c r="AA335" s="256"/>
      <c r="AC335" s="308"/>
      <c r="AH335" s="391"/>
      <c r="AJ335" s="232"/>
      <c r="AK335" s="232"/>
      <c r="AQ335" s="416"/>
    </row>
    <row r="336" spans="3:45" ht="13.5" customHeight="1">
      <c r="J336" s="3"/>
      <c r="K336" s="3"/>
      <c r="L336" s="226"/>
      <c r="M336" s="226"/>
      <c r="O336" s="263"/>
      <c r="P336" s="400" t="s">
        <v>4333</v>
      </c>
      <c r="Q336" s="400" t="s">
        <v>4334</v>
      </c>
      <c r="R336" s="400">
        <v>613564800</v>
      </c>
      <c r="S336" s="400">
        <v>0</v>
      </c>
      <c r="T336" s="400" t="s">
        <v>826</v>
      </c>
      <c r="U336" s="400" t="s">
        <v>1151</v>
      </c>
      <c r="V336" s="400" t="s">
        <v>4294</v>
      </c>
      <c r="W336" s="400"/>
      <c r="X336" s="400" t="s">
        <v>4328</v>
      </c>
      <c r="Y336" s="318"/>
      <c r="Z336" s="319"/>
      <c r="AA336" s="256"/>
      <c r="AC336" s="308"/>
      <c r="AH336" s="391"/>
      <c r="AJ336" s="232"/>
      <c r="AK336" s="232"/>
      <c r="AQ336" s="416"/>
    </row>
    <row r="337" spans="7:45" ht="13.5" customHeight="1">
      <c r="J337" s="3"/>
      <c r="K337" s="3"/>
      <c r="L337" s="226"/>
      <c r="M337" s="226"/>
      <c r="O337" s="263"/>
      <c r="P337" s="400" t="s">
        <v>4333</v>
      </c>
      <c r="Q337" s="400" t="s">
        <v>4334</v>
      </c>
      <c r="R337" s="400">
        <v>613564800</v>
      </c>
      <c r="S337" s="400">
        <v>0</v>
      </c>
      <c r="T337" s="400" t="s">
        <v>826</v>
      </c>
      <c r="U337" s="400" t="s">
        <v>1151</v>
      </c>
      <c r="V337" s="400" t="s">
        <v>828</v>
      </c>
      <c r="W337" s="400"/>
      <c r="X337" s="400" t="s">
        <v>4328</v>
      </c>
      <c r="Y337" s="318"/>
      <c r="Z337" s="319"/>
      <c r="AA337" s="256"/>
      <c r="AC337" s="308"/>
      <c r="AH337" s="391"/>
      <c r="AJ337" s="232"/>
      <c r="AK337" s="232"/>
      <c r="AQ337" s="416"/>
    </row>
    <row r="338" spans="7:45" ht="13.5" customHeight="1">
      <c r="J338" s="3"/>
      <c r="K338" s="3"/>
      <c r="L338" s="226"/>
      <c r="M338" s="226"/>
      <c r="O338" s="263" t="s">
        <v>4335</v>
      </c>
      <c r="P338" s="400" t="s">
        <v>4333</v>
      </c>
      <c r="Q338" s="400" t="s">
        <v>4334</v>
      </c>
      <c r="R338" s="443">
        <v>613564800</v>
      </c>
      <c r="S338" s="400">
        <v>0</v>
      </c>
      <c r="T338" s="400" t="s">
        <v>826</v>
      </c>
      <c r="U338" s="400" t="s">
        <v>1151</v>
      </c>
      <c r="V338" s="399" t="s">
        <v>4312</v>
      </c>
      <c r="W338" s="400"/>
      <c r="X338" s="400" t="s">
        <v>4328</v>
      </c>
      <c r="Y338" s="318"/>
      <c r="Z338" s="319"/>
      <c r="AA338" s="256"/>
      <c r="AC338" s="308"/>
      <c r="AH338" s="391"/>
      <c r="AJ338" s="232"/>
      <c r="AK338" s="232"/>
      <c r="AQ338" s="416"/>
    </row>
    <row r="339" spans="7:45" ht="13.5" customHeight="1">
      <c r="J339" s="3"/>
      <c r="K339" s="3"/>
      <c r="L339" s="226"/>
      <c r="M339" s="226"/>
      <c r="O339" s="263"/>
      <c r="P339" s="400" t="s">
        <v>4333</v>
      </c>
      <c r="Q339" s="400" t="s">
        <v>4334</v>
      </c>
      <c r="R339" s="400">
        <v>613564800</v>
      </c>
      <c r="S339" s="400">
        <v>0</v>
      </c>
      <c r="T339" s="400" t="s">
        <v>826</v>
      </c>
      <c r="U339" s="400" t="s">
        <v>1151</v>
      </c>
      <c r="V339" s="400" t="s">
        <v>4296</v>
      </c>
      <c r="W339" s="400"/>
      <c r="X339" s="400" t="s">
        <v>4328</v>
      </c>
      <c r="Y339" s="318"/>
      <c r="Z339" s="319"/>
      <c r="AA339" s="256"/>
      <c r="AC339" s="308"/>
      <c r="AH339" s="391"/>
      <c r="AJ339" s="232"/>
      <c r="AK339" s="232"/>
      <c r="AQ339" s="416"/>
    </row>
    <row r="340" spans="7:45" ht="13.5" customHeight="1">
      <c r="J340" s="3"/>
      <c r="K340" s="3"/>
      <c r="L340" s="226"/>
      <c r="M340" s="226"/>
      <c r="O340" s="263"/>
      <c r="P340" s="400" t="s">
        <v>4333</v>
      </c>
      <c r="Q340" s="400" t="s">
        <v>4334</v>
      </c>
      <c r="R340" s="400">
        <v>613564800</v>
      </c>
      <c r="S340" s="400">
        <v>0</v>
      </c>
      <c r="T340" s="400" t="s">
        <v>826</v>
      </c>
      <c r="U340" s="400" t="s">
        <v>1151</v>
      </c>
      <c r="V340" s="400" t="s">
        <v>1471</v>
      </c>
      <c r="W340" s="400"/>
      <c r="X340" s="400" t="s">
        <v>4328</v>
      </c>
      <c r="Y340" s="318"/>
      <c r="Z340" s="319"/>
      <c r="AA340" s="256"/>
      <c r="AC340" s="308"/>
      <c r="AH340" s="391"/>
      <c r="AJ340" s="232"/>
      <c r="AK340" s="232"/>
      <c r="AQ340" s="416"/>
    </row>
    <row r="341" spans="7:45" ht="13.5" customHeight="1">
      <c r="J341" s="3" t="s">
        <v>943</v>
      </c>
      <c r="K341" s="3" t="s">
        <v>1540</v>
      </c>
      <c r="L341" s="226" t="str">
        <f>M330</f>
        <v>25-181/04:48</v>
      </c>
      <c r="M341" s="226" t="s">
        <v>4361</v>
      </c>
      <c r="N341" t="s">
        <v>4336</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t="s">
        <v>4337</v>
      </c>
      <c r="H342" s="397"/>
      <c r="I342" s="397"/>
      <c r="J342" s="3" t="s">
        <v>943</v>
      </c>
      <c r="K342" s="3" t="s">
        <v>1540</v>
      </c>
      <c r="L342" s="226" t="str">
        <f>M341</f>
        <v>25-187/23:06</v>
      </c>
      <c r="M342" s="226" t="s">
        <v>4362</v>
      </c>
      <c r="N342" t="s">
        <v>4336</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4232</v>
      </c>
      <c r="AJ342" s="232">
        <f t="shared" si="156"/>
        <v>-2.1001324057579041E-13</v>
      </c>
      <c r="AK342" s="232">
        <f t="shared" si="157"/>
        <v>2.8357281000002099</v>
      </c>
      <c r="AL342" t="s">
        <v>1510</v>
      </c>
      <c r="AM342" t="s">
        <v>4202</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4298</v>
      </c>
      <c r="N343" t="s">
        <v>4338</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4242</v>
      </c>
      <c r="AJ343" s="232">
        <f t="shared" ref="AJ343" si="183">X343*8/1000000</f>
        <v>6.2860318646228945</v>
      </c>
      <c r="AK343" s="232">
        <f t="shared" ref="AK343" si="184">V343*8/1000000</f>
        <v>1.844734635377107</v>
      </c>
      <c r="AL343" t="s">
        <v>1512</v>
      </c>
      <c r="AM343" t="s">
        <v>4203</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4309</v>
      </c>
      <c r="Q344" s="448" t="s">
        <v>242</v>
      </c>
      <c r="R344" s="448" t="s">
        <v>4309</v>
      </c>
      <c r="S344" s="448" t="s">
        <v>242</v>
      </c>
      <c r="T344" s="104" t="s">
        <v>4344</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4299</v>
      </c>
      <c r="Q345" s="449" t="s">
        <v>1485</v>
      </c>
      <c r="R345" s="450">
        <v>615306096</v>
      </c>
      <c r="S345" s="451">
        <v>615339021</v>
      </c>
      <c r="T345" s="104"/>
      <c r="U345" s="3"/>
      <c r="V345" s="447" t="s">
        <v>4365</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4349</v>
      </c>
      <c r="O346" s="263" t="s">
        <v>169</v>
      </c>
      <c r="P346" s="400" t="s">
        <v>4300</v>
      </c>
      <c r="Q346" s="400" t="s">
        <v>4301</v>
      </c>
      <c r="R346" s="445">
        <v>615779216</v>
      </c>
      <c r="S346" s="400">
        <v>7</v>
      </c>
      <c r="T346" s="400" t="s">
        <v>373</v>
      </c>
      <c r="U346" s="400" t="s">
        <v>4302</v>
      </c>
      <c r="V346" s="400" t="s">
        <v>816</v>
      </c>
      <c r="W346" s="400" t="s">
        <v>817</v>
      </c>
      <c r="X346" s="400" t="s">
        <v>4303</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4304</v>
      </c>
      <c r="Q347" s="400" t="s">
        <v>4305</v>
      </c>
      <c r="R347" s="400">
        <v>615779236</v>
      </c>
      <c r="S347" s="400">
        <v>1</v>
      </c>
      <c r="T347" s="400" t="s">
        <v>373</v>
      </c>
      <c r="U347" s="400" t="s">
        <v>4302</v>
      </c>
      <c r="V347" s="400" t="s">
        <v>833</v>
      </c>
      <c r="W347" s="400"/>
      <c r="X347" s="400" t="s">
        <v>4303</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4306</v>
      </c>
      <c r="Q348" s="400" t="s">
        <v>4307</v>
      </c>
      <c r="R348" s="400">
        <v>615779241</v>
      </c>
      <c r="S348" s="400">
        <v>1</v>
      </c>
      <c r="T348" s="400" t="s">
        <v>373</v>
      </c>
      <c r="U348" s="400" t="s">
        <v>4302</v>
      </c>
      <c r="V348" s="400" t="s">
        <v>833</v>
      </c>
      <c r="W348" s="400"/>
      <c r="X348" s="400" t="s">
        <v>4303</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4310</v>
      </c>
      <c r="Q349" s="400" t="s">
        <v>4311</v>
      </c>
      <c r="R349" s="400">
        <v>615779712</v>
      </c>
      <c r="S349" s="400">
        <v>0</v>
      </c>
      <c r="T349" s="400" t="s">
        <v>826</v>
      </c>
      <c r="U349" s="400" t="s">
        <v>4302</v>
      </c>
      <c r="V349" s="400" t="s">
        <v>4292</v>
      </c>
      <c r="W349" s="400"/>
      <c r="X349" s="400" t="s">
        <v>4303</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4310</v>
      </c>
      <c r="Q350" s="400" t="s">
        <v>4311</v>
      </c>
      <c r="R350" s="400">
        <v>615779712</v>
      </c>
      <c r="S350" s="400">
        <v>0</v>
      </c>
      <c r="T350" s="400" t="s">
        <v>826</v>
      </c>
      <c r="U350" s="400" t="s">
        <v>4302</v>
      </c>
      <c r="V350" s="400" t="s">
        <v>4293</v>
      </c>
      <c r="W350" s="400"/>
      <c r="X350" s="400" t="s">
        <v>4303</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4310</v>
      </c>
      <c r="Q351" s="400" t="s">
        <v>4311</v>
      </c>
      <c r="R351" s="400">
        <v>615779712</v>
      </c>
      <c r="S351" s="400">
        <v>0</v>
      </c>
      <c r="T351" s="400" t="s">
        <v>826</v>
      </c>
      <c r="U351" s="400" t="s">
        <v>4302</v>
      </c>
      <c r="V351" s="400" t="s">
        <v>4294</v>
      </c>
      <c r="W351" s="400"/>
      <c r="X351" s="400" t="s">
        <v>4303</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4310</v>
      </c>
      <c r="Q352" s="400" t="s">
        <v>4311</v>
      </c>
      <c r="R352" s="400">
        <v>615779712</v>
      </c>
      <c r="S352" s="400">
        <v>0</v>
      </c>
      <c r="T352" s="400" t="s">
        <v>826</v>
      </c>
      <c r="U352" s="400" t="s">
        <v>4302</v>
      </c>
      <c r="V352" s="400" t="s">
        <v>828</v>
      </c>
      <c r="W352" s="400"/>
      <c r="X352" s="400" t="s">
        <v>4303</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4310</v>
      </c>
      <c r="Q353" s="400" t="s">
        <v>4311</v>
      </c>
      <c r="R353" s="400">
        <v>615779712</v>
      </c>
      <c r="S353" s="400">
        <v>0</v>
      </c>
      <c r="T353" s="400" t="s">
        <v>826</v>
      </c>
      <c r="U353" s="400" t="s">
        <v>4302</v>
      </c>
      <c r="V353" s="399" t="s">
        <v>4312</v>
      </c>
      <c r="W353" s="400"/>
      <c r="X353" s="400" t="s">
        <v>4303</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4310</v>
      </c>
      <c r="Q354" s="400" t="s">
        <v>4311</v>
      </c>
      <c r="R354" s="400">
        <v>615779712</v>
      </c>
      <c r="S354" s="400">
        <v>0</v>
      </c>
      <c r="T354" s="400" t="s">
        <v>4345</v>
      </c>
      <c r="U354" s="400" t="s">
        <v>4302</v>
      </c>
      <c r="V354" s="400" t="s">
        <v>4296</v>
      </c>
      <c r="W354" s="400"/>
      <c r="X354" s="400" t="s">
        <v>4303</v>
      </c>
      <c r="Y354" s="318"/>
      <c r="Z354" s="319"/>
      <c r="AA354" s="256"/>
      <c r="AC354" s="308"/>
      <c r="AE354" s="278"/>
      <c r="AH354" s="391"/>
      <c r="AJ354" s="232"/>
      <c r="AK354" s="232"/>
      <c r="AQ354" s="416"/>
    </row>
    <row r="355" spans="7:45" ht="13.5" customHeight="1">
      <c r="G355" s="397"/>
      <c r="H355" s="397"/>
      <c r="I355" s="397"/>
      <c r="J355" s="3"/>
      <c r="K355" s="3"/>
      <c r="L355" s="226"/>
      <c r="M355" s="226">
        <f>(218-206)*3600/1000000</f>
        <v>4.3200000000000002E-2</v>
      </c>
      <c r="O355" s="263"/>
      <c r="P355" s="400" t="s">
        <v>4310</v>
      </c>
      <c r="Q355" s="400" t="s">
        <v>4311</v>
      </c>
      <c r="R355" s="400">
        <v>615779712</v>
      </c>
      <c r="S355" s="400">
        <v>0</v>
      </c>
      <c r="T355" s="400" t="s">
        <v>826</v>
      </c>
      <c r="U355" s="400" t="s">
        <v>4302</v>
      </c>
      <c r="V355" s="400" t="s">
        <v>1471</v>
      </c>
      <c r="W355" s="400"/>
      <c r="X355" s="400" t="s">
        <v>4303</v>
      </c>
      <c r="Y355" s="318"/>
      <c r="Z355" s="319"/>
      <c r="AA355" s="256"/>
      <c r="AC355" s="308"/>
      <c r="AE355" s="278"/>
      <c r="AH355" s="391"/>
      <c r="AJ355" s="232"/>
      <c r="AK355" s="232"/>
      <c r="AQ355" s="416"/>
    </row>
    <row r="356" spans="7:45" ht="13.5" customHeight="1">
      <c r="G356" s="397"/>
      <c r="H356" s="397"/>
      <c r="I356" s="397"/>
      <c r="J356" s="3" t="s">
        <v>943</v>
      </c>
      <c r="K356" s="3" t="s">
        <v>1540</v>
      </c>
      <c r="L356" s="226" t="s">
        <v>4313</v>
      </c>
      <c r="M356" s="226" t="s">
        <v>4342</v>
      </c>
      <c r="N356" t="s">
        <v>4336</v>
      </c>
      <c r="O356" s="192" t="s">
        <v>4350</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226"/>
      <c r="O357" s="192"/>
      <c r="P357" s="395" t="s">
        <v>4316</v>
      </c>
      <c r="Q357" s="395" t="s">
        <v>4317</v>
      </c>
      <c r="R357" s="434">
        <v>616807877</v>
      </c>
      <c r="S357" s="395">
        <v>0</v>
      </c>
      <c r="T357" s="395" t="s">
        <v>826</v>
      </c>
      <c r="U357" s="395" t="s">
        <v>2177</v>
      </c>
      <c r="V357" s="395" t="s">
        <v>4318</v>
      </c>
      <c r="W357" s="395"/>
      <c r="X357" s="395" t="s">
        <v>4319</v>
      </c>
      <c r="Y357" s="318"/>
      <c r="Z357" s="319"/>
      <c r="AA357" s="256"/>
      <c r="AC357" s="308"/>
      <c r="AE357" s="278"/>
      <c r="AH357" s="391"/>
      <c r="AJ357" s="232"/>
      <c r="AK357" s="232"/>
      <c r="AQ357" s="416"/>
    </row>
    <row r="358" spans="7:45" ht="13.5" customHeight="1">
      <c r="G358" s="397"/>
      <c r="H358" s="397"/>
      <c r="I358" s="397"/>
      <c r="J358" s="3"/>
      <c r="K358" s="3"/>
      <c r="L358" s="226"/>
      <c r="M358" s="226"/>
      <c r="O358" s="192" t="s">
        <v>4340</v>
      </c>
      <c r="P358" s="395" t="s">
        <v>4320</v>
      </c>
      <c r="Q358" s="395" t="s">
        <v>4321</v>
      </c>
      <c r="R358" s="435">
        <v>616808221</v>
      </c>
      <c r="S358" s="395">
        <v>1</v>
      </c>
      <c r="T358" s="395" t="s">
        <v>373</v>
      </c>
      <c r="U358" s="395" t="s">
        <v>1072</v>
      </c>
      <c r="V358" s="395" t="s">
        <v>833</v>
      </c>
      <c r="W358" s="395"/>
      <c r="X358" s="395" t="s">
        <v>4319</v>
      </c>
      <c r="Y358" s="318"/>
      <c r="Z358" s="319"/>
      <c r="AA358" s="256"/>
      <c r="AC358" s="308"/>
      <c r="AE358" s="278"/>
      <c r="AH358" s="391"/>
      <c r="AJ358" s="232"/>
      <c r="AK358" s="232"/>
      <c r="AQ358" s="416"/>
    </row>
    <row r="359" spans="7:45" ht="13.5" customHeight="1">
      <c r="G359" s="397"/>
      <c r="H359" s="397"/>
      <c r="I359" s="397"/>
      <c r="J359" s="3"/>
      <c r="K359" s="3"/>
      <c r="L359" s="226"/>
      <c r="M359" s="226"/>
      <c r="O359" s="263" t="s">
        <v>4339</v>
      </c>
      <c r="P359" s="395" t="s">
        <v>4133</v>
      </c>
      <c r="Q359" s="395" t="s">
        <v>4134</v>
      </c>
      <c r="R359" s="442">
        <v>616842836</v>
      </c>
      <c r="S359" s="395">
        <v>7</v>
      </c>
      <c r="T359" s="395" t="s">
        <v>373</v>
      </c>
      <c r="U359" s="395" t="s">
        <v>4135</v>
      </c>
      <c r="V359" s="395" t="s">
        <v>816</v>
      </c>
      <c r="W359" s="395" t="s">
        <v>817</v>
      </c>
      <c r="X359" s="395" t="s">
        <v>4136</v>
      </c>
      <c r="Y359" s="318"/>
      <c r="Z359" s="319"/>
      <c r="AA359" s="256"/>
      <c r="AC359" s="308"/>
      <c r="AE359" s="278"/>
      <c r="AH359" s="391"/>
      <c r="AJ359" s="232"/>
      <c r="AK359" s="232"/>
      <c r="AQ359" s="416"/>
    </row>
    <row r="360" spans="7:45" ht="13.5" customHeight="1">
      <c r="G360" s="397"/>
      <c r="H360" s="397"/>
      <c r="I360" s="397"/>
      <c r="J360" s="3"/>
      <c r="K360" s="3"/>
      <c r="L360" s="226"/>
      <c r="M360" s="226"/>
      <c r="O360" s="263"/>
      <c r="P360" s="402" t="s">
        <v>4322</v>
      </c>
      <c r="Q360" s="402" t="s">
        <v>4323</v>
      </c>
      <c r="R360" s="436">
        <v>616843328</v>
      </c>
      <c r="S360" s="402">
        <v>0</v>
      </c>
      <c r="T360" s="402" t="s">
        <v>826</v>
      </c>
      <c r="U360" s="402" t="s">
        <v>4135</v>
      </c>
      <c r="V360" s="402" t="s">
        <v>4312</v>
      </c>
      <c r="W360" s="402"/>
      <c r="X360" s="402" t="s">
        <v>4136</v>
      </c>
      <c r="Y360" s="318"/>
      <c r="Z360" s="319"/>
      <c r="AA360" s="256"/>
      <c r="AC360" s="308"/>
      <c r="AE360" s="278"/>
      <c r="AH360" s="391"/>
      <c r="AJ360" s="232"/>
      <c r="AK360" s="232"/>
      <c r="AQ360" s="416"/>
    </row>
    <row r="361" spans="7:45" ht="13.5" customHeight="1">
      <c r="J361" s="3" t="s">
        <v>943</v>
      </c>
      <c r="K361" s="3" t="s">
        <v>1540</v>
      </c>
      <c r="L361" s="226" t="s">
        <v>4341</v>
      </c>
      <c r="M361" s="226" t="s">
        <v>4351</v>
      </c>
      <c r="N361" t="s">
        <v>4343</v>
      </c>
      <c r="O361" s="192" t="s">
        <v>4339</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4352</v>
      </c>
      <c r="N362" t="s">
        <v>4343</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4233</v>
      </c>
      <c r="AJ362" s="232">
        <f t="shared" ref="AJ362:AJ365" si="196">X362*8/1000000</f>
        <v>1.8998980522155762E-13</v>
      </c>
      <c r="AK362" s="232">
        <f t="shared" ref="AK362:AK365" si="197">V362*8/1000000</f>
        <v>16.904185199999809</v>
      </c>
      <c r="AL362" s="420" t="s">
        <v>4204</v>
      </c>
      <c r="AM362" s="420" t="s">
        <v>4205</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4353</v>
      </c>
      <c r="N363" t="s">
        <v>4343</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4234</v>
      </c>
      <c r="AJ363" s="232">
        <f t="shared" si="196"/>
        <v>2.216547727584839E-13</v>
      </c>
      <c r="AK363" s="232">
        <f t="shared" si="197"/>
        <v>2.6176166999997781</v>
      </c>
      <c r="AL363" t="s">
        <v>4206</v>
      </c>
      <c r="AM363" t="s">
        <v>4207</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4354</v>
      </c>
      <c r="N364" t="s">
        <v>4343</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4235</v>
      </c>
      <c r="AJ364" s="232">
        <f t="shared" si="196"/>
        <v>1.5646219253540038E-13</v>
      </c>
      <c r="AK364" s="232">
        <f t="shared" si="197"/>
        <v>8.8730405999998432</v>
      </c>
      <c r="AL364" t="s">
        <v>4208</v>
      </c>
      <c r="AM364" t="s">
        <v>4209</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4355</v>
      </c>
      <c r="N365" t="s">
        <v>4343</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4236</v>
      </c>
      <c r="AJ365" s="232">
        <f t="shared" si="196"/>
        <v>0</v>
      </c>
      <c r="AK365" s="232">
        <f t="shared" si="197"/>
        <v>9.1141326000000031</v>
      </c>
      <c r="AL365" t="s">
        <v>4210</v>
      </c>
      <c r="AM365" t="s">
        <v>4211</v>
      </c>
      <c r="AN365">
        <v>0.186725</v>
      </c>
      <c r="AO365">
        <v>1.337499</v>
      </c>
      <c r="AP365">
        <v>1.150774</v>
      </c>
      <c r="AQ365" s="416">
        <v>10.126814</v>
      </c>
      <c r="AR365">
        <f t="shared" si="198"/>
        <v>9.1141325999999996</v>
      </c>
      <c r="AS365">
        <f>AS364+AR365</f>
        <v>189.79894080000003</v>
      </c>
    </row>
    <row r="366" spans="7:45" ht="13.5" customHeight="1">
      <c r="J366" s="3"/>
      <c r="K366" s="3"/>
      <c r="L366" s="3"/>
      <c r="M366" s="3"/>
      <c r="N366" s="3"/>
      <c r="O366" s="3"/>
      <c r="P366" s="392" t="s">
        <v>4261</v>
      </c>
      <c r="Q366" s="426" t="s">
        <v>4262</v>
      </c>
      <c r="R366" s="426">
        <v>646883515</v>
      </c>
      <c r="S366" s="392">
        <v>0</v>
      </c>
      <c r="T366" s="392" t="s">
        <v>1124</v>
      </c>
      <c r="U366" s="392" t="s">
        <v>4263</v>
      </c>
      <c r="V366" s="392" t="s">
        <v>1288</v>
      </c>
      <c r="W366" s="392"/>
      <c r="X366" s="392" t="s">
        <v>4251</v>
      </c>
    </row>
    <row r="367" spans="7:45" ht="13.5" customHeight="1">
      <c r="J367" s="3"/>
      <c r="K367" s="3"/>
      <c r="P367" s="392" t="s">
        <v>4248</v>
      </c>
      <c r="Q367" s="426" t="s">
        <v>4249</v>
      </c>
      <c r="R367" s="426">
        <v>646884115</v>
      </c>
      <c r="S367" s="392">
        <v>0</v>
      </c>
      <c r="T367" s="392" t="s">
        <v>1124</v>
      </c>
      <c r="U367" s="392" t="s">
        <v>4250</v>
      </c>
      <c r="V367" s="426" t="s">
        <v>1517</v>
      </c>
      <c r="W367" s="392"/>
      <c r="X367" s="392" t="s">
        <v>4251</v>
      </c>
    </row>
    <row r="368" spans="7:45" ht="13.5" customHeight="1">
      <c r="J368" s="3"/>
      <c r="K368" s="3"/>
      <c r="P368" s="392" t="s">
        <v>4252</v>
      </c>
      <c r="Q368" s="392" t="s">
        <v>4253</v>
      </c>
      <c r="R368" s="392">
        <v>646884118</v>
      </c>
      <c r="S368" s="392">
        <v>0</v>
      </c>
      <c r="T368" s="392" t="s">
        <v>1124</v>
      </c>
      <c r="U368" s="392" t="s">
        <v>4250</v>
      </c>
      <c r="V368" s="426" t="s">
        <v>1523</v>
      </c>
      <c r="W368" s="392"/>
      <c r="X368" s="392" t="s">
        <v>4251</v>
      </c>
    </row>
    <row r="369" spans="3:45" ht="13.5" customHeight="1">
      <c r="J369" s="3"/>
      <c r="K369" s="3"/>
      <c r="L369" s="3"/>
      <c r="M369" s="3"/>
      <c r="N369" s="3"/>
      <c r="O369" s="3"/>
      <c r="P369" s="392" t="s">
        <v>4254</v>
      </c>
      <c r="Q369" s="392" t="s">
        <v>4255</v>
      </c>
      <c r="R369" s="392">
        <v>646884121</v>
      </c>
      <c r="S369" s="392">
        <v>0</v>
      </c>
      <c r="T369" s="392" t="s">
        <v>1124</v>
      </c>
      <c r="U369" s="392" t="s">
        <v>4250</v>
      </c>
      <c r="V369" s="426" t="s">
        <v>1160</v>
      </c>
      <c r="W369" s="392"/>
      <c r="X369" s="392" t="s">
        <v>4251</v>
      </c>
    </row>
    <row r="370" spans="3:45" ht="13.5" customHeight="1">
      <c r="J370" s="3"/>
      <c r="K370" s="3"/>
      <c r="L370" s="3"/>
      <c r="M370" s="3"/>
      <c r="N370" s="3"/>
      <c r="O370" s="3"/>
      <c r="P370" s="392" t="s">
        <v>4256</v>
      </c>
      <c r="Q370" s="392" t="s">
        <v>4257</v>
      </c>
      <c r="R370" s="392">
        <v>646884124</v>
      </c>
      <c r="S370" s="392">
        <v>0</v>
      </c>
      <c r="T370" s="392" t="s">
        <v>1124</v>
      </c>
      <c r="U370" s="392" t="s">
        <v>4250</v>
      </c>
      <c r="V370" s="426" t="s">
        <v>1164</v>
      </c>
      <c r="W370" s="392"/>
      <c r="X370" s="392" t="s">
        <v>4251</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4258</v>
      </c>
      <c r="Q371" s="392" t="s">
        <v>4259</v>
      </c>
      <c r="R371" s="392">
        <v>646884715</v>
      </c>
      <c r="S371" s="392">
        <v>0</v>
      </c>
      <c r="T371" s="392" t="s">
        <v>1124</v>
      </c>
      <c r="U371" s="392" t="s">
        <v>4260</v>
      </c>
      <c r="V371" s="392" t="s">
        <v>1126</v>
      </c>
      <c r="W371" s="392"/>
      <c r="X371" s="392" t="s">
        <v>4251</v>
      </c>
    </row>
    <row r="372" spans="3:45" ht="13.5" customHeight="1">
      <c r="J372" s="3"/>
      <c r="K372" s="3"/>
      <c r="L372" s="3" t="s">
        <v>4384</v>
      </c>
      <c r="M372" s="3"/>
      <c r="N372" s="3"/>
      <c r="O372" s="3"/>
      <c r="P372" s="392" t="s">
        <v>4264</v>
      </c>
      <c r="Q372" s="392" t="s">
        <v>4265</v>
      </c>
      <c r="R372" s="392">
        <v>646885315</v>
      </c>
      <c r="S372" s="392">
        <v>0</v>
      </c>
      <c r="T372" s="392" t="s">
        <v>1124</v>
      </c>
      <c r="U372" s="392" t="s">
        <v>4266</v>
      </c>
      <c r="V372" s="392" t="s">
        <v>4267</v>
      </c>
      <c r="W372" s="392"/>
      <c r="X372" s="392" t="s">
        <v>4251</v>
      </c>
    </row>
    <row r="373" spans="3:45" ht="13.5" customHeight="1">
      <c r="C373" s="3">
        <v>103</v>
      </c>
      <c r="D373" s="3">
        <v>109</v>
      </c>
      <c r="E373" t="s">
        <v>766</v>
      </c>
      <c r="F373" t="s">
        <v>764</v>
      </c>
      <c r="G373" s="3" t="s">
        <v>765</v>
      </c>
      <c r="H373" t="s">
        <v>768</v>
      </c>
      <c r="I373" t="s">
        <v>769</v>
      </c>
      <c r="L373" s="453" t="s">
        <v>4383</v>
      </c>
      <c r="M373" s="257" t="s">
        <v>4270</v>
      </c>
      <c r="N373" t="s">
        <v>4273</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4237</v>
      </c>
      <c r="AJ373" s="232">
        <f t="shared" si="156"/>
        <v>1.6987323760986329E-12</v>
      </c>
      <c r="AK373" s="232">
        <f t="shared" si="157"/>
        <v>23.440766999998303</v>
      </c>
      <c r="AL373" s="418" t="s">
        <v>4212</v>
      </c>
      <c r="AM373" s="418" t="s">
        <v>4213</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4271</v>
      </c>
      <c r="N374" t="s">
        <v>4273</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4238</v>
      </c>
      <c r="AJ374" s="232">
        <f t="shared" si="156"/>
        <v>-7.0966780185699461E-13</v>
      </c>
      <c r="AK374" s="232">
        <f t="shared" si="157"/>
        <v>10.75848900000071</v>
      </c>
      <c r="AL374" s="418" t="s">
        <v>673</v>
      </c>
      <c r="AM374" s="418" t="s">
        <v>4214</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4272</v>
      </c>
      <c r="N375" t="s">
        <v>4273</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4239</v>
      </c>
      <c r="AJ375" s="232">
        <f t="shared" si="156"/>
        <v>-6.92903995513916E-13</v>
      </c>
      <c r="AK375" s="232">
        <f t="shared" si="157"/>
        <v>26.977334000000692</v>
      </c>
      <c r="AL375" s="418" t="s">
        <v>4215</v>
      </c>
      <c r="AM375" s="418" t="s">
        <v>4216</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4356</v>
      </c>
      <c r="N376" t="s">
        <v>4343</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4240</v>
      </c>
      <c r="AJ376" s="232">
        <f t="shared" si="156"/>
        <v>1.5832483768463135E-14</v>
      </c>
      <c r="AK376" s="232">
        <f t="shared" si="157"/>
        <v>7.4125403999999833</v>
      </c>
      <c r="AL376" t="s">
        <v>4217</v>
      </c>
      <c r="AM376" t="s">
        <v>4218</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4357</v>
      </c>
      <c r="N377" t="s">
        <v>4343</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4241</v>
      </c>
      <c r="AJ377" s="232">
        <f t="shared" si="156"/>
        <v>-2.0489096641540528E-13</v>
      </c>
      <c r="AK377" s="232">
        <f>V377*8/1000000</f>
        <v>11.412846000000204</v>
      </c>
      <c r="AL377" t="s">
        <v>4219</v>
      </c>
      <c r="AM377" t="s">
        <v>4220</v>
      </c>
      <c r="AN377">
        <v>0.179698</v>
      </c>
      <c r="AO377">
        <v>1.620714</v>
      </c>
      <c r="AP377">
        <v>1.4410160000000001</v>
      </c>
      <c r="AQ377" s="416">
        <v>12.68094</v>
      </c>
      <c r="AR377">
        <f t="shared" si="158"/>
        <v>11.412846</v>
      </c>
      <c r="AS377" s="417" t="e">
        <f>AS376+AR377</f>
        <v>#REF!</v>
      </c>
    </row>
    <row r="378" spans="3:45" ht="13.5" customHeight="1">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4368</v>
      </c>
      <c r="N380" t="s">
        <v>4343</v>
      </c>
      <c r="O380" s="263" t="s">
        <v>4370</v>
      </c>
      <c r="P380" s="179" t="s">
        <v>4367</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O381" s="263" t="s">
        <v>4369</v>
      </c>
    </row>
    <row r="388" spans="17:26" ht="13.5" customHeight="1">
      <c r="Q388" s="5">
        <f>Q277</f>
        <v>644923310</v>
      </c>
    </row>
    <row r="390" spans="17:26" ht="13.5" customHeight="1">
      <c r="Z390" s="424" t="s">
        <v>2573</v>
      </c>
    </row>
    <row r="394" spans="17:26" ht="13.5" customHeight="1">
      <c r="Z394" s="424" t="s">
        <v>1132</v>
      </c>
    </row>
    <row r="396" spans="17:26" ht="13.5" customHeight="1">
      <c r="Z396" s="424" t="s">
        <v>2547</v>
      </c>
    </row>
  </sheetData>
  <phoneticPr fontId="58" type="noConversion"/>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4176</v>
      </c>
    </row>
    <row r="4" spans="1:11">
      <c r="A4" s="3">
        <f>G9+G6</f>
        <v>222.648</v>
      </c>
      <c r="B4" s="93" t="s">
        <v>4176</v>
      </c>
    </row>
    <row r="5" spans="1:11">
      <c r="A5" s="3" t="s">
        <v>4178</v>
      </c>
      <c r="C5" s="3" t="s">
        <v>4177</v>
      </c>
      <c r="D5" s="3" t="s">
        <v>416</v>
      </c>
      <c r="F5" s="3" t="s">
        <v>4179</v>
      </c>
      <c r="G5" s="3" t="s">
        <v>4180</v>
      </c>
      <c r="J5" s="3" t="s">
        <v>4182</v>
      </c>
    </row>
    <row r="6" spans="1:11">
      <c r="A6" s="3">
        <v>27</v>
      </c>
      <c r="B6" s="3" t="s">
        <v>640</v>
      </c>
      <c r="C6" s="3">
        <v>645951158</v>
      </c>
      <c r="D6" s="3">
        <v>645951767</v>
      </c>
      <c r="F6" s="3">
        <v>26.763999999999999</v>
      </c>
      <c r="G6" s="414">
        <v>28.626000000000001</v>
      </c>
    </row>
    <row r="7" spans="1:11">
      <c r="G7" s="3">
        <f>G6*1000000/8</f>
        <v>3578250</v>
      </c>
    </row>
    <row r="8" spans="1:11">
      <c r="C8" s="3" t="s">
        <v>4177</v>
      </c>
      <c r="D8" s="3" t="s">
        <v>416</v>
      </c>
      <c r="H8" s="3" t="s">
        <v>4181</v>
      </c>
    </row>
    <row r="9" spans="1:11">
      <c r="A9" s="3">
        <v>183</v>
      </c>
      <c r="B9" s="3" t="s">
        <v>4184</v>
      </c>
      <c r="C9" s="3">
        <v>645951790</v>
      </c>
      <c r="D9" s="3">
        <v>645955455</v>
      </c>
      <c r="E9" s="3">
        <f>D9-C9</f>
        <v>3665</v>
      </c>
      <c r="F9" s="3">
        <v>174.619</v>
      </c>
      <c r="G9" s="3">
        <v>194.02199999999999</v>
      </c>
      <c r="H9" s="414">
        <f>58.7-G6</f>
        <v>30.074000000000002</v>
      </c>
      <c r="I9" s="3">
        <f>H9/G9</f>
        <v>0.15500304089226996</v>
      </c>
      <c r="J9" s="145">
        <f>C9+I9*E9</f>
        <v>645952358.08614492</v>
      </c>
      <c r="K9" s="93" t="s">
        <v>4183</v>
      </c>
    </row>
    <row r="10" spans="1:11">
      <c r="C10" s="3" t="s">
        <v>4385</v>
      </c>
      <c r="D10" s="3" t="s">
        <v>4386</v>
      </c>
      <c r="G10" s="3">
        <f>G9*1000000/8</f>
        <v>24252750</v>
      </c>
      <c r="H10" s="3">
        <f>H9*1000000/8</f>
        <v>3759250</v>
      </c>
    </row>
    <row r="13" spans="1:11">
      <c r="G13" s="3">
        <v>645952358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1740</v>
      </c>
      <c r="C2" s="336" t="s">
        <v>1741</v>
      </c>
      <c r="D2" s="336" t="s">
        <v>1742</v>
      </c>
      <c r="E2" s="336" t="s">
        <v>1743</v>
      </c>
      <c r="F2" s="336" t="s">
        <v>1744</v>
      </c>
      <c r="H2" s="337" t="s">
        <v>1745</v>
      </c>
      <c r="I2" s="338" t="s">
        <v>1746</v>
      </c>
      <c r="J2" s="336" t="s">
        <v>1747</v>
      </c>
      <c r="K2" s="3"/>
      <c r="L2" s="336" t="s">
        <v>1748</v>
      </c>
      <c r="M2" s="336" t="s">
        <v>1749</v>
      </c>
      <c r="N2" s="336" t="s">
        <v>1747</v>
      </c>
    </row>
    <row r="3" spans="2:22">
      <c r="B3" s="339" t="s">
        <v>1750</v>
      </c>
      <c r="C3" s="339" t="s">
        <v>1751</v>
      </c>
      <c r="D3" s="339">
        <v>75</v>
      </c>
      <c r="E3" s="339">
        <f t="shared" ref="E3:E8" si="0">D3*8</f>
        <v>600</v>
      </c>
      <c r="F3" s="339">
        <v>1</v>
      </c>
      <c r="H3" s="339" t="s">
        <v>1752</v>
      </c>
      <c r="I3" s="339">
        <v>0</v>
      </c>
      <c r="J3" s="339"/>
      <c r="L3" s="339" t="s">
        <v>1752</v>
      </c>
      <c r="M3" s="339">
        <v>0</v>
      </c>
      <c r="N3" s="339">
        <v>0</v>
      </c>
    </row>
    <row r="4" spans="2:22">
      <c r="B4" s="339" t="s">
        <v>1753</v>
      </c>
      <c r="C4" s="339" t="s">
        <v>1754</v>
      </c>
      <c r="D4" s="339">
        <v>33</v>
      </c>
      <c r="E4" s="339">
        <f t="shared" si="0"/>
        <v>264</v>
      </c>
      <c r="F4" s="340" t="s">
        <v>1755</v>
      </c>
      <c r="H4" s="339" t="s">
        <v>1756</v>
      </c>
      <c r="I4" s="339">
        <f>1/(24*60*60)</f>
        <v>1.1574074074074073E-5</v>
      </c>
      <c r="J4" s="339">
        <v>86400</v>
      </c>
      <c r="L4" s="339" t="s">
        <v>1756</v>
      </c>
      <c r="M4" s="339">
        <f t="shared" ref="M4:M15" si="1">1/N4</f>
        <v>1.1574074074074073E-5</v>
      </c>
      <c r="N4" s="339">
        <v>86400</v>
      </c>
    </row>
    <row r="5" spans="2:22">
      <c r="B5" s="339" t="s">
        <v>1757</v>
      </c>
      <c r="C5" s="339" t="s">
        <v>1758</v>
      </c>
      <c r="D5" s="339">
        <v>35</v>
      </c>
      <c r="E5" s="339">
        <f t="shared" si="0"/>
        <v>280</v>
      </c>
      <c r="F5" s="339">
        <v>64</v>
      </c>
      <c r="H5" s="339" t="s">
        <v>1759</v>
      </c>
      <c r="I5" s="339">
        <f>1/(12*60*60)</f>
        <v>2.3148148148148147E-5</v>
      </c>
      <c r="J5" s="339">
        <v>43200</v>
      </c>
      <c r="L5" s="339" t="s">
        <v>1759</v>
      </c>
      <c r="M5" s="339">
        <f t="shared" si="1"/>
        <v>2.3148148148148147E-5</v>
      </c>
      <c r="N5" s="339">
        <v>43200</v>
      </c>
    </row>
    <row r="6" spans="2:22">
      <c r="B6" s="339" t="s">
        <v>1760</v>
      </c>
      <c r="C6" s="339" t="s">
        <v>1761</v>
      </c>
      <c r="D6" s="339">
        <v>87</v>
      </c>
      <c r="E6" s="339">
        <f t="shared" si="0"/>
        <v>696</v>
      </c>
      <c r="F6" s="339">
        <v>1</v>
      </c>
      <c r="H6" s="339" t="s">
        <v>1762</v>
      </c>
      <c r="I6" s="339">
        <f>1/(6*60*60)</f>
        <v>4.6296296296296294E-5</v>
      </c>
      <c r="J6" s="339">
        <v>21600</v>
      </c>
      <c r="L6" s="339" t="s">
        <v>1762</v>
      </c>
      <c r="M6" s="339">
        <f t="shared" si="1"/>
        <v>4.6227810650887573E-5</v>
      </c>
      <c r="N6" s="339">
        <v>21632</v>
      </c>
    </row>
    <row r="7" spans="2:22">
      <c r="B7" s="339" t="s">
        <v>1763</v>
      </c>
      <c r="C7" s="339" t="s">
        <v>1764</v>
      </c>
      <c r="D7" s="339">
        <v>216</v>
      </c>
      <c r="E7" s="339">
        <f t="shared" si="0"/>
        <v>1728</v>
      </c>
      <c r="F7" s="339">
        <v>1</v>
      </c>
      <c r="H7" s="339" t="s">
        <v>1765</v>
      </c>
      <c r="I7" s="339">
        <f>1/(3*60*60)</f>
        <v>9.2592592592592588E-5</v>
      </c>
      <c r="J7" s="339">
        <v>10800</v>
      </c>
      <c r="L7" s="339" t="s">
        <v>1765</v>
      </c>
      <c r="M7" s="339">
        <f t="shared" si="1"/>
        <v>9.2455621301775146E-5</v>
      </c>
      <c r="N7" s="339">
        <v>10816</v>
      </c>
    </row>
    <row r="8" spans="2:22">
      <c r="B8" s="339" t="s">
        <v>1766</v>
      </c>
      <c r="C8" s="339" t="s">
        <v>1767</v>
      </c>
      <c r="D8" s="339">
        <v>204</v>
      </c>
      <c r="E8" s="339">
        <f t="shared" si="0"/>
        <v>1632</v>
      </c>
      <c r="F8" s="339">
        <v>63</v>
      </c>
      <c r="H8" s="339" t="s">
        <v>1768</v>
      </c>
      <c r="I8" s="339">
        <f>1/(2*60*60)</f>
        <v>1.3888888888888889E-4</v>
      </c>
      <c r="J8" s="339">
        <v>7200</v>
      </c>
      <c r="L8" s="339" t="s">
        <v>1768</v>
      </c>
      <c r="M8" s="339">
        <f t="shared" si="1"/>
        <v>1.3827433628318584E-4</v>
      </c>
      <c r="N8" s="339">
        <v>7232</v>
      </c>
    </row>
    <row r="9" spans="2:22">
      <c r="H9" s="339" t="s">
        <v>1769</v>
      </c>
      <c r="I9" s="339">
        <f>1/(60*60)</f>
        <v>2.7777777777777778E-4</v>
      </c>
      <c r="J9" s="339">
        <v>3600</v>
      </c>
      <c r="L9" s="339" t="s">
        <v>1769</v>
      </c>
      <c r="M9" s="339">
        <f t="shared" si="1"/>
        <v>2.7412280701754384E-4</v>
      </c>
      <c r="N9" s="339">
        <v>3648</v>
      </c>
    </row>
    <row r="10" spans="2:22">
      <c r="H10" s="339" t="s">
        <v>1770</v>
      </c>
      <c r="I10" s="339">
        <f>1/(30*60)</f>
        <v>5.5555555555555556E-4</v>
      </c>
      <c r="J10" s="339">
        <v>1800</v>
      </c>
      <c r="L10" s="339" t="s">
        <v>1770</v>
      </c>
      <c r="M10" s="339">
        <f t="shared" si="1"/>
        <v>5.3879310344827585E-4</v>
      </c>
      <c r="N10" s="339">
        <f>1856</f>
        <v>1856</v>
      </c>
    </row>
    <row r="11" spans="2:22">
      <c r="H11" s="339" t="s">
        <v>1771</v>
      </c>
      <c r="I11" s="339">
        <f>1/(20*60)</f>
        <v>8.3333333333333339E-4</v>
      </c>
      <c r="J11" s="339">
        <f>1200</f>
        <v>1200</v>
      </c>
      <c r="L11" s="339" t="s">
        <v>1771</v>
      </c>
      <c r="M11" s="339">
        <f t="shared" si="1"/>
        <v>7.8125000000000004E-4</v>
      </c>
      <c r="N11" s="339">
        <f>20*64</f>
        <v>1280</v>
      </c>
    </row>
    <row r="12" spans="2:22">
      <c r="H12" s="339" t="s">
        <v>1772</v>
      </c>
      <c r="I12" s="339">
        <f>1/(10*60)</f>
        <v>1.6666666666666668E-3</v>
      </c>
      <c r="J12" s="339">
        <v>600</v>
      </c>
      <c r="L12" s="339" t="s">
        <v>1772</v>
      </c>
      <c r="M12" s="339">
        <f t="shared" si="1"/>
        <v>1.5625000000000001E-3</v>
      </c>
      <c r="N12" s="339">
        <f>10*64</f>
        <v>640</v>
      </c>
    </row>
    <row r="13" spans="2:22">
      <c r="H13" s="339" t="s">
        <v>1773</v>
      </c>
      <c r="I13" s="339">
        <f>1/(5*60)</f>
        <v>3.3333333333333335E-3</v>
      </c>
      <c r="J13" s="339">
        <v>300</v>
      </c>
      <c r="L13" s="339" t="s">
        <v>1773</v>
      </c>
      <c r="M13" s="339">
        <f t="shared" si="1"/>
        <v>3.1250000000000002E-3</v>
      </c>
      <c r="N13" s="339">
        <f>5*64</f>
        <v>320</v>
      </c>
    </row>
    <row r="14" spans="2:22">
      <c r="H14" s="339" t="s">
        <v>1774</v>
      </c>
      <c r="I14" s="339">
        <f>1/(2*60)</f>
        <v>8.3333333333333332E-3</v>
      </c>
      <c r="J14" s="339">
        <v>120</v>
      </c>
      <c r="L14" s="339" t="s">
        <v>1774</v>
      </c>
      <c r="M14" s="339">
        <f t="shared" si="1"/>
        <v>7.8125E-3</v>
      </c>
      <c r="N14" s="339">
        <f>2*64</f>
        <v>128</v>
      </c>
    </row>
    <row r="15" spans="2:22">
      <c r="H15" s="339" t="s">
        <v>1775</v>
      </c>
      <c r="I15" s="339">
        <f>1/64</f>
        <v>1.5625E-2</v>
      </c>
      <c r="J15" s="339">
        <v>64</v>
      </c>
      <c r="L15" s="339" t="s">
        <v>1775</v>
      </c>
      <c r="M15" s="339">
        <f t="shared" si="1"/>
        <v>1.5625E-2</v>
      </c>
      <c r="N15" s="339">
        <v>64</v>
      </c>
      <c r="T15" s="5"/>
      <c r="V15" s="278"/>
    </row>
    <row r="16" spans="2:22">
      <c r="H16" s="339" t="s">
        <v>1776</v>
      </c>
      <c r="I16" s="339">
        <f>1/32</f>
        <v>3.125E-2</v>
      </c>
      <c r="J16" s="339">
        <v>32</v>
      </c>
      <c r="T16" s="5"/>
      <c r="V16" s="278"/>
    </row>
    <row r="17" spans="2:22">
      <c r="H17" s="339" t="s">
        <v>1777</v>
      </c>
      <c r="I17" s="339">
        <f>1/16</f>
        <v>6.25E-2</v>
      </c>
      <c r="J17" s="339">
        <v>16</v>
      </c>
      <c r="P17" s="183"/>
      <c r="T17" s="5"/>
      <c r="V17" s="278"/>
    </row>
    <row r="18" spans="2:22">
      <c r="H18" s="339" t="s">
        <v>1778</v>
      </c>
      <c r="I18" s="339">
        <f>1/8</f>
        <v>0.125</v>
      </c>
      <c r="J18" s="339">
        <v>8</v>
      </c>
      <c r="P18" s="183"/>
    </row>
    <row r="19" spans="2:22">
      <c r="H19" s="339" t="s">
        <v>1779</v>
      </c>
      <c r="I19" s="339">
        <f>1/4</f>
        <v>0.25</v>
      </c>
      <c r="J19" s="339">
        <v>4</v>
      </c>
    </row>
    <row r="20" spans="2:22">
      <c r="H20" s="339" t="s">
        <v>1780</v>
      </c>
      <c r="I20" s="339">
        <f>1/2</f>
        <v>0.5</v>
      </c>
      <c r="J20" s="339">
        <v>2</v>
      </c>
    </row>
    <row r="21" spans="2:22">
      <c r="H21" s="339" t="s">
        <v>1781</v>
      </c>
      <c r="I21" s="339">
        <f>1</f>
        <v>1</v>
      </c>
      <c r="J21" s="339">
        <v>1</v>
      </c>
    </row>
    <row r="25" spans="2:22" ht="18.75">
      <c r="B25" s="459" t="s">
        <v>1782</v>
      </c>
      <c r="C25" s="459"/>
      <c r="D25" s="459"/>
      <c r="E25" s="459"/>
      <c r="F25" s="459"/>
      <c r="G25" s="459"/>
      <c r="H25" s="459"/>
      <c r="I25" s="459"/>
      <c r="J25" s="91"/>
    </row>
    <row r="26" spans="2:22">
      <c r="B26" s="341"/>
      <c r="C26" s="342" t="s">
        <v>1741</v>
      </c>
      <c r="D26" s="342" t="s">
        <v>1783</v>
      </c>
      <c r="E26" s="342" t="s">
        <v>1784</v>
      </c>
      <c r="F26" s="342" t="s">
        <v>1785</v>
      </c>
      <c r="G26" s="342" t="s">
        <v>1786</v>
      </c>
      <c r="H26" s="342" t="s">
        <v>1787</v>
      </c>
      <c r="I26" s="342" t="s">
        <v>1788</v>
      </c>
      <c r="J26" s="91"/>
    </row>
    <row r="27" spans="2:22">
      <c r="B27" s="339" t="s">
        <v>1789</v>
      </c>
      <c r="C27" s="339" t="s">
        <v>1751</v>
      </c>
      <c r="D27" s="339">
        <f>$E$3</f>
        <v>600</v>
      </c>
      <c r="E27" s="339" t="s">
        <v>1769</v>
      </c>
      <c r="F27" s="339">
        <f>$I$9*$F$3</f>
        <v>2.7777777777777778E-4</v>
      </c>
      <c r="G27" s="339">
        <f>D27*F27</f>
        <v>0.16666666666666666</v>
      </c>
      <c r="H27" s="339">
        <v>86400</v>
      </c>
      <c r="I27" s="339">
        <f>G27*H27/1000000</f>
        <v>1.44E-2</v>
      </c>
      <c r="J27" s="91"/>
    </row>
    <row r="28" spans="2:22">
      <c r="B28" s="339" t="s">
        <v>1790</v>
      </c>
      <c r="C28" s="339" t="s">
        <v>1758</v>
      </c>
      <c r="D28" s="339">
        <f>$E$5</f>
        <v>280</v>
      </c>
      <c r="E28" s="343" t="s">
        <v>1775</v>
      </c>
      <c r="F28" s="339">
        <f>$M$15*$F$5</f>
        <v>1</v>
      </c>
      <c r="G28" s="339">
        <f>D28*F28</f>
        <v>280</v>
      </c>
      <c r="H28" s="339">
        <v>86400</v>
      </c>
      <c r="I28" s="339">
        <f>G28*H28/1000000</f>
        <v>24.192</v>
      </c>
      <c r="J28" s="91"/>
    </row>
    <row r="29" spans="2:22">
      <c r="B29" s="339" t="s">
        <v>1760</v>
      </c>
      <c r="C29" s="339" t="s">
        <v>1761</v>
      </c>
      <c r="D29" s="339">
        <f>$E$6</f>
        <v>696</v>
      </c>
      <c r="E29" s="339" t="s">
        <v>1769</v>
      </c>
      <c r="F29" s="339">
        <f>$M$9*$F$6</f>
        <v>2.7412280701754384E-4</v>
      </c>
      <c r="G29" s="339">
        <f>D29*F29</f>
        <v>0.19078947368421051</v>
      </c>
      <c r="H29" s="339">
        <v>86400</v>
      </c>
      <c r="I29" s="339">
        <f>G29*H29/1000000</f>
        <v>1.6484210526315785E-2</v>
      </c>
      <c r="J29" s="91"/>
    </row>
    <row r="30" spans="2:22" ht="15" customHeight="1">
      <c r="B30" s="339" t="s">
        <v>1763</v>
      </c>
      <c r="C30" s="339" t="s">
        <v>1764</v>
      </c>
      <c r="D30" s="339">
        <f>$E$7</f>
        <v>1728</v>
      </c>
      <c r="E30" s="339" t="s">
        <v>1791</v>
      </c>
      <c r="F30" s="339">
        <v>0</v>
      </c>
      <c r="G30" s="339">
        <f>D30*F30</f>
        <v>0</v>
      </c>
      <c r="H30" s="339">
        <v>0</v>
      </c>
      <c r="I30" s="339">
        <f>G30*H30/1000000</f>
        <v>0</v>
      </c>
      <c r="J30" s="460" t="s">
        <v>1792</v>
      </c>
      <c r="K30" s="460"/>
      <c r="L30" s="460"/>
      <c r="M30" s="460"/>
      <c r="N30" s="460"/>
    </row>
    <row r="31" spans="2:22">
      <c r="B31" s="339" t="s">
        <v>1766</v>
      </c>
      <c r="C31" s="339" t="s">
        <v>1767</v>
      </c>
      <c r="D31" s="339">
        <f>$E$8</f>
        <v>1632</v>
      </c>
      <c r="E31" s="339" t="s">
        <v>1791</v>
      </c>
      <c r="F31" s="339">
        <v>0</v>
      </c>
      <c r="G31" s="339">
        <f>D31*F31</f>
        <v>0</v>
      </c>
      <c r="H31" s="339">
        <v>0</v>
      </c>
      <c r="I31" s="339">
        <f>G31*H31/1000000</f>
        <v>0</v>
      </c>
      <c r="J31" s="460"/>
      <c r="K31" s="460"/>
      <c r="L31" s="460"/>
      <c r="M31" s="460"/>
      <c r="N31" s="460"/>
    </row>
    <row r="32" spans="2:22" ht="15.75">
      <c r="B32" s="461"/>
      <c r="C32" s="461"/>
      <c r="D32" s="461"/>
      <c r="E32" s="461"/>
      <c r="F32" s="461"/>
      <c r="G32" s="461"/>
      <c r="H32" s="343" t="s">
        <v>1793</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59" t="s">
        <v>1794</v>
      </c>
      <c r="C38" s="459"/>
      <c r="D38" s="459"/>
      <c r="E38" s="459"/>
      <c r="F38" s="459"/>
      <c r="G38" s="459"/>
      <c r="H38" s="459"/>
      <c r="I38" s="459"/>
      <c r="J38" s="346"/>
      <c r="K38" s="345"/>
      <c r="L38" s="345"/>
      <c r="M38" s="345"/>
      <c r="N38" s="345"/>
      <c r="P38" t="s">
        <v>204</v>
      </c>
    </row>
    <row r="39" spans="2:16" ht="15.75">
      <c r="B39" s="341"/>
      <c r="C39" s="342" t="s">
        <v>1741</v>
      </c>
      <c r="D39" s="342" t="s">
        <v>1783</v>
      </c>
      <c r="E39" s="342" t="s">
        <v>1784</v>
      </c>
      <c r="F39" s="342" t="s">
        <v>1785</v>
      </c>
      <c r="G39" s="342" t="s">
        <v>1786</v>
      </c>
      <c r="H39" s="342" t="s">
        <v>1787</v>
      </c>
      <c r="I39" s="342" t="s">
        <v>1788</v>
      </c>
      <c r="J39" s="346"/>
      <c r="K39" s="345"/>
      <c r="L39" s="345"/>
      <c r="M39" s="345"/>
      <c r="N39" s="345"/>
    </row>
    <row r="40" spans="2:16" ht="15.75">
      <c r="B40" s="339" t="s">
        <v>1789</v>
      </c>
      <c r="C40" s="339" t="s">
        <v>1751</v>
      </c>
      <c r="D40" s="339">
        <f>$E$3</f>
        <v>600</v>
      </c>
      <c r="E40" s="339" t="s">
        <v>1769</v>
      </c>
      <c r="F40" s="339">
        <f>$I$9*$F$3</f>
        <v>2.7777777777777778E-4</v>
      </c>
      <c r="G40" s="339">
        <f>D40*F40</f>
        <v>0.16666666666666666</v>
      </c>
      <c r="H40" s="339">
        <v>86400</v>
      </c>
      <c r="I40" s="339">
        <f>G40*H40/1000000</f>
        <v>1.44E-2</v>
      </c>
      <c r="J40" s="345"/>
      <c r="K40" s="345"/>
      <c r="L40" s="345"/>
      <c r="M40" s="345"/>
      <c r="N40" s="345"/>
    </row>
    <row r="41" spans="2:16" ht="15.75">
      <c r="B41" s="339" t="s">
        <v>1790</v>
      </c>
      <c r="C41" s="339" t="s">
        <v>1758</v>
      </c>
      <c r="D41" s="339">
        <f>$E$5</f>
        <v>280</v>
      </c>
      <c r="E41" s="343" t="s">
        <v>1775</v>
      </c>
      <c r="F41" s="339">
        <f>$M$15*$F$5</f>
        <v>1</v>
      </c>
      <c r="G41" s="339">
        <f>D41*F41</f>
        <v>280</v>
      </c>
      <c r="H41" s="339">
        <v>86400</v>
      </c>
      <c r="I41" s="339">
        <f>G41*H41/1000000</f>
        <v>24.192</v>
      </c>
      <c r="J41" s="345"/>
      <c r="K41" s="345"/>
      <c r="L41" s="345"/>
      <c r="M41" s="345"/>
      <c r="N41" s="345"/>
    </row>
    <row r="42" spans="2:16" ht="15.75">
      <c r="B42" s="339" t="s">
        <v>1760</v>
      </c>
      <c r="C42" s="339" t="s">
        <v>1761</v>
      </c>
      <c r="D42" s="339">
        <f>$E$6</f>
        <v>696</v>
      </c>
      <c r="E42" s="339" t="s">
        <v>1769</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1763</v>
      </c>
      <c r="C43" s="339" t="s">
        <v>1764</v>
      </c>
      <c r="D43" s="339">
        <f>$E$7</f>
        <v>1728</v>
      </c>
      <c r="E43" s="339" t="s">
        <v>1756</v>
      </c>
      <c r="F43" s="339">
        <f>$M$4*$F$7</f>
        <v>1.1574074074074073E-5</v>
      </c>
      <c r="G43" s="339">
        <f>D43*F43</f>
        <v>0.02</v>
      </c>
      <c r="H43" s="339">
        <v>86400</v>
      </c>
      <c r="I43" s="339">
        <f>G43*H43/1000000</f>
        <v>1.7279999999999999E-3</v>
      </c>
      <c r="J43" s="462" t="s">
        <v>1795</v>
      </c>
      <c r="K43" s="462"/>
      <c r="L43" s="462"/>
      <c r="M43" s="462"/>
      <c r="N43" s="462"/>
      <c r="O43" s="276"/>
    </row>
    <row r="44" spans="2:16">
      <c r="B44" s="339" t="s">
        <v>1766</v>
      </c>
      <c r="C44" s="339" t="s">
        <v>1767</v>
      </c>
      <c r="D44" s="339">
        <f>$E$8</f>
        <v>1632</v>
      </c>
      <c r="E44" s="339" t="s">
        <v>1756</v>
      </c>
      <c r="F44" s="339">
        <f>$M$4*$F$8</f>
        <v>7.2916666666666659E-4</v>
      </c>
      <c r="G44" s="339">
        <f>D44*F44</f>
        <v>1.19</v>
      </c>
      <c r="H44" s="339">
        <v>86400</v>
      </c>
      <c r="I44" s="339">
        <f>G44*H44/1000000</f>
        <v>0.102816</v>
      </c>
      <c r="J44" s="462"/>
      <c r="K44" s="462"/>
      <c r="L44" s="462"/>
      <c r="M44" s="462"/>
      <c r="N44" s="462"/>
      <c r="O44" s="276"/>
    </row>
    <row r="45" spans="2:16">
      <c r="B45" s="461"/>
      <c r="C45" s="461"/>
      <c r="D45" s="461"/>
      <c r="E45" s="461"/>
      <c r="F45" s="461"/>
      <c r="G45" s="461"/>
      <c r="H45" s="343" t="s">
        <v>1793</v>
      </c>
      <c r="I45" s="343">
        <f>SUM(I40:I44)</f>
        <v>24.327428210526314</v>
      </c>
      <c r="J45" s="91">
        <f>I45*1000000/86400</f>
        <v>281.56745614035083</v>
      </c>
      <c r="K45">
        <f>J45/8</f>
        <v>35.195932017543853</v>
      </c>
    </row>
    <row r="46" spans="2:16">
      <c r="B46" s="3"/>
      <c r="C46" s="3"/>
      <c r="D46" s="3"/>
      <c r="E46" s="3"/>
      <c r="F46" s="3"/>
      <c r="G46" s="3"/>
      <c r="H46" s="91"/>
      <c r="I46" s="91"/>
      <c r="J46" s="3" t="s">
        <v>6</v>
      </c>
      <c r="K46" s="3" t="s">
        <v>4120</v>
      </c>
    </row>
    <row r="47" spans="2:16" ht="18.75">
      <c r="B47" s="459" t="s">
        <v>1796</v>
      </c>
      <c r="C47" s="459"/>
      <c r="D47" s="459"/>
      <c r="E47" s="459"/>
      <c r="F47" s="459"/>
      <c r="G47" s="459"/>
      <c r="H47" s="459"/>
      <c r="I47" s="459"/>
      <c r="J47" s="347"/>
    </row>
    <row r="48" spans="2:16">
      <c r="B48" s="341"/>
      <c r="C48" s="342" t="s">
        <v>1741</v>
      </c>
      <c r="D48" s="342" t="s">
        <v>1783</v>
      </c>
      <c r="E48" s="342" t="s">
        <v>1784</v>
      </c>
      <c r="F48" s="342" t="s">
        <v>1785</v>
      </c>
      <c r="G48" s="342" t="s">
        <v>1786</v>
      </c>
      <c r="H48" s="342" t="s">
        <v>1787</v>
      </c>
      <c r="I48" s="342" t="s">
        <v>1788</v>
      </c>
      <c r="J48" s="145"/>
    </row>
    <row r="49" spans="2:11">
      <c r="B49" s="339" t="s">
        <v>1789</v>
      </c>
      <c r="C49" s="339" t="s">
        <v>1751</v>
      </c>
      <c r="D49" s="339">
        <f>$E$3</f>
        <v>600</v>
      </c>
      <c r="E49" s="339" t="s">
        <v>1769</v>
      </c>
      <c r="F49" s="339">
        <f>$I$9*$F$3</f>
        <v>2.7777777777777778E-4</v>
      </c>
      <c r="G49" s="339">
        <f>D49*F49</f>
        <v>0.16666666666666666</v>
      </c>
      <c r="H49" s="339">
        <v>86400</v>
      </c>
      <c r="I49" s="339">
        <f>G49*H49/1000000</f>
        <v>1.44E-2</v>
      </c>
    </row>
    <row r="50" spans="2:11">
      <c r="B50" s="339" t="s">
        <v>1790</v>
      </c>
      <c r="C50" s="339" t="s">
        <v>1758</v>
      </c>
      <c r="D50" s="339">
        <f>$E$5</f>
        <v>280</v>
      </c>
      <c r="E50" s="343" t="s">
        <v>1774</v>
      </c>
      <c r="F50" s="339">
        <f>$M$14*$F$5</f>
        <v>0.5</v>
      </c>
      <c r="G50" s="339">
        <f>D50*F50</f>
        <v>140</v>
      </c>
      <c r="H50" s="339">
        <v>86400</v>
      </c>
      <c r="I50" s="339">
        <f>G50*H50/1000000</f>
        <v>12.096</v>
      </c>
    </row>
    <row r="51" spans="2:11">
      <c r="B51" s="339" t="s">
        <v>1760</v>
      </c>
      <c r="C51" s="339" t="s">
        <v>1761</v>
      </c>
      <c r="D51" s="339">
        <f>$E$6</f>
        <v>696</v>
      </c>
      <c r="E51" s="339" t="s">
        <v>1769</v>
      </c>
      <c r="F51" s="339">
        <f>$M$9*$F$6</f>
        <v>2.7412280701754384E-4</v>
      </c>
      <c r="G51" s="339">
        <f>D51*F51</f>
        <v>0.19078947368421051</v>
      </c>
      <c r="H51" s="339">
        <v>86400</v>
      </c>
      <c r="I51" s="339">
        <f>G51*H51/1000000</f>
        <v>1.6484210526315785E-2</v>
      </c>
    </row>
    <row r="52" spans="2:11">
      <c r="B52" s="339" t="s">
        <v>1763</v>
      </c>
      <c r="C52" s="339" t="s">
        <v>1764</v>
      </c>
      <c r="D52" s="339">
        <f>$E$7</f>
        <v>1728</v>
      </c>
      <c r="E52" s="339" t="s">
        <v>1756</v>
      </c>
      <c r="F52" s="339">
        <f>$M$4*$F$7</f>
        <v>1.1574074074074073E-5</v>
      </c>
      <c r="G52" s="339">
        <f>D52*F52</f>
        <v>0.02</v>
      </c>
      <c r="H52" s="339">
        <v>86400</v>
      </c>
      <c r="I52" s="339">
        <f>G52*H52/1000000</f>
        <v>1.7279999999999999E-3</v>
      </c>
    </row>
    <row r="53" spans="2:11">
      <c r="B53" s="339" t="s">
        <v>1766</v>
      </c>
      <c r="C53" s="339" t="s">
        <v>1767</v>
      </c>
      <c r="D53" s="339">
        <f>$E$8</f>
        <v>1632</v>
      </c>
      <c r="E53" s="339" t="s">
        <v>1756</v>
      </c>
      <c r="F53" s="339">
        <f>$M$4*$F$8</f>
        <v>7.2916666666666659E-4</v>
      </c>
      <c r="G53" s="339">
        <f>D53*F53</f>
        <v>1.19</v>
      </c>
      <c r="H53" s="339">
        <v>86400</v>
      </c>
      <c r="I53" s="339">
        <f>G53*H53/1000000</f>
        <v>0.102816</v>
      </c>
    </row>
    <row r="54" spans="2:11">
      <c r="B54" s="461"/>
      <c r="C54" s="461"/>
      <c r="D54" s="461"/>
      <c r="E54" s="461"/>
      <c r="F54" s="461"/>
      <c r="G54" s="461"/>
      <c r="H54" s="343" t="s">
        <v>1793</v>
      </c>
      <c r="I54" s="343">
        <f>SUM(I49:I53)</f>
        <v>12.231428210526317</v>
      </c>
      <c r="J54" s="91">
        <f>I54*1000000/86400</f>
        <v>141.56745614035088</v>
      </c>
      <c r="K54">
        <f>J54/8</f>
        <v>17.695932017543861</v>
      </c>
    </row>
    <row r="55" spans="2:11">
      <c r="I55" s="91"/>
      <c r="J55" s="3" t="s">
        <v>6</v>
      </c>
      <c r="K55" s="3" t="s">
        <v>4120</v>
      </c>
    </row>
    <row r="56" spans="2:11" ht="18.75">
      <c r="B56" s="459" t="s">
        <v>1797</v>
      </c>
      <c r="C56" s="459"/>
      <c r="D56" s="459"/>
      <c r="E56" s="459"/>
      <c r="F56" s="459"/>
      <c r="G56" s="459"/>
      <c r="H56" s="459"/>
      <c r="I56" s="459"/>
      <c r="J56" s="347"/>
    </row>
    <row r="57" spans="2:11">
      <c r="B57" s="341"/>
      <c r="C57" s="342" t="s">
        <v>1741</v>
      </c>
      <c r="D57" s="342" t="s">
        <v>1783</v>
      </c>
      <c r="E57" s="342" t="s">
        <v>1784</v>
      </c>
      <c r="F57" s="342" t="s">
        <v>1785</v>
      </c>
      <c r="G57" s="342" t="s">
        <v>1786</v>
      </c>
      <c r="H57" s="342" t="s">
        <v>1787</v>
      </c>
      <c r="I57" s="342" t="s">
        <v>1788</v>
      </c>
      <c r="J57" s="145"/>
    </row>
    <row r="58" spans="2:11">
      <c r="B58" s="339" t="s">
        <v>1789</v>
      </c>
      <c r="C58" s="339" t="s">
        <v>1751</v>
      </c>
      <c r="D58" s="339">
        <f>$E$3</f>
        <v>600</v>
      </c>
      <c r="E58" s="339" t="s">
        <v>1769</v>
      </c>
      <c r="F58" s="339">
        <f>$I$9*$F$3</f>
        <v>2.7777777777777778E-4</v>
      </c>
      <c r="G58" s="339">
        <f>D58*F58</f>
        <v>0.16666666666666666</v>
      </c>
      <c r="H58" s="339">
        <v>86400</v>
      </c>
      <c r="I58" s="339">
        <f>G58*H58/1000000</f>
        <v>1.44E-2</v>
      </c>
    </row>
    <row r="59" spans="2:11">
      <c r="B59" s="339" t="s">
        <v>1790</v>
      </c>
      <c r="C59" s="339" t="s">
        <v>1758</v>
      </c>
      <c r="D59" s="339">
        <f>$E$5</f>
        <v>280</v>
      </c>
      <c r="E59" s="343" t="s">
        <v>1773</v>
      </c>
      <c r="F59" s="339">
        <f>$M$13*$F$5</f>
        <v>0.2</v>
      </c>
      <c r="G59" s="339">
        <f>D59*F59</f>
        <v>56</v>
      </c>
      <c r="H59" s="339">
        <v>86400</v>
      </c>
      <c r="I59" s="339">
        <f>G59*H59/1000000</f>
        <v>4.8384</v>
      </c>
    </row>
    <row r="60" spans="2:11">
      <c r="B60" s="339" t="s">
        <v>1760</v>
      </c>
      <c r="C60" s="339" t="s">
        <v>1761</v>
      </c>
      <c r="D60" s="339">
        <f>$E$6</f>
        <v>696</v>
      </c>
      <c r="E60" s="339" t="s">
        <v>1769</v>
      </c>
      <c r="F60" s="339">
        <f>$M$9*$F$6</f>
        <v>2.7412280701754384E-4</v>
      </c>
      <c r="G60" s="339">
        <f>D60*F60</f>
        <v>0.19078947368421051</v>
      </c>
      <c r="H60" s="339">
        <v>86400</v>
      </c>
      <c r="I60" s="339">
        <f>G60*H60/1000000</f>
        <v>1.6484210526315785E-2</v>
      </c>
    </row>
    <row r="61" spans="2:11">
      <c r="B61" s="339" t="s">
        <v>1763</v>
      </c>
      <c r="C61" s="339" t="s">
        <v>1764</v>
      </c>
      <c r="D61" s="339">
        <f>$E$7</f>
        <v>1728</v>
      </c>
      <c r="E61" s="339" t="s">
        <v>1756</v>
      </c>
      <c r="F61" s="339">
        <f>$M$4*$F$7</f>
        <v>1.1574074074074073E-5</v>
      </c>
      <c r="G61" s="339">
        <f>D61*F61</f>
        <v>0.02</v>
      </c>
      <c r="H61" s="339">
        <v>86400</v>
      </c>
      <c r="I61" s="339">
        <f>G61*H61/1000000</f>
        <v>1.7279999999999999E-3</v>
      </c>
    </row>
    <row r="62" spans="2:11">
      <c r="B62" s="339" t="s">
        <v>1766</v>
      </c>
      <c r="C62" s="339" t="s">
        <v>1767</v>
      </c>
      <c r="D62" s="339">
        <f>$E$8</f>
        <v>1632</v>
      </c>
      <c r="E62" s="339" t="s">
        <v>1756</v>
      </c>
      <c r="F62" s="339">
        <f>$M$4*$F$8</f>
        <v>7.2916666666666659E-4</v>
      </c>
      <c r="G62" s="339">
        <f>D62*F62</f>
        <v>1.19</v>
      </c>
      <c r="H62" s="339">
        <v>86400</v>
      </c>
      <c r="I62" s="339">
        <f>G62*H62/1000000</f>
        <v>0.102816</v>
      </c>
    </row>
    <row r="63" spans="2:11">
      <c r="B63" s="461"/>
      <c r="C63" s="461"/>
      <c r="D63" s="461"/>
      <c r="E63" s="461"/>
      <c r="F63" s="461"/>
      <c r="G63" s="461"/>
      <c r="H63" s="343" t="s">
        <v>1793</v>
      </c>
      <c r="I63" s="343">
        <f>SUM(I58:I62)</f>
        <v>4.9738282105263156</v>
      </c>
      <c r="J63" s="91">
        <f>I63*1000000/86400</f>
        <v>57.56745614035087</v>
      </c>
      <c r="K63">
        <f>J63/8</f>
        <v>7.1959320175438588</v>
      </c>
    </row>
    <row r="64" spans="2:11">
      <c r="I64" s="91"/>
      <c r="J64" s="3" t="s">
        <v>6</v>
      </c>
      <c r="K64" s="3" t="s">
        <v>4120</v>
      </c>
    </row>
    <row r="65" spans="2:11" ht="18.75">
      <c r="B65" s="459" t="s">
        <v>1798</v>
      </c>
      <c r="C65" s="459"/>
      <c r="D65" s="459"/>
      <c r="E65" s="459"/>
      <c r="F65" s="459"/>
      <c r="G65" s="459"/>
      <c r="H65" s="459"/>
      <c r="I65" s="459"/>
      <c r="J65" s="347"/>
    </row>
    <row r="66" spans="2:11">
      <c r="B66" s="341"/>
      <c r="C66" s="342" t="s">
        <v>1741</v>
      </c>
      <c r="D66" s="342" t="s">
        <v>1783</v>
      </c>
      <c r="E66" s="342" t="s">
        <v>1784</v>
      </c>
      <c r="F66" s="342" t="s">
        <v>1785</v>
      </c>
      <c r="G66" s="342" t="s">
        <v>1786</v>
      </c>
      <c r="H66" s="342" t="s">
        <v>1787</v>
      </c>
      <c r="I66" s="342" t="s">
        <v>1788</v>
      </c>
      <c r="J66" s="145"/>
    </row>
    <row r="67" spans="2:11">
      <c r="B67" s="339" t="s">
        <v>1789</v>
      </c>
      <c r="C67" s="339" t="s">
        <v>1751</v>
      </c>
      <c r="D67" s="339">
        <f>$E$3</f>
        <v>600</v>
      </c>
      <c r="E67" s="339" t="s">
        <v>1769</v>
      </c>
      <c r="F67" s="339">
        <f>$I$9*$F$3</f>
        <v>2.7777777777777778E-4</v>
      </c>
      <c r="G67" s="339">
        <f>D67*F67</f>
        <v>0.16666666666666666</v>
      </c>
      <c r="H67" s="339">
        <v>86400</v>
      </c>
      <c r="I67" s="339">
        <f>G67*H67/1000000</f>
        <v>1.44E-2</v>
      </c>
    </row>
    <row r="68" spans="2:11">
      <c r="B68" s="339" t="s">
        <v>1790</v>
      </c>
      <c r="C68" s="339" t="s">
        <v>1758</v>
      </c>
      <c r="D68" s="339">
        <f>$E$5</f>
        <v>280</v>
      </c>
      <c r="E68" s="343" t="s">
        <v>1772</v>
      </c>
      <c r="F68" s="339">
        <f>$M$12*$F$5</f>
        <v>0.1</v>
      </c>
      <c r="G68" s="339">
        <f>D68*F68</f>
        <v>28</v>
      </c>
      <c r="H68" s="339">
        <v>86400</v>
      </c>
      <c r="I68" s="339">
        <f>G68*H68/1000000</f>
        <v>2.4192</v>
      </c>
    </row>
    <row r="69" spans="2:11">
      <c r="B69" s="339" t="s">
        <v>1760</v>
      </c>
      <c r="C69" s="339" t="s">
        <v>1761</v>
      </c>
      <c r="D69" s="339">
        <f>$E$6</f>
        <v>696</v>
      </c>
      <c r="E69" s="339" t="s">
        <v>1769</v>
      </c>
      <c r="F69" s="339">
        <f>$M$9*$F$6</f>
        <v>2.7412280701754384E-4</v>
      </c>
      <c r="G69" s="339">
        <f>D69*F69</f>
        <v>0.19078947368421051</v>
      </c>
      <c r="H69" s="339">
        <v>86400</v>
      </c>
      <c r="I69" s="339">
        <f>G69*H69/1000000</f>
        <v>1.6484210526315785E-2</v>
      </c>
    </row>
    <row r="70" spans="2:11">
      <c r="B70" s="339" t="s">
        <v>1763</v>
      </c>
      <c r="C70" s="339" t="s">
        <v>1764</v>
      </c>
      <c r="D70" s="339">
        <f>$E$7</f>
        <v>1728</v>
      </c>
      <c r="E70" s="339" t="s">
        <v>1756</v>
      </c>
      <c r="F70" s="339">
        <f>$M$4*$F$7</f>
        <v>1.1574074074074073E-5</v>
      </c>
      <c r="G70" s="339">
        <f>D70*F70</f>
        <v>0.02</v>
      </c>
      <c r="H70" s="339">
        <v>86400</v>
      </c>
      <c r="I70" s="339">
        <f>G70*H70/1000000</f>
        <v>1.7279999999999999E-3</v>
      </c>
    </row>
    <row r="71" spans="2:11">
      <c r="B71" s="339" t="s">
        <v>1766</v>
      </c>
      <c r="C71" s="339" t="s">
        <v>1767</v>
      </c>
      <c r="D71" s="339">
        <f>$E$8</f>
        <v>1632</v>
      </c>
      <c r="E71" s="339" t="s">
        <v>1756</v>
      </c>
      <c r="F71" s="339">
        <f>$M$4*$F$8</f>
        <v>7.2916666666666659E-4</v>
      </c>
      <c r="G71" s="339">
        <f>D71*F71</f>
        <v>1.19</v>
      </c>
      <c r="H71" s="339">
        <v>86400</v>
      </c>
      <c r="I71" s="339">
        <f>G71*H71/1000000</f>
        <v>0.102816</v>
      </c>
      <c r="K71" t="s">
        <v>4121</v>
      </c>
    </row>
    <row r="72" spans="2:11">
      <c r="B72" s="461"/>
      <c r="C72" s="461"/>
      <c r="D72" s="461"/>
      <c r="E72" s="461"/>
      <c r="F72" s="461"/>
      <c r="G72" s="461"/>
      <c r="H72" s="343" t="s">
        <v>1793</v>
      </c>
      <c r="I72" s="343">
        <f>SUM(I67:I71)</f>
        <v>2.5546282105263156</v>
      </c>
      <c r="J72" s="91">
        <f>I72*1000000/86400</f>
        <v>29.567456140350874</v>
      </c>
      <c r="K72" s="397">
        <f>J72/8</f>
        <v>3.6959320175438592</v>
      </c>
    </row>
    <row r="73" spans="2:11">
      <c r="J73" s="3" t="s">
        <v>6</v>
      </c>
      <c r="K73" s="3" t="s">
        <v>4120</v>
      </c>
    </row>
    <row r="74" spans="2:11" ht="18.75">
      <c r="B74" s="459" t="s">
        <v>1799</v>
      </c>
      <c r="C74" s="459"/>
      <c r="D74" s="459"/>
      <c r="E74" s="459"/>
      <c r="F74" s="459"/>
      <c r="G74" s="459"/>
      <c r="H74" s="459"/>
      <c r="I74" s="459"/>
      <c r="J74" s="347"/>
    </row>
    <row r="75" spans="2:11">
      <c r="B75" s="341"/>
      <c r="C75" s="342" t="s">
        <v>1741</v>
      </c>
      <c r="D75" s="342" t="s">
        <v>1783</v>
      </c>
      <c r="E75" s="342" t="s">
        <v>1784</v>
      </c>
      <c r="F75" s="342" t="s">
        <v>1785</v>
      </c>
      <c r="G75" s="342" t="s">
        <v>1786</v>
      </c>
      <c r="H75" s="342" t="s">
        <v>1787</v>
      </c>
      <c r="I75" s="342" t="s">
        <v>1788</v>
      </c>
      <c r="J75" s="145"/>
    </row>
    <row r="76" spans="2:11">
      <c r="B76" s="339" t="s">
        <v>1789</v>
      </c>
      <c r="C76" s="339" t="s">
        <v>1751</v>
      </c>
      <c r="D76" s="339">
        <f>$E$3</f>
        <v>600</v>
      </c>
      <c r="E76" s="339" t="s">
        <v>1769</v>
      </c>
      <c r="F76" s="339">
        <f>$I$9*$F$3</f>
        <v>2.7777777777777778E-4</v>
      </c>
      <c r="G76" s="339">
        <f>D76*F76</f>
        <v>0.16666666666666666</v>
      </c>
      <c r="H76" s="339">
        <v>86400</v>
      </c>
      <c r="I76" s="339">
        <f>G76*H76/1000000</f>
        <v>1.44E-2</v>
      </c>
    </row>
    <row r="77" spans="2:11">
      <c r="B77" s="339" t="s">
        <v>1790</v>
      </c>
      <c r="C77" s="339" t="s">
        <v>1758</v>
      </c>
      <c r="D77" s="339">
        <f>$E$5</f>
        <v>280</v>
      </c>
      <c r="E77" s="343" t="s">
        <v>1771</v>
      </c>
      <c r="F77" s="339">
        <f>$M$11*$F$5</f>
        <v>0.05</v>
      </c>
      <c r="G77" s="339">
        <f>D77*F77</f>
        <v>14</v>
      </c>
      <c r="H77" s="339">
        <v>86400</v>
      </c>
      <c r="I77" s="339">
        <f>G77*H77/1000000</f>
        <v>1.2096</v>
      </c>
    </row>
    <row r="78" spans="2:11">
      <c r="B78" s="339" t="s">
        <v>1760</v>
      </c>
      <c r="C78" s="339" t="s">
        <v>1761</v>
      </c>
      <c r="D78" s="339">
        <f>$E$6</f>
        <v>696</v>
      </c>
      <c r="E78" s="339" t="s">
        <v>1769</v>
      </c>
      <c r="F78" s="339">
        <f>$M$9*$F$6</f>
        <v>2.7412280701754384E-4</v>
      </c>
      <c r="G78" s="339">
        <f>D78*F78</f>
        <v>0.19078947368421051</v>
      </c>
      <c r="H78" s="339">
        <v>86400</v>
      </c>
      <c r="I78" s="339">
        <f>G78*H78/1000000</f>
        <v>1.6484210526315785E-2</v>
      </c>
    </row>
    <row r="79" spans="2:11">
      <c r="B79" s="339" t="s">
        <v>1763</v>
      </c>
      <c r="C79" s="339" t="s">
        <v>1764</v>
      </c>
      <c r="D79" s="339">
        <f>$E$7</f>
        <v>1728</v>
      </c>
      <c r="E79" s="339" t="s">
        <v>1756</v>
      </c>
      <c r="F79" s="339">
        <f>$M$4*$F$7</f>
        <v>1.1574074074074073E-5</v>
      </c>
      <c r="G79" s="339">
        <f>D79*F79</f>
        <v>0.02</v>
      </c>
      <c r="H79" s="339">
        <v>86400</v>
      </c>
      <c r="I79" s="339">
        <f>G79*H79/1000000</f>
        <v>1.7279999999999999E-3</v>
      </c>
    </row>
    <row r="80" spans="2:11">
      <c r="B80" s="339" t="s">
        <v>1766</v>
      </c>
      <c r="C80" s="339" t="s">
        <v>1767</v>
      </c>
      <c r="D80" s="339">
        <f>$E$8</f>
        <v>1632</v>
      </c>
      <c r="E80" s="339" t="s">
        <v>1756</v>
      </c>
      <c r="F80" s="339">
        <f>$M$4*$F$8</f>
        <v>7.2916666666666659E-4</v>
      </c>
      <c r="G80" s="339">
        <f>D80*F80</f>
        <v>1.19</v>
      </c>
      <c r="H80" s="339">
        <v>86400</v>
      </c>
      <c r="I80" s="339">
        <f>G80*H80/1000000</f>
        <v>0.102816</v>
      </c>
    </row>
    <row r="81" spans="2:11">
      <c r="B81" s="461"/>
      <c r="C81" s="461"/>
      <c r="D81" s="461"/>
      <c r="E81" s="461"/>
      <c r="F81" s="461"/>
      <c r="G81" s="461"/>
      <c r="H81" s="343" t="s">
        <v>1793</v>
      </c>
      <c r="I81" s="343">
        <f>SUM(I76:I80)</f>
        <v>1.3450282105263158</v>
      </c>
      <c r="J81" s="91">
        <f>I81*1000000/86400</f>
        <v>15.567456140350876</v>
      </c>
      <c r="K81">
        <f>J81/8</f>
        <v>1.9459320175438595</v>
      </c>
    </row>
    <row r="82" spans="2:11">
      <c r="I82" s="91"/>
      <c r="J82" s="3" t="s">
        <v>6</v>
      </c>
      <c r="K82" s="3" t="s">
        <v>4120</v>
      </c>
    </row>
    <row r="83" spans="2:11" ht="18.75">
      <c r="B83" s="459" t="s">
        <v>1800</v>
      </c>
      <c r="C83" s="459"/>
      <c r="D83" s="459"/>
      <c r="E83" s="459"/>
      <c r="F83" s="459"/>
      <c r="G83" s="459"/>
      <c r="H83" s="459"/>
      <c r="I83" s="459"/>
      <c r="J83" s="347"/>
    </row>
    <row r="84" spans="2:11">
      <c r="B84" s="341"/>
      <c r="C84" s="342" t="s">
        <v>1741</v>
      </c>
      <c r="D84" s="342" t="s">
        <v>1783</v>
      </c>
      <c r="E84" s="342" t="s">
        <v>1784</v>
      </c>
      <c r="F84" s="342" t="s">
        <v>1785</v>
      </c>
      <c r="G84" s="342" t="s">
        <v>1786</v>
      </c>
      <c r="H84" s="342" t="s">
        <v>1787</v>
      </c>
      <c r="I84" s="342" t="s">
        <v>1788</v>
      </c>
      <c r="J84" s="145"/>
    </row>
    <row r="85" spans="2:11">
      <c r="B85" s="339" t="s">
        <v>1789</v>
      </c>
      <c r="C85" s="339" t="s">
        <v>1751</v>
      </c>
      <c r="D85" s="339">
        <f>$E$3</f>
        <v>600</v>
      </c>
      <c r="E85" s="339" t="s">
        <v>1769</v>
      </c>
      <c r="F85" s="339">
        <f>$I$9*$F$3</f>
        <v>2.7777777777777778E-4</v>
      </c>
      <c r="G85" s="339">
        <f>D85*F85</f>
        <v>0.16666666666666666</v>
      </c>
      <c r="H85" s="339">
        <v>86400</v>
      </c>
      <c r="I85" s="339">
        <f>G85*H85/1000000</f>
        <v>1.44E-2</v>
      </c>
    </row>
    <row r="86" spans="2:11">
      <c r="B86" s="339" t="s">
        <v>1790</v>
      </c>
      <c r="C86" s="339" t="s">
        <v>1758</v>
      </c>
      <c r="D86" s="339">
        <f>$E$5</f>
        <v>280</v>
      </c>
      <c r="E86" s="343" t="s">
        <v>1770</v>
      </c>
      <c r="F86" s="339">
        <f>$M$10*$F$5</f>
        <v>3.4482758620689655E-2</v>
      </c>
      <c r="G86" s="339">
        <f>D86*F86</f>
        <v>9.6551724137931032</v>
      </c>
      <c r="H86" s="339">
        <v>86400</v>
      </c>
      <c r="I86" s="339">
        <f>G86*H86/1000000</f>
        <v>0.8342068965517242</v>
      </c>
    </row>
    <row r="87" spans="2:11">
      <c r="B87" s="339" t="s">
        <v>1760</v>
      </c>
      <c r="C87" s="339" t="s">
        <v>1761</v>
      </c>
      <c r="D87" s="339">
        <f>$E$6</f>
        <v>696</v>
      </c>
      <c r="E87" s="339" t="s">
        <v>1769</v>
      </c>
      <c r="F87" s="339">
        <f>$M$9*$F$6</f>
        <v>2.7412280701754384E-4</v>
      </c>
      <c r="G87" s="339">
        <f>D87*F87</f>
        <v>0.19078947368421051</v>
      </c>
      <c r="H87" s="339">
        <v>86400</v>
      </c>
      <c r="I87" s="339">
        <f>G87*H87/1000000</f>
        <v>1.6484210526315785E-2</v>
      </c>
    </row>
    <row r="88" spans="2:11">
      <c r="B88" s="339" t="s">
        <v>1763</v>
      </c>
      <c r="C88" s="339" t="s">
        <v>1764</v>
      </c>
      <c r="D88" s="339">
        <f>$E$7</f>
        <v>1728</v>
      </c>
      <c r="E88" s="339" t="s">
        <v>1756</v>
      </c>
      <c r="F88" s="339">
        <f>$M$4*$F$7</f>
        <v>1.1574074074074073E-5</v>
      </c>
      <c r="G88" s="339">
        <f>D88*F88</f>
        <v>0.02</v>
      </c>
      <c r="H88" s="339">
        <v>86400</v>
      </c>
      <c r="I88" s="339">
        <f>G88*H88/1000000</f>
        <v>1.7279999999999999E-3</v>
      </c>
    </row>
    <row r="89" spans="2:11">
      <c r="B89" s="339" t="s">
        <v>1766</v>
      </c>
      <c r="C89" s="339" t="s">
        <v>1767</v>
      </c>
      <c r="D89" s="339">
        <f>$E$8</f>
        <v>1632</v>
      </c>
      <c r="E89" s="339" t="s">
        <v>1756</v>
      </c>
      <c r="F89" s="339">
        <f>$M$4*$F$8</f>
        <v>7.2916666666666659E-4</v>
      </c>
      <c r="G89" s="339">
        <f>D89*F89</f>
        <v>1.19</v>
      </c>
      <c r="H89" s="339">
        <v>86400</v>
      </c>
      <c r="I89" s="339">
        <f>G89*H89/1000000</f>
        <v>0.102816</v>
      </c>
    </row>
    <row r="90" spans="2:11">
      <c r="B90" s="339"/>
      <c r="C90" s="339"/>
      <c r="D90" s="339"/>
      <c r="E90" s="339"/>
      <c r="F90" s="339"/>
      <c r="G90" s="339"/>
      <c r="H90" s="343" t="s">
        <v>1793</v>
      </c>
      <c r="I90" s="343">
        <f>SUM(I85:I89)</f>
        <v>0.9696351070780399</v>
      </c>
      <c r="J90" s="91">
        <f>I90*1000000/86400</f>
        <v>11.222628554143981</v>
      </c>
      <c r="K90">
        <f>J90/8</f>
        <v>1.4028285692679976</v>
      </c>
    </row>
    <row r="91" spans="2:11" ht="15" customHeight="1">
      <c r="J91" s="3" t="s">
        <v>6</v>
      </c>
      <c r="K91" s="3" t="s">
        <v>4120</v>
      </c>
    </row>
    <row r="92" spans="2:11" ht="18.75">
      <c r="B92" s="459" t="s">
        <v>1801</v>
      </c>
      <c r="C92" s="459"/>
      <c r="D92" s="459"/>
      <c r="E92" s="459"/>
      <c r="F92" s="459"/>
      <c r="G92" s="459"/>
      <c r="H92" s="459"/>
      <c r="I92" s="459"/>
      <c r="J92" s="347"/>
    </row>
    <row r="93" spans="2:11">
      <c r="B93" s="341"/>
      <c r="C93" s="342" t="s">
        <v>1741</v>
      </c>
      <c r="D93" s="342" t="s">
        <v>1783</v>
      </c>
      <c r="E93" s="342" t="s">
        <v>1784</v>
      </c>
      <c r="F93" s="342" t="s">
        <v>1785</v>
      </c>
      <c r="G93" s="342" t="s">
        <v>1786</v>
      </c>
      <c r="H93" s="342" t="s">
        <v>1787</v>
      </c>
      <c r="I93" s="342" t="s">
        <v>1788</v>
      </c>
      <c r="J93" s="145"/>
    </row>
    <row r="94" spans="2:11">
      <c r="B94" s="339" t="s">
        <v>1789</v>
      </c>
      <c r="C94" s="339" t="s">
        <v>1751</v>
      </c>
      <c r="D94" s="339">
        <f>$E$3</f>
        <v>600</v>
      </c>
      <c r="E94" s="339" t="s">
        <v>1769</v>
      </c>
      <c r="F94" s="339">
        <f>$I$9*$F$3</f>
        <v>2.7777777777777778E-4</v>
      </c>
      <c r="G94" s="339">
        <f>D94*F94</f>
        <v>0.16666666666666666</v>
      </c>
      <c r="H94" s="339">
        <v>86400</v>
      </c>
      <c r="I94" s="339">
        <f>G94*H94/1000000</f>
        <v>1.44E-2</v>
      </c>
    </row>
    <row r="95" spans="2:11">
      <c r="B95" s="339" t="s">
        <v>1790</v>
      </c>
      <c r="C95" s="339" t="s">
        <v>1758</v>
      </c>
      <c r="D95" s="339">
        <f>$E$5</f>
        <v>280</v>
      </c>
      <c r="E95" s="348" t="s">
        <v>1769</v>
      </c>
      <c r="F95" s="339">
        <f>$M$9*$F$5</f>
        <v>1.7543859649122806E-2</v>
      </c>
      <c r="G95" s="339">
        <f>D95*F95</f>
        <v>4.9122807017543852</v>
      </c>
      <c r="H95" s="339">
        <v>86400</v>
      </c>
      <c r="I95" s="339">
        <f>G95*H95/1000000</f>
        <v>0.42442105263157887</v>
      </c>
    </row>
    <row r="96" spans="2:11">
      <c r="B96" s="339" t="s">
        <v>1760</v>
      </c>
      <c r="C96" s="339" t="s">
        <v>1761</v>
      </c>
      <c r="D96" s="339">
        <f>$E$6</f>
        <v>696</v>
      </c>
      <c r="E96" s="339" t="s">
        <v>1769</v>
      </c>
      <c r="F96" s="339">
        <f>$M$9*$F$6</f>
        <v>2.7412280701754384E-4</v>
      </c>
      <c r="G96" s="339">
        <f>D96*F96</f>
        <v>0.19078947368421051</v>
      </c>
      <c r="H96" s="339">
        <v>86400</v>
      </c>
      <c r="I96" s="339">
        <f>G96*H96/1000000</f>
        <v>1.6484210526315785E-2</v>
      </c>
    </row>
    <row r="97" spans="2:11">
      <c r="B97" s="339" t="s">
        <v>1763</v>
      </c>
      <c r="C97" s="339" t="s">
        <v>1764</v>
      </c>
      <c r="D97" s="339">
        <f>$E$7</f>
        <v>1728</v>
      </c>
      <c r="E97" s="339" t="s">
        <v>1756</v>
      </c>
      <c r="F97" s="339">
        <f>$M$4*$F$7</f>
        <v>1.1574074074074073E-5</v>
      </c>
      <c r="G97" s="339">
        <f>D97*F97</f>
        <v>0.02</v>
      </c>
      <c r="H97" s="339">
        <v>86400</v>
      </c>
      <c r="I97" s="339">
        <f>G97*H97/1000000</f>
        <v>1.7279999999999999E-3</v>
      </c>
    </row>
    <row r="98" spans="2:11">
      <c r="B98" s="339" t="s">
        <v>1766</v>
      </c>
      <c r="C98" s="339" t="s">
        <v>1767</v>
      </c>
      <c r="D98" s="339">
        <f>$E$8</f>
        <v>1632</v>
      </c>
      <c r="E98" s="339" t="s">
        <v>1756</v>
      </c>
      <c r="F98" s="339">
        <f>$M$4*$F$8</f>
        <v>7.2916666666666659E-4</v>
      </c>
      <c r="G98" s="339">
        <f>D98*F98</f>
        <v>1.19</v>
      </c>
      <c r="H98" s="339">
        <v>86400</v>
      </c>
      <c r="I98" s="339">
        <f>G98*H98/1000000</f>
        <v>0.102816</v>
      </c>
    </row>
    <row r="99" spans="2:11">
      <c r="B99" s="461"/>
      <c r="C99" s="461"/>
      <c r="D99" s="461"/>
      <c r="E99" s="461"/>
      <c r="F99" s="461"/>
      <c r="G99" s="461"/>
      <c r="H99" s="343" t="s">
        <v>1793</v>
      </c>
      <c r="I99" s="343">
        <f>SUM(I94:I98)</f>
        <v>0.55984926315789463</v>
      </c>
      <c r="J99" s="91">
        <f>I99*1000000/86400</f>
        <v>6.4797368421052619</v>
      </c>
      <c r="K99">
        <f>J99/8</f>
        <v>0.80996710526315774</v>
      </c>
    </row>
    <row r="100" spans="2:11" ht="15" customHeight="1">
      <c r="J100" s="3" t="s">
        <v>6</v>
      </c>
      <c r="K100" s="3" t="s">
        <v>4120</v>
      </c>
    </row>
    <row r="101" spans="2:11" ht="18.75">
      <c r="B101" s="459" t="s">
        <v>1802</v>
      </c>
      <c r="C101" s="459"/>
      <c r="D101" s="459"/>
      <c r="E101" s="459"/>
      <c r="F101" s="459"/>
      <c r="G101" s="459"/>
      <c r="H101" s="459"/>
      <c r="I101" s="459"/>
      <c r="J101" s="347"/>
    </row>
    <row r="102" spans="2:11">
      <c r="B102" s="341"/>
      <c r="C102" s="342" t="s">
        <v>1741</v>
      </c>
      <c r="D102" s="342" t="s">
        <v>1783</v>
      </c>
      <c r="E102" s="342" t="s">
        <v>1784</v>
      </c>
      <c r="F102" s="342" t="s">
        <v>1785</v>
      </c>
      <c r="G102" s="342" t="s">
        <v>1786</v>
      </c>
      <c r="H102" s="342" t="s">
        <v>1787</v>
      </c>
      <c r="I102" s="342" t="s">
        <v>1788</v>
      </c>
      <c r="J102" s="145"/>
    </row>
    <row r="103" spans="2:11">
      <c r="B103" s="339" t="s">
        <v>1789</v>
      </c>
      <c r="C103" s="339" t="s">
        <v>1751</v>
      </c>
      <c r="D103" s="339">
        <f>$E$3</f>
        <v>600</v>
      </c>
      <c r="E103" s="339" t="s">
        <v>1769</v>
      </c>
      <c r="F103" s="339">
        <f>$I$9*$F$3</f>
        <v>2.7777777777777778E-4</v>
      </c>
      <c r="G103" s="339">
        <f>D103*F103</f>
        <v>0.16666666666666666</v>
      </c>
      <c r="H103" s="339">
        <v>86400</v>
      </c>
      <c r="I103" s="339">
        <f>G103*H103/1000000</f>
        <v>1.44E-2</v>
      </c>
    </row>
    <row r="104" spans="2:11">
      <c r="B104" s="339" t="s">
        <v>1790</v>
      </c>
      <c r="C104" s="339" t="s">
        <v>1758</v>
      </c>
      <c r="D104" s="339">
        <f>$E$5</f>
        <v>280</v>
      </c>
      <c r="E104" s="348" t="s">
        <v>1768</v>
      </c>
      <c r="F104" s="339">
        <f>$M$8*$F$5</f>
        <v>8.8495575221238937E-3</v>
      </c>
      <c r="G104" s="339">
        <f>D104*F104</f>
        <v>2.4778761061946901</v>
      </c>
      <c r="H104" s="339">
        <v>86400</v>
      </c>
      <c r="I104" s="339">
        <f>G104*H104/1000000</f>
        <v>0.21408849557522122</v>
      </c>
    </row>
    <row r="105" spans="2:11">
      <c r="B105" s="339" t="s">
        <v>1760</v>
      </c>
      <c r="C105" s="339" t="s">
        <v>1761</v>
      </c>
      <c r="D105" s="339">
        <f>$E$6</f>
        <v>696</v>
      </c>
      <c r="E105" s="339" t="s">
        <v>1769</v>
      </c>
      <c r="F105" s="339">
        <f>$M$9*$F$6</f>
        <v>2.7412280701754384E-4</v>
      </c>
      <c r="G105" s="339">
        <f>D105*F105</f>
        <v>0.19078947368421051</v>
      </c>
      <c r="H105" s="339">
        <v>86400</v>
      </c>
      <c r="I105" s="339">
        <f>G105*H105/1000000</f>
        <v>1.6484210526315785E-2</v>
      </c>
    </row>
    <row r="106" spans="2:11">
      <c r="B106" s="339" t="s">
        <v>1763</v>
      </c>
      <c r="C106" s="339" t="s">
        <v>1764</v>
      </c>
      <c r="D106" s="339">
        <f>$E$7</f>
        <v>1728</v>
      </c>
      <c r="E106" s="339" t="s">
        <v>1756</v>
      </c>
      <c r="F106" s="339">
        <f>$M$4*$F$7</f>
        <v>1.1574074074074073E-5</v>
      </c>
      <c r="G106" s="339">
        <f>D106*F106</f>
        <v>0.02</v>
      </c>
      <c r="H106" s="339">
        <v>86400</v>
      </c>
      <c r="I106" s="339">
        <f>G106*H106/1000000</f>
        <v>1.7279999999999999E-3</v>
      </c>
    </row>
    <row r="107" spans="2:11">
      <c r="B107" s="339" t="s">
        <v>1766</v>
      </c>
      <c r="C107" s="339" t="s">
        <v>1767</v>
      </c>
      <c r="D107" s="339">
        <f>$E$8</f>
        <v>1632</v>
      </c>
      <c r="E107" s="339" t="s">
        <v>1756</v>
      </c>
      <c r="F107" s="339">
        <f>$M$4*$F$8</f>
        <v>7.2916666666666659E-4</v>
      </c>
      <c r="G107" s="339">
        <f>D107*F107</f>
        <v>1.19</v>
      </c>
      <c r="H107" s="339">
        <v>86400</v>
      </c>
      <c r="I107" s="339">
        <f>G107*H107/1000000</f>
        <v>0.102816</v>
      </c>
      <c r="K107" t="s">
        <v>4129</v>
      </c>
    </row>
    <row r="108" spans="2:11">
      <c r="B108" s="461"/>
      <c r="C108" s="461"/>
      <c r="D108" s="461"/>
      <c r="E108" s="461"/>
      <c r="F108" s="461"/>
      <c r="G108" s="461"/>
      <c r="H108" s="343" t="s">
        <v>1793</v>
      </c>
      <c r="I108" s="343">
        <f>SUM(I103:I107)</f>
        <v>0.34951670610153701</v>
      </c>
      <c r="J108" s="91">
        <f>I108*1000000/86400</f>
        <v>4.0453322465455672</v>
      </c>
      <c r="K108" s="397">
        <f>J108/8</f>
        <v>0.5056665308181959</v>
      </c>
    </row>
    <row r="109" spans="2:11" ht="15" customHeight="1">
      <c r="J109" s="3" t="s">
        <v>6</v>
      </c>
      <c r="K109" s="3" t="s">
        <v>4120</v>
      </c>
    </row>
    <row r="110" spans="2:11" ht="18.75">
      <c r="B110" s="459" t="s">
        <v>1803</v>
      </c>
      <c r="C110" s="459"/>
      <c r="D110" s="459"/>
      <c r="E110" s="459"/>
      <c r="F110" s="459"/>
      <c r="G110" s="459"/>
      <c r="H110" s="459"/>
      <c r="I110" s="459"/>
      <c r="J110" s="347"/>
    </row>
    <row r="111" spans="2:11">
      <c r="B111" s="341"/>
      <c r="C111" s="342" t="s">
        <v>1741</v>
      </c>
      <c r="D111" s="342" t="s">
        <v>1783</v>
      </c>
      <c r="E111" s="342" t="s">
        <v>1784</v>
      </c>
      <c r="F111" s="342" t="s">
        <v>1785</v>
      </c>
      <c r="G111" s="342" t="s">
        <v>1786</v>
      </c>
      <c r="H111" s="342" t="s">
        <v>1787</v>
      </c>
      <c r="I111" s="342" t="s">
        <v>1788</v>
      </c>
      <c r="J111" s="145"/>
    </row>
    <row r="112" spans="2:11">
      <c r="B112" s="339" t="s">
        <v>1789</v>
      </c>
      <c r="C112" s="339" t="s">
        <v>1751</v>
      </c>
      <c r="D112" s="339">
        <f>$E$3</f>
        <v>600</v>
      </c>
      <c r="E112" s="339" t="s">
        <v>1769</v>
      </c>
      <c r="F112" s="339">
        <f>$I$9*$F$3</f>
        <v>2.7777777777777778E-4</v>
      </c>
      <c r="G112" s="339">
        <f>D112*F112</f>
        <v>0.16666666666666666</v>
      </c>
      <c r="H112" s="339">
        <v>86400</v>
      </c>
      <c r="I112" s="339">
        <f>G112*H112/1000000</f>
        <v>1.44E-2</v>
      </c>
    </row>
    <row r="113" spans="2:11">
      <c r="B113" s="339" t="s">
        <v>1790</v>
      </c>
      <c r="C113" s="339" t="s">
        <v>1758</v>
      </c>
      <c r="D113" s="339">
        <f>$E$5</f>
        <v>280</v>
      </c>
      <c r="E113" s="348" t="s">
        <v>1765</v>
      </c>
      <c r="F113" s="339">
        <f>$M$7*$F$5</f>
        <v>5.9171597633136093E-3</v>
      </c>
      <c r="G113" s="339">
        <f>D113*F113</f>
        <v>1.6568047337278107</v>
      </c>
      <c r="H113" s="339">
        <v>86400</v>
      </c>
      <c r="I113" s="339">
        <f>G113*H113/1000000</f>
        <v>0.14314792899408285</v>
      </c>
    </row>
    <row r="114" spans="2:11">
      <c r="B114" s="339" t="s">
        <v>1760</v>
      </c>
      <c r="C114" s="339" t="s">
        <v>1761</v>
      </c>
      <c r="D114" s="339">
        <f>$E$6</f>
        <v>696</v>
      </c>
      <c r="E114" s="339" t="s">
        <v>1769</v>
      </c>
      <c r="F114" s="339">
        <f>$M$9*$F$6</f>
        <v>2.7412280701754384E-4</v>
      </c>
      <c r="G114" s="339">
        <f>D114*F114</f>
        <v>0.19078947368421051</v>
      </c>
      <c r="H114" s="339">
        <v>86400</v>
      </c>
      <c r="I114" s="339">
        <f>G114*H114/1000000</f>
        <v>1.6484210526315785E-2</v>
      </c>
    </row>
    <row r="115" spans="2:11">
      <c r="B115" s="339" t="s">
        <v>1763</v>
      </c>
      <c r="C115" s="339" t="s">
        <v>1764</v>
      </c>
      <c r="D115" s="339">
        <f>$E$7</f>
        <v>1728</v>
      </c>
      <c r="E115" s="339" t="s">
        <v>1756</v>
      </c>
      <c r="F115" s="339">
        <f>$M$4*$F$7</f>
        <v>1.1574074074074073E-5</v>
      </c>
      <c r="G115" s="339">
        <f>D115*F115</f>
        <v>0.02</v>
      </c>
      <c r="H115" s="339">
        <v>86400</v>
      </c>
      <c r="I115" s="339">
        <f>G115*H115/1000000</f>
        <v>1.7279999999999999E-3</v>
      </c>
    </row>
    <row r="116" spans="2:11">
      <c r="B116" s="339" t="s">
        <v>1766</v>
      </c>
      <c r="C116" s="339" t="s">
        <v>1767</v>
      </c>
      <c r="D116" s="339">
        <f>$E$8</f>
        <v>1632</v>
      </c>
      <c r="E116" s="339" t="s">
        <v>1756</v>
      </c>
      <c r="F116" s="339">
        <f>$M$4*$F$8</f>
        <v>7.2916666666666659E-4</v>
      </c>
      <c r="G116" s="339">
        <f>D116*F116</f>
        <v>1.19</v>
      </c>
      <c r="H116" s="339">
        <v>86400</v>
      </c>
      <c r="I116" s="339">
        <f>G116*H116/1000000</f>
        <v>0.102816</v>
      </c>
    </row>
    <row r="117" spans="2:11">
      <c r="B117" s="461"/>
      <c r="C117" s="461"/>
      <c r="D117" s="461"/>
      <c r="E117" s="461"/>
      <c r="F117" s="461"/>
      <c r="G117" s="461"/>
      <c r="H117" s="343" t="s">
        <v>1793</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4120</v>
      </c>
    </row>
    <row r="119" spans="2:11" ht="18.75">
      <c r="B119" s="459" t="s">
        <v>1804</v>
      </c>
      <c r="C119" s="459"/>
      <c r="D119" s="459"/>
      <c r="E119" s="459"/>
      <c r="F119" s="459"/>
      <c r="G119" s="459"/>
      <c r="H119" s="459"/>
      <c r="I119" s="459"/>
      <c r="J119" s="347"/>
    </row>
    <row r="120" spans="2:11">
      <c r="B120" s="341"/>
      <c r="C120" s="342" t="s">
        <v>1741</v>
      </c>
      <c r="D120" s="342" t="s">
        <v>1783</v>
      </c>
      <c r="E120" s="342" t="s">
        <v>1784</v>
      </c>
      <c r="F120" s="342" t="s">
        <v>1785</v>
      </c>
      <c r="G120" s="342" t="s">
        <v>1786</v>
      </c>
      <c r="H120" s="342" t="s">
        <v>1787</v>
      </c>
      <c r="I120" s="342" t="s">
        <v>1788</v>
      </c>
      <c r="J120" s="145"/>
    </row>
    <row r="121" spans="2:11">
      <c r="B121" s="339" t="s">
        <v>1789</v>
      </c>
      <c r="C121" s="339" t="s">
        <v>1751</v>
      </c>
      <c r="D121" s="339">
        <f>$E$3</f>
        <v>600</v>
      </c>
      <c r="E121" s="339" t="s">
        <v>1769</v>
      </c>
      <c r="F121" s="339">
        <f>$I$9*$F$3</f>
        <v>2.7777777777777778E-4</v>
      </c>
      <c r="G121" s="339">
        <f>D121*F121</f>
        <v>0.16666666666666666</v>
      </c>
      <c r="H121" s="339">
        <v>86400</v>
      </c>
      <c r="I121" s="339">
        <f>G121*H121/1000000</f>
        <v>1.44E-2</v>
      </c>
    </row>
    <row r="122" spans="2:11">
      <c r="B122" s="339" t="s">
        <v>1790</v>
      </c>
      <c r="C122" s="339" t="s">
        <v>1758</v>
      </c>
      <c r="D122" s="339">
        <f>$E$5</f>
        <v>280</v>
      </c>
      <c r="E122" s="348" t="s">
        <v>1762</v>
      </c>
      <c r="F122" s="339">
        <f>$M$6*$F$5</f>
        <v>2.9585798816568047E-3</v>
      </c>
      <c r="G122" s="339">
        <f>D122*F122</f>
        <v>0.82840236686390534</v>
      </c>
      <c r="H122" s="339">
        <v>86400</v>
      </c>
      <c r="I122" s="339">
        <f>G122*H122/1000000</f>
        <v>7.1573964497041426E-2</v>
      </c>
    </row>
    <row r="123" spans="2:11">
      <c r="B123" s="339" t="s">
        <v>1760</v>
      </c>
      <c r="C123" s="339" t="s">
        <v>1761</v>
      </c>
      <c r="D123" s="339">
        <f>$E$6</f>
        <v>696</v>
      </c>
      <c r="E123" s="339" t="s">
        <v>1769</v>
      </c>
      <c r="F123" s="339">
        <f>$M$9*$F$6</f>
        <v>2.7412280701754384E-4</v>
      </c>
      <c r="G123" s="339">
        <f>D123*F123</f>
        <v>0.19078947368421051</v>
      </c>
      <c r="H123" s="339">
        <v>86400</v>
      </c>
      <c r="I123" s="339">
        <f>G123*H123/1000000</f>
        <v>1.6484210526315785E-2</v>
      </c>
    </row>
    <row r="124" spans="2:11">
      <c r="B124" s="339" t="s">
        <v>1763</v>
      </c>
      <c r="C124" s="339" t="s">
        <v>1764</v>
      </c>
      <c r="D124" s="339">
        <f>$E$7</f>
        <v>1728</v>
      </c>
      <c r="E124" s="339" t="s">
        <v>1756</v>
      </c>
      <c r="F124" s="339">
        <f>$M$4*$F$7</f>
        <v>1.1574074074074073E-5</v>
      </c>
      <c r="G124" s="339">
        <f>D124*F124</f>
        <v>0.02</v>
      </c>
      <c r="H124" s="339">
        <v>86400</v>
      </c>
      <c r="I124" s="339">
        <f>G124*H124/1000000</f>
        <v>1.7279999999999999E-3</v>
      </c>
    </row>
    <row r="125" spans="2:11">
      <c r="B125" s="339" t="s">
        <v>1766</v>
      </c>
      <c r="C125" s="339" t="s">
        <v>1767</v>
      </c>
      <c r="D125" s="339">
        <f>$E$8</f>
        <v>1632</v>
      </c>
      <c r="E125" s="339" t="s">
        <v>1756</v>
      </c>
      <c r="F125" s="339">
        <f>$M$4*$F$8</f>
        <v>7.2916666666666659E-4</v>
      </c>
      <c r="G125" s="339">
        <f>D125*F125</f>
        <v>1.19</v>
      </c>
      <c r="H125" s="339">
        <v>86400</v>
      </c>
      <c r="I125" s="339">
        <f>G125*H125/1000000</f>
        <v>0.102816</v>
      </c>
    </row>
    <row r="126" spans="2:11">
      <c r="B126" s="461"/>
      <c r="C126" s="461"/>
      <c r="D126" s="461"/>
      <c r="E126" s="461"/>
      <c r="F126" s="461"/>
      <c r="G126" s="461"/>
      <c r="H126" s="343" t="s">
        <v>1793</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4120</v>
      </c>
    </row>
    <row r="128" spans="2:11" ht="18.75">
      <c r="B128" s="459" t="s">
        <v>1805</v>
      </c>
      <c r="C128" s="459"/>
      <c r="D128" s="459"/>
      <c r="E128" s="459"/>
      <c r="F128" s="459"/>
      <c r="G128" s="459"/>
      <c r="H128" s="459"/>
      <c r="I128" s="459"/>
      <c r="J128" s="347"/>
    </row>
    <row r="129" spans="2:11">
      <c r="B129" s="341"/>
      <c r="C129" s="342" t="s">
        <v>1741</v>
      </c>
      <c r="D129" s="342" t="s">
        <v>1783</v>
      </c>
      <c r="E129" s="342" t="s">
        <v>1784</v>
      </c>
      <c r="F129" s="342" t="s">
        <v>1785</v>
      </c>
      <c r="G129" s="342" t="s">
        <v>1786</v>
      </c>
      <c r="H129" s="342" t="s">
        <v>1787</v>
      </c>
      <c r="I129" s="342" t="s">
        <v>1788</v>
      </c>
      <c r="J129" s="145"/>
    </row>
    <row r="130" spans="2:11">
      <c r="B130" s="339" t="s">
        <v>1789</v>
      </c>
      <c r="C130" s="339" t="s">
        <v>1751</v>
      </c>
      <c r="D130" s="339">
        <f>$E$3</f>
        <v>600</v>
      </c>
      <c r="E130" s="339" t="s">
        <v>1769</v>
      </c>
      <c r="F130" s="339">
        <f>$I$9*$F$3</f>
        <v>2.7777777777777778E-4</v>
      </c>
      <c r="G130" s="339">
        <f>D130*F130</f>
        <v>0.16666666666666666</v>
      </c>
      <c r="H130" s="339">
        <v>86400</v>
      </c>
      <c r="I130" s="339">
        <f>G130*H130/1000000</f>
        <v>1.44E-2</v>
      </c>
    </row>
    <row r="131" spans="2:11">
      <c r="B131" s="339" t="s">
        <v>1790</v>
      </c>
      <c r="C131" s="339" t="s">
        <v>1758</v>
      </c>
      <c r="D131" s="339">
        <f>$E$5</f>
        <v>280</v>
      </c>
      <c r="E131" s="348" t="s">
        <v>1759</v>
      </c>
      <c r="F131" s="339">
        <f>$M$5*$F$5</f>
        <v>1.4814814814814814E-3</v>
      </c>
      <c r="G131" s="339">
        <f>D131*F131</f>
        <v>0.4148148148148148</v>
      </c>
      <c r="H131" s="339">
        <v>86400</v>
      </c>
      <c r="I131" s="339">
        <f>G131*H131/1000000</f>
        <v>3.5839999999999997E-2</v>
      </c>
    </row>
    <row r="132" spans="2:11">
      <c r="B132" s="339" t="s">
        <v>1760</v>
      </c>
      <c r="C132" s="339" t="s">
        <v>1761</v>
      </c>
      <c r="D132" s="339">
        <f>$E$6</f>
        <v>696</v>
      </c>
      <c r="E132" s="339" t="s">
        <v>1769</v>
      </c>
      <c r="F132" s="339">
        <f>$M$9*$F$6</f>
        <v>2.7412280701754384E-4</v>
      </c>
      <c r="G132" s="339">
        <f>D132*F132</f>
        <v>0.19078947368421051</v>
      </c>
      <c r="H132" s="339">
        <v>86400</v>
      </c>
      <c r="I132" s="339">
        <f>G132*H132/1000000</f>
        <v>1.6484210526315785E-2</v>
      </c>
    </row>
    <row r="133" spans="2:11">
      <c r="B133" s="339" t="s">
        <v>1763</v>
      </c>
      <c r="C133" s="339" t="s">
        <v>1764</v>
      </c>
      <c r="D133" s="339">
        <f>$E$7</f>
        <v>1728</v>
      </c>
      <c r="E133" s="339" t="s">
        <v>1756</v>
      </c>
      <c r="F133" s="339">
        <f>$M$4*$F$7</f>
        <v>1.1574074074074073E-5</v>
      </c>
      <c r="G133" s="339">
        <f>D133*F133</f>
        <v>0.02</v>
      </c>
      <c r="H133" s="339">
        <v>86400</v>
      </c>
      <c r="I133" s="339">
        <f>G133*H133/1000000</f>
        <v>1.7279999999999999E-3</v>
      </c>
    </row>
    <row r="134" spans="2:11">
      <c r="B134" s="339" t="s">
        <v>1766</v>
      </c>
      <c r="C134" s="339" t="s">
        <v>1767</v>
      </c>
      <c r="D134" s="339">
        <f>$E$8</f>
        <v>1632</v>
      </c>
      <c r="E134" s="339" t="s">
        <v>1756</v>
      </c>
      <c r="F134" s="339">
        <f>$M$4*$F$8</f>
        <v>7.2916666666666659E-4</v>
      </c>
      <c r="G134" s="339">
        <f>D134*F134</f>
        <v>1.19</v>
      </c>
      <c r="H134" s="339">
        <v>86400</v>
      </c>
      <c r="I134" s="339">
        <f>G134*H134/1000000</f>
        <v>0.102816</v>
      </c>
    </row>
    <row r="135" spans="2:11">
      <c r="B135" s="461"/>
      <c r="C135" s="461"/>
      <c r="D135" s="461"/>
      <c r="E135" s="461"/>
      <c r="F135" s="461"/>
      <c r="G135" s="461"/>
      <c r="H135" s="343" t="s">
        <v>1793</v>
      </c>
      <c r="I135" s="343">
        <f>SUM(I130:I134)</f>
        <v>0.17126821052631577</v>
      </c>
      <c r="J135" s="91">
        <f>I135*1000000/86400</f>
        <v>1.9822709551656921</v>
      </c>
      <c r="K135">
        <f>J135/8</f>
        <v>0.24778386939571151</v>
      </c>
    </row>
    <row r="136" spans="2:11" ht="15" customHeight="1">
      <c r="J136" s="3" t="s">
        <v>6</v>
      </c>
      <c r="K136" s="3" t="s">
        <v>4120</v>
      </c>
    </row>
    <row r="137" spans="2:11" ht="18.75">
      <c r="B137" s="459" t="s">
        <v>1806</v>
      </c>
      <c r="C137" s="459"/>
      <c r="D137" s="459"/>
      <c r="E137" s="459"/>
      <c r="F137" s="459"/>
      <c r="G137" s="459"/>
      <c r="H137" s="459"/>
      <c r="I137" s="459"/>
      <c r="J137" s="347"/>
    </row>
    <row r="138" spans="2:11">
      <c r="B138" s="341"/>
      <c r="C138" s="342" t="s">
        <v>1741</v>
      </c>
      <c r="D138" s="342" t="s">
        <v>1783</v>
      </c>
      <c r="E138" s="342" t="s">
        <v>1784</v>
      </c>
      <c r="F138" s="342" t="s">
        <v>1785</v>
      </c>
      <c r="G138" s="342" t="s">
        <v>1786</v>
      </c>
      <c r="H138" s="342" t="s">
        <v>1787</v>
      </c>
      <c r="I138" s="342" t="s">
        <v>1788</v>
      </c>
      <c r="J138" s="145"/>
    </row>
    <row r="139" spans="2:11">
      <c r="B139" s="339" t="s">
        <v>1789</v>
      </c>
      <c r="C139" s="339" t="s">
        <v>1751</v>
      </c>
      <c r="D139" s="339">
        <f>$E$3</f>
        <v>600</v>
      </c>
      <c r="E139" s="339" t="s">
        <v>1769</v>
      </c>
      <c r="F139" s="339">
        <f>$I$9*$F$3</f>
        <v>2.7777777777777778E-4</v>
      </c>
      <c r="G139" s="339">
        <f>D139*F139</f>
        <v>0.16666666666666666</v>
      </c>
      <c r="H139" s="339">
        <v>86400</v>
      </c>
      <c r="I139" s="339">
        <f>G139*H139/1000000</f>
        <v>1.44E-2</v>
      </c>
    </row>
    <row r="140" spans="2:11">
      <c r="B140" s="339" t="s">
        <v>1790</v>
      </c>
      <c r="C140" s="339" t="s">
        <v>1758</v>
      </c>
      <c r="D140" s="339">
        <f>$E$5</f>
        <v>280</v>
      </c>
      <c r="E140" s="348" t="s">
        <v>1756</v>
      </c>
      <c r="F140" s="339">
        <f>$M$4*$F$5</f>
        <v>7.407407407407407E-4</v>
      </c>
      <c r="G140" s="339">
        <f>D140*F140</f>
        <v>0.2074074074074074</v>
      </c>
      <c r="H140" s="339">
        <v>86400</v>
      </c>
      <c r="I140" s="339">
        <f>G140*H140/1000000</f>
        <v>1.7919999999999998E-2</v>
      </c>
    </row>
    <row r="141" spans="2:11">
      <c r="B141" s="339" t="s">
        <v>1760</v>
      </c>
      <c r="C141" s="339" t="s">
        <v>1761</v>
      </c>
      <c r="D141" s="339">
        <f>$E$6</f>
        <v>696</v>
      </c>
      <c r="E141" s="339" t="s">
        <v>1769</v>
      </c>
      <c r="F141" s="339">
        <f>$M$9*$F$6</f>
        <v>2.7412280701754384E-4</v>
      </c>
      <c r="G141" s="339">
        <f>D141*F141</f>
        <v>0.19078947368421051</v>
      </c>
      <c r="H141" s="339">
        <v>86400</v>
      </c>
      <c r="I141" s="339">
        <f>G141*H141/1000000</f>
        <v>1.6484210526315785E-2</v>
      </c>
    </row>
    <row r="142" spans="2:11">
      <c r="B142" s="339" t="s">
        <v>1763</v>
      </c>
      <c r="C142" s="339" t="s">
        <v>1764</v>
      </c>
      <c r="D142" s="339">
        <f>$E$7</f>
        <v>1728</v>
      </c>
      <c r="E142" s="339" t="s">
        <v>1756</v>
      </c>
      <c r="F142" s="339">
        <f>$M$4*$F$7</f>
        <v>1.1574074074074073E-5</v>
      </c>
      <c r="G142" s="339">
        <f>D142*F142</f>
        <v>0.02</v>
      </c>
      <c r="H142" s="339">
        <v>86400</v>
      </c>
      <c r="I142" s="339">
        <f>G142*H142/1000000</f>
        <v>1.7279999999999999E-3</v>
      </c>
    </row>
    <row r="143" spans="2:11">
      <c r="B143" s="339" t="s">
        <v>1766</v>
      </c>
      <c r="C143" s="339" t="s">
        <v>1767</v>
      </c>
      <c r="D143" s="339">
        <f>$E$8</f>
        <v>1632</v>
      </c>
      <c r="E143" s="339" t="s">
        <v>1756</v>
      </c>
      <c r="F143" s="339">
        <f>$M$4*$F$8</f>
        <v>7.2916666666666659E-4</v>
      </c>
      <c r="G143" s="339">
        <f>D143*F143</f>
        <v>1.19</v>
      </c>
      <c r="H143" s="339">
        <v>86400</v>
      </c>
      <c r="I143" s="339">
        <f>G143*H143/1000000</f>
        <v>0.102816</v>
      </c>
    </row>
    <row r="144" spans="2:11">
      <c r="B144" s="463"/>
      <c r="C144" s="463"/>
      <c r="D144" s="463"/>
      <c r="E144" s="463"/>
      <c r="F144" s="463"/>
      <c r="G144" s="463"/>
      <c r="H144" s="343" t="s">
        <v>1793</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4120</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64" t="s">
        <v>1807</v>
      </c>
      <c r="C149" s="464"/>
      <c r="D149" s="464"/>
      <c r="E149" s="464"/>
      <c r="F149" s="464"/>
      <c r="G149" s="464"/>
      <c r="H149" s="464"/>
      <c r="I149" s="464"/>
      <c r="J149" s="465" t="s">
        <v>1808</v>
      </c>
      <c r="K149" s="465"/>
      <c r="L149" s="465"/>
      <c r="M149" s="465"/>
    </row>
    <row r="150" spans="2:13">
      <c r="B150" s="341"/>
      <c r="C150" s="342" t="s">
        <v>1741</v>
      </c>
      <c r="D150" s="342" t="s">
        <v>1783</v>
      </c>
      <c r="E150" s="342" t="s">
        <v>1784</v>
      </c>
      <c r="F150" s="342" t="s">
        <v>1785</v>
      </c>
      <c r="G150" s="342" t="s">
        <v>1786</v>
      </c>
      <c r="H150" s="342" t="s">
        <v>1787</v>
      </c>
      <c r="I150" s="342" t="s">
        <v>1788</v>
      </c>
      <c r="J150" s="145"/>
    </row>
    <row r="151" spans="2:13">
      <c r="B151" s="339" t="s">
        <v>1789</v>
      </c>
      <c r="C151" s="339" t="s">
        <v>1751</v>
      </c>
      <c r="D151" s="339">
        <f>$E$3</f>
        <v>600</v>
      </c>
      <c r="E151" s="339" t="s">
        <v>1781</v>
      </c>
      <c r="F151" s="339">
        <f>$I$21*$F$3</f>
        <v>1</v>
      </c>
      <c r="G151" s="339">
        <f>D151*F151</f>
        <v>600</v>
      </c>
      <c r="H151" s="339">
        <v>7200</v>
      </c>
      <c r="I151" s="339">
        <f>G151*H151/1000000</f>
        <v>4.32</v>
      </c>
    </row>
    <row r="152" spans="2:13">
      <c r="B152" s="339" t="s">
        <v>1790</v>
      </c>
      <c r="C152" s="339" t="s">
        <v>1758</v>
      </c>
      <c r="D152" s="339">
        <f>$E$5</f>
        <v>280</v>
      </c>
      <c r="E152" s="339" t="s">
        <v>1775</v>
      </c>
      <c r="F152" s="339">
        <f>$M$15*$F$5</f>
        <v>1</v>
      </c>
      <c r="G152" s="339">
        <f>D152*F152</f>
        <v>280</v>
      </c>
      <c r="H152" s="339">
        <v>7200</v>
      </c>
      <c r="I152" s="339">
        <f>G152*H152/1000000</f>
        <v>2.016</v>
      </c>
    </row>
    <row r="153" spans="2:13">
      <c r="B153" s="339" t="s">
        <v>1760</v>
      </c>
      <c r="C153" s="339" t="s">
        <v>1761</v>
      </c>
      <c r="D153" s="339">
        <f>$E$6</f>
        <v>696</v>
      </c>
      <c r="E153" s="339" t="s">
        <v>1752</v>
      </c>
      <c r="F153" s="339">
        <f>$M$3*$F$6</f>
        <v>0</v>
      </c>
      <c r="G153" s="339">
        <f>D153*F153</f>
        <v>0</v>
      </c>
      <c r="H153" s="339">
        <v>0</v>
      </c>
      <c r="I153" s="339">
        <f>G153*H153/1000000</f>
        <v>0</v>
      </c>
    </row>
    <row r="154" spans="2:13">
      <c r="B154" s="339" t="s">
        <v>1763</v>
      </c>
      <c r="C154" s="339" t="s">
        <v>1764</v>
      </c>
      <c r="D154" s="339">
        <f>$E$7</f>
        <v>1728</v>
      </c>
      <c r="E154" s="339" t="s">
        <v>1752</v>
      </c>
      <c r="F154" s="339">
        <v>0</v>
      </c>
      <c r="G154" s="339">
        <f>D154*F154</f>
        <v>0</v>
      </c>
      <c r="H154" s="339">
        <v>0</v>
      </c>
      <c r="I154" s="339">
        <f>G154*H154/1000000</f>
        <v>0</v>
      </c>
    </row>
    <row r="155" spans="2:13">
      <c r="B155" s="339" t="s">
        <v>1766</v>
      </c>
      <c r="C155" s="339" t="s">
        <v>1767</v>
      </c>
      <c r="D155" s="339">
        <f>$E$8</f>
        <v>1632</v>
      </c>
      <c r="E155" s="339" t="s">
        <v>1752</v>
      </c>
      <c r="F155" s="339">
        <v>0</v>
      </c>
      <c r="G155" s="339">
        <f>D155*F155</f>
        <v>0</v>
      </c>
      <c r="H155" s="339">
        <v>0</v>
      </c>
      <c r="I155" s="339">
        <f>G155*H155/1000000</f>
        <v>0</v>
      </c>
    </row>
    <row r="156" spans="2:13">
      <c r="B156" s="461"/>
      <c r="C156" s="461"/>
      <c r="D156" s="461"/>
      <c r="E156" s="461"/>
      <c r="F156" s="461"/>
      <c r="G156" s="461"/>
      <c r="H156" s="343" t="s">
        <v>1793</v>
      </c>
      <c r="I156" s="343">
        <f>SUM(I151:I155)+(15000/1000000)</f>
        <v>6.351</v>
      </c>
      <c r="J156" s="91"/>
    </row>
    <row r="162" spans="2:7" ht="72" customHeight="1">
      <c r="B162" s="467" t="s">
        <v>1809</v>
      </c>
      <c r="C162" s="349" t="s">
        <v>1810</v>
      </c>
      <c r="D162" s="350" t="s">
        <v>1811</v>
      </c>
      <c r="E162" s="468" t="s">
        <v>1812</v>
      </c>
      <c r="F162" s="468"/>
      <c r="G162" s="468"/>
    </row>
    <row r="163" spans="2:7" ht="78.75" customHeight="1">
      <c r="B163" s="467"/>
      <c r="C163" s="1" t="s">
        <v>1813</v>
      </c>
      <c r="D163" s="350" t="s">
        <v>1814</v>
      </c>
    </row>
    <row r="164" spans="2:7" ht="18">
      <c r="B164" s="351" t="s">
        <v>1752</v>
      </c>
      <c r="C164" s="352">
        <v>0</v>
      </c>
      <c r="D164" s="353">
        <f t="shared" ref="D164:D176" si="2">C164*365.25/1000</f>
        <v>0</v>
      </c>
    </row>
    <row r="165" spans="2:7" ht="18">
      <c r="B165" s="351" t="s">
        <v>1756</v>
      </c>
      <c r="C165" s="354">
        <f>$I$144</f>
        <v>0.15334821052631578</v>
      </c>
      <c r="D165" s="355">
        <f t="shared" si="2"/>
        <v>5.6010433894736839E-2</v>
      </c>
    </row>
    <row r="166" spans="2:7" ht="18">
      <c r="B166" s="351" t="s">
        <v>1759</v>
      </c>
      <c r="C166" s="354">
        <f>$I$135</f>
        <v>0.17126821052631577</v>
      </c>
      <c r="D166" s="355">
        <f t="shared" si="2"/>
        <v>6.2555713894736839E-2</v>
      </c>
    </row>
    <row r="167" spans="2:7" ht="18">
      <c r="B167" s="351" t="s">
        <v>1762</v>
      </c>
      <c r="C167" s="354">
        <f>$I$126</f>
        <v>0.20700217502335722</v>
      </c>
      <c r="D167" s="355">
        <f t="shared" si="2"/>
        <v>7.5607544427281223E-2</v>
      </c>
    </row>
    <row r="168" spans="2:7" ht="18">
      <c r="B168" s="351" t="s">
        <v>1765</v>
      </c>
      <c r="C168" s="354">
        <f>$I$117</f>
        <v>0.27857613952039867</v>
      </c>
      <c r="D168" s="355">
        <f t="shared" si="2"/>
        <v>0.10174993495982561</v>
      </c>
    </row>
    <row r="169" spans="2:7" ht="18">
      <c r="B169" s="351" t="s">
        <v>1768</v>
      </c>
      <c r="C169" s="354">
        <f>$I$108</f>
        <v>0.34951670610153701</v>
      </c>
      <c r="D169" s="355">
        <f t="shared" si="2"/>
        <v>0.12766097690358638</v>
      </c>
    </row>
    <row r="170" spans="2:7" ht="18">
      <c r="B170" s="351" t="s">
        <v>1769</v>
      </c>
      <c r="C170" s="354">
        <f>$I$99</f>
        <v>0.55984926315789463</v>
      </c>
      <c r="D170" s="355">
        <f t="shared" si="2"/>
        <v>0.20448494336842099</v>
      </c>
    </row>
    <row r="171" spans="2:7" ht="18">
      <c r="B171" s="351" t="s">
        <v>1770</v>
      </c>
      <c r="C171" s="354">
        <f>$I$90</f>
        <v>0.9696351070780399</v>
      </c>
      <c r="D171" s="355">
        <f t="shared" si="2"/>
        <v>0.35415922286025409</v>
      </c>
    </row>
    <row r="172" spans="2:7" ht="18">
      <c r="B172" s="351" t="s">
        <v>1771</v>
      </c>
      <c r="C172" s="354">
        <f>$I$81</f>
        <v>1.3450282105263158</v>
      </c>
      <c r="D172" s="355">
        <f t="shared" si="2"/>
        <v>0.49127155389473687</v>
      </c>
    </row>
    <row r="173" spans="2:7" ht="18">
      <c r="B173" s="351" t="s">
        <v>1772</v>
      </c>
      <c r="C173" s="354">
        <f>$I$72</f>
        <v>2.5546282105263156</v>
      </c>
      <c r="D173" s="355">
        <f t="shared" si="2"/>
        <v>0.9330779538947368</v>
      </c>
    </row>
    <row r="174" spans="2:7" ht="18">
      <c r="B174" s="351" t="s">
        <v>1773</v>
      </c>
      <c r="C174" s="354">
        <f>$I$63</f>
        <v>4.9738282105263156</v>
      </c>
      <c r="D174" s="355">
        <f t="shared" si="2"/>
        <v>1.8166907538947368</v>
      </c>
    </row>
    <row r="175" spans="2:7" ht="18">
      <c r="B175" s="351" t="s">
        <v>1774</v>
      </c>
      <c r="C175" s="354">
        <f>$I$54</f>
        <v>12.231428210526317</v>
      </c>
      <c r="D175" s="355">
        <f t="shared" si="2"/>
        <v>4.4675291538947377</v>
      </c>
    </row>
    <row r="176" spans="2:7" ht="18">
      <c r="B176" s="351" t="s">
        <v>1775</v>
      </c>
      <c r="C176" s="354">
        <f>$I$45</f>
        <v>24.327428210526314</v>
      </c>
      <c r="D176" s="355">
        <f t="shared" si="2"/>
        <v>8.885593153894737</v>
      </c>
    </row>
    <row r="179" spans="2:11" ht="32.25" customHeight="1">
      <c r="B179" s="467" t="s">
        <v>1809</v>
      </c>
      <c r="C179" s="349" t="s">
        <v>1810</v>
      </c>
      <c r="D179" s="350" t="s">
        <v>1811</v>
      </c>
    </row>
    <row r="180" spans="2:11" ht="36">
      <c r="B180" s="467"/>
      <c r="C180" s="1" t="s">
        <v>1815</v>
      </c>
      <c r="D180" s="350" t="s">
        <v>1816</v>
      </c>
    </row>
    <row r="181" spans="2:11" ht="36">
      <c r="B181" s="351" t="s">
        <v>1817</v>
      </c>
      <c r="C181" s="356">
        <f>$I$32</f>
        <v>24.222884210526313</v>
      </c>
      <c r="D181" s="356">
        <f>C181*365.25/1000</f>
        <v>8.847408457894737</v>
      </c>
    </row>
    <row r="189" spans="2:11" ht="21" customHeight="1">
      <c r="B189" s="469" t="s">
        <v>1818</v>
      </c>
      <c r="C189" s="469"/>
      <c r="D189" s="469"/>
      <c r="E189" s="469"/>
      <c r="F189" s="469"/>
      <c r="G189" s="469"/>
      <c r="H189" s="469"/>
      <c r="I189" s="357"/>
      <c r="J189" s="357"/>
      <c r="K189" s="357"/>
    </row>
    <row r="190" spans="2:11" ht="15.75" customHeight="1"/>
    <row r="191" spans="2:11" ht="15.75">
      <c r="B191" s="358"/>
      <c r="C191" s="359" t="s">
        <v>1784</v>
      </c>
      <c r="D191" s="360" t="s">
        <v>1819</v>
      </c>
      <c r="F191" s="358"/>
      <c r="G191" s="359" t="s">
        <v>1784</v>
      </c>
      <c r="H191" s="360" t="s">
        <v>1819</v>
      </c>
    </row>
    <row r="192" spans="2:11" ht="15.75">
      <c r="B192" s="361"/>
      <c r="C192" s="362" t="s">
        <v>1775</v>
      </c>
      <c r="D192" s="363">
        <f>$C$176</f>
        <v>24.327428210526314</v>
      </c>
      <c r="F192" s="361"/>
      <c r="G192" s="362" t="s">
        <v>1775</v>
      </c>
      <c r="H192" s="363">
        <f>$C$176</f>
        <v>24.327428210526314</v>
      </c>
    </row>
    <row r="193" spans="1:8" ht="15.75">
      <c r="B193" s="361"/>
      <c r="C193" s="362" t="s">
        <v>1774</v>
      </c>
      <c r="D193" s="363">
        <f>$C$175</f>
        <v>12.231428210526317</v>
      </c>
      <c r="F193" s="361"/>
      <c r="G193" s="362" t="s">
        <v>1774</v>
      </c>
      <c r="H193" s="363">
        <f>$C$175</f>
        <v>12.231428210526317</v>
      </c>
    </row>
    <row r="194" spans="1:8" ht="15.75">
      <c r="B194" s="361"/>
      <c r="C194" s="362" t="s">
        <v>1773</v>
      </c>
      <c r="D194" s="363">
        <f>$C$174</f>
        <v>4.9738282105263156</v>
      </c>
      <c r="F194" s="361"/>
      <c r="G194" s="362" t="s">
        <v>1773</v>
      </c>
      <c r="H194" s="363">
        <f>$C$174</f>
        <v>4.9738282105263156</v>
      </c>
    </row>
    <row r="195" spans="1:8" ht="15.75">
      <c r="B195" s="361"/>
      <c r="C195" s="362" t="s">
        <v>1772</v>
      </c>
      <c r="D195" s="363">
        <f>$C$173</f>
        <v>2.5546282105263156</v>
      </c>
      <c r="F195" s="361"/>
      <c r="G195" s="362" t="s">
        <v>1772</v>
      </c>
      <c r="H195" s="363">
        <f>$C$173</f>
        <v>2.5546282105263156</v>
      </c>
    </row>
    <row r="196" spans="1:8" ht="15.75">
      <c r="B196" s="361"/>
      <c r="C196" s="362"/>
      <c r="D196" s="363"/>
      <c r="F196" s="361"/>
      <c r="G196" s="362"/>
      <c r="H196" s="364"/>
    </row>
    <row r="197" spans="1:8" ht="15.75">
      <c r="A197" s="365"/>
      <c r="B197" s="466" t="s">
        <v>1820</v>
      </c>
      <c r="C197" s="466"/>
      <c r="D197" s="466"/>
      <c r="F197" s="466" t="s">
        <v>1820</v>
      </c>
      <c r="G197" s="466"/>
      <c r="H197" s="466"/>
    </row>
    <row r="198" spans="1:8" ht="15.75">
      <c r="B198" s="361" t="s">
        <v>1821</v>
      </c>
      <c r="C198" s="362" t="s">
        <v>1574</v>
      </c>
      <c r="D198" s="364" t="s">
        <v>1822</v>
      </c>
      <c r="F198" s="361" t="s">
        <v>1821</v>
      </c>
      <c r="G198" s="362" t="s">
        <v>1574</v>
      </c>
      <c r="H198" s="364" t="s">
        <v>1822</v>
      </c>
    </row>
    <row r="199" spans="1:8" ht="15.75">
      <c r="B199" s="361" t="s">
        <v>1823</v>
      </c>
      <c r="C199" s="362">
        <v>48</v>
      </c>
      <c r="D199" s="366">
        <f>C199*D193</f>
        <v>587.10855410526324</v>
      </c>
      <c r="F199" s="361" t="s">
        <v>1824</v>
      </c>
      <c r="G199" s="362">
        <v>5</v>
      </c>
      <c r="H199" s="366">
        <f>G199*H193</f>
        <v>61.157141052631587</v>
      </c>
    </row>
    <row r="200" spans="1:8" ht="15.75">
      <c r="B200" s="361" t="s">
        <v>1825</v>
      </c>
      <c r="C200" s="362">
        <f>365-C199</f>
        <v>317</v>
      </c>
      <c r="D200" s="366">
        <f>C200*D194</f>
        <v>1576.7035427368421</v>
      </c>
      <c r="F200" s="361" t="s">
        <v>1823</v>
      </c>
      <c r="G200" s="362">
        <v>122</v>
      </c>
      <c r="H200" s="366">
        <f>G200*H193</f>
        <v>1492.2342416842107</v>
      </c>
    </row>
    <row r="201" spans="1:8" ht="15.75">
      <c r="B201" s="361"/>
      <c r="C201" s="362">
        <f>SUM(C199:C200)</f>
        <v>365</v>
      </c>
      <c r="D201" s="367">
        <f>SUM(D199:D200)</f>
        <v>2163.8120968421053</v>
      </c>
      <c r="F201" s="361" t="s">
        <v>1826</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66" t="s">
        <v>1827</v>
      </c>
      <c r="C204" s="466"/>
      <c r="D204" s="466"/>
      <c r="F204" s="466" t="s">
        <v>1827</v>
      </c>
      <c r="G204" s="466"/>
      <c r="H204" s="466"/>
    </row>
    <row r="205" spans="1:8" ht="15.75">
      <c r="B205" s="361" t="s">
        <v>1821</v>
      </c>
      <c r="C205" s="362" t="s">
        <v>1574</v>
      </c>
      <c r="D205" s="364" t="s">
        <v>1822</v>
      </c>
      <c r="F205" s="361" t="s">
        <v>1821</v>
      </c>
      <c r="G205" s="362" t="s">
        <v>1574</v>
      </c>
      <c r="H205" s="364" t="s">
        <v>1822</v>
      </c>
    </row>
    <row r="206" spans="1:8" ht="15.75">
      <c r="B206" s="361" t="s">
        <v>1825</v>
      </c>
      <c r="C206" s="362">
        <v>260</v>
      </c>
      <c r="D206" s="366">
        <f>C206*D194</f>
        <v>1293.1953347368421</v>
      </c>
      <c r="F206" s="361" t="s">
        <v>1823</v>
      </c>
      <c r="G206" s="362">
        <v>40</v>
      </c>
      <c r="H206" s="366">
        <f>G206*H193</f>
        <v>489.2571284210527</v>
      </c>
    </row>
    <row r="207" spans="1:8" ht="15.75">
      <c r="B207" s="361"/>
      <c r="C207" s="362"/>
      <c r="D207" s="366"/>
      <c r="F207" s="361" t="s">
        <v>1825</v>
      </c>
      <c r="G207" s="362">
        <v>100</v>
      </c>
      <c r="H207" s="366">
        <f>G207*H194</f>
        <v>497.38282105263158</v>
      </c>
    </row>
    <row r="208" spans="1:8" ht="15.75">
      <c r="B208" s="361" t="s">
        <v>1826</v>
      </c>
      <c r="C208" s="362">
        <f>365-C206</f>
        <v>105</v>
      </c>
      <c r="D208" s="366">
        <f>C208*D195</f>
        <v>268.23596210526313</v>
      </c>
      <c r="F208" s="361" t="s">
        <v>1826</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1565</v>
      </c>
      <c r="N1" s="323" t="s">
        <v>1566</v>
      </c>
    </row>
    <row r="3" spans="1:20" ht="15">
      <c r="D3" s="3" t="s">
        <v>1567</v>
      </c>
      <c r="E3" s="3" t="s">
        <v>1567</v>
      </c>
      <c r="F3" s="3" t="s">
        <v>1568</v>
      </c>
      <c r="G3" s="3" t="s">
        <v>1569</v>
      </c>
      <c r="H3" s="3" t="s">
        <v>1570</v>
      </c>
      <c r="I3" s="3" t="s">
        <v>1570</v>
      </c>
      <c r="K3" s="145" t="s">
        <v>1571</v>
      </c>
      <c r="L3"/>
      <c r="M3" s="3" t="s">
        <v>1567</v>
      </c>
      <c r="N3" s="3" t="s">
        <v>1567</v>
      </c>
      <c r="O3" s="3" t="s">
        <v>1568</v>
      </c>
      <c r="P3" s="145" t="s">
        <v>1571</v>
      </c>
      <c r="Q3" s="145" t="s">
        <v>1571</v>
      </c>
    </row>
    <row r="4" spans="1:20" ht="15">
      <c r="D4" s="3" t="s">
        <v>1572</v>
      </c>
      <c r="E4" s="3" t="s">
        <v>1573</v>
      </c>
      <c r="F4" s="3" t="s">
        <v>1574</v>
      </c>
      <c r="G4" s="3" t="s">
        <v>1575</v>
      </c>
      <c r="H4" s="3" t="s">
        <v>1576</v>
      </c>
      <c r="I4" s="3" t="s">
        <v>1577</v>
      </c>
      <c r="J4" s="3" t="s">
        <v>21</v>
      </c>
      <c r="K4" s="145" t="s">
        <v>1578</v>
      </c>
      <c r="L4"/>
      <c r="M4" s="3" t="s">
        <v>1572</v>
      </c>
      <c r="N4" s="3" t="s">
        <v>1573</v>
      </c>
      <c r="O4" s="3" t="s">
        <v>1574</v>
      </c>
      <c r="P4" s="3" t="s">
        <v>21</v>
      </c>
      <c r="Q4" s="145" t="s">
        <v>1578</v>
      </c>
    </row>
    <row r="5" spans="1:20" ht="15">
      <c r="B5" s="3">
        <v>25096</v>
      </c>
      <c r="C5" s="324" t="s">
        <v>1579</v>
      </c>
      <c r="D5" s="324" t="s">
        <v>1580</v>
      </c>
      <c r="E5" s="324" t="s">
        <v>932</v>
      </c>
      <c r="F5" s="325">
        <f>107-96</f>
        <v>11</v>
      </c>
      <c r="G5" s="325" t="s">
        <v>1581</v>
      </c>
      <c r="H5" s="324">
        <v>16.32</v>
      </c>
      <c r="I5" s="324">
        <v>0.96960000000000002</v>
      </c>
      <c r="J5" s="324">
        <v>16.32</v>
      </c>
      <c r="K5" s="326">
        <f>H5</f>
        <v>16.32</v>
      </c>
      <c r="L5" s="327" t="s">
        <v>1579</v>
      </c>
      <c r="M5" s="327" t="s">
        <v>873</v>
      </c>
      <c r="N5" s="327" t="s">
        <v>883</v>
      </c>
      <c r="O5" s="327">
        <f>107-96</f>
        <v>11</v>
      </c>
      <c r="P5" s="327">
        <v>36.6</v>
      </c>
      <c r="Q5" s="328">
        <f>P5</f>
        <v>36.6</v>
      </c>
      <c r="R5" s="329" t="s">
        <v>1582</v>
      </c>
      <c r="S5" s="330"/>
      <c r="T5" s="330"/>
    </row>
    <row r="6" spans="1:20" ht="15">
      <c r="B6"/>
      <c r="C6"/>
      <c r="D6"/>
      <c r="E6"/>
      <c r="F6" s="18"/>
      <c r="G6" s="18"/>
      <c r="H6"/>
      <c r="I6"/>
      <c r="J6"/>
      <c r="K6"/>
      <c r="L6" s="327" t="s">
        <v>1583</v>
      </c>
      <c r="M6" s="327" t="s">
        <v>1584</v>
      </c>
      <c r="N6" s="327" t="s">
        <v>1585</v>
      </c>
      <c r="O6" s="327">
        <v>21</v>
      </c>
      <c r="P6" s="327"/>
      <c r="Q6" s="331"/>
      <c r="R6" s="329" t="s">
        <v>1586</v>
      </c>
      <c r="S6" s="330"/>
      <c r="T6" s="330"/>
    </row>
    <row r="7" spans="1:20" ht="15">
      <c r="B7" s="3">
        <v>25118</v>
      </c>
      <c r="C7" s="324" t="s">
        <v>1579</v>
      </c>
      <c r="D7" s="324" t="s">
        <v>1587</v>
      </c>
      <c r="E7" s="324" t="s">
        <v>1588</v>
      </c>
      <c r="F7" s="325">
        <f>126-107</f>
        <v>19</v>
      </c>
      <c r="G7" s="325" t="s">
        <v>1581</v>
      </c>
      <c r="H7" s="324">
        <v>17.600000000000001</v>
      </c>
      <c r="I7" s="324">
        <v>0.96960000000000002</v>
      </c>
      <c r="J7" s="324">
        <v>17.600000000000001</v>
      </c>
      <c r="K7" s="326">
        <f>H7+H5</f>
        <v>33.92</v>
      </c>
      <c r="L7" s="327" t="s">
        <v>1579</v>
      </c>
      <c r="M7" s="327" t="s">
        <v>883</v>
      </c>
      <c r="N7" s="327" t="s">
        <v>964</v>
      </c>
      <c r="O7" s="327">
        <f>116-107</f>
        <v>9</v>
      </c>
      <c r="P7" s="327">
        <v>41</v>
      </c>
      <c r="Q7" s="328">
        <f>P7+Q5</f>
        <v>77.599999999999994</v>
      </c>
      <c r="R7" s="329" t="s">
        <v>1582</v>
      </c>
      <c r="S7" s="330"/>
      <c r="T7" s="330"/>
    </row>
    <row r="8" spans="1:20" ht="13.5" customHeight="1">
      <c r="F8" s="4"/>
      <c r="G8" s="4"/>
      <c r="L8" s="327" t="s">
        <v>1583</v>
      </c>
      <c r="M8" s="327" t="s">
        <v>1585</v>
      </c>
      <c r="N8" s="327" t="s">
        <v>1589</v>
      </c>
      <c r="O8" s="331">
        <v>172</v>
      </c>
      <c r="P8" s="331">
        <f>5227688*8/1000000</f>
        <v>41.821503999999997</v>
      </c>
      <c r="Q8" s="332">
        <f>Q7+P8</f>
        <v>119.421504</v>
      </c>
      <c r="R8" s="329" t="s">
        <v>1586</v>
      </c>
      <c r="S8" s="330"/>
      <c r="T8" s="330"/>
    </row>
    <row r="9" spans="1:20" ht="13.5" customHeight="1">
      <c r="F9" s="4"/>
      <c r="G9" s="4"/>
      <c r="L9" s="327" t="s">
        <v>1590</v>
      </c>
      <c r="M9" s="327"/>
      <c r="N9" s="327"/>
      <c r="O9" s="331"/>
      <c r="P9" s="331"/>
      <c r="Q9" s="332"/>
      <c r="R9" s="329" t="s">
        <v>1591</v>
      </c>
      <c r="S9" s="330"/>
      <c r="T9" s="330"/>
    </row>
    <row r="10" spans="1:20" ht="15">
      <c r="A10" s="91"/>
      <c r="B10" s="3">
        <v>25139</v>
      </c>
      <c r="C10" s="324" t="s">
        <v>762</v>
      </c>
      <c r="D10" s="324" t="s">
        <v>1592</v>
      </c>
      <c r="E10" s="324" t="s">
        <v>1109</v>
      </c>
      <c r="F10" s="325">
        <f>302-276</f>
        <v>26</v>
      </c>
      <c r="G10" s="325" t="s">
        <v>1593</v>
      </c>
      <c r="H10" s="324">
        <v>64.400000000000006</v>
      </c>
      <c r="I10" s="324">
        <v>2.5546000000000002</v>
      </c>
      <c r="J10" s="324">
        <v>64.400000000000006</v>
      </c>
      <c r="K10" s="326">
        <f>K7+H10</f>
        <v>98.320000000000007</v>
      </c>
      <c r="L10" s="327" t="s">
        <v>1579</v>
      </c>
      <c r="M10" s="327" t="s">
        <v>964</v>
      </c>
      <c r="N10" s="327" t="s">
        <v>1062</v>
      </c>
      <c r="O10" s="327">
        <f>135-119</f>
        <v>16</v>
      </c>
      <c r="P10" s="327">
        <v>56.5</v>
      </c>
      <c r="Q10" s="332">
        <f>Q8+P10</f>
        <v>175.921504</v>
      </c>
      <c r="R10" s="329" t="s">
        <v>1594</v>
      </c>
      <c r="S10" s="330"/>
      <c r="T10" s="330"/>
    </row>
    <row r="11" spans="1:20" ht="13.5" customHeight="1">
      <c r="A11"/>
      <c r="B11"/>
      <c r="F11" s="4"/>
      <c r="G11" s="4"/>
      <c r="P11" s="3">
        <f>P10+P7+P5</f>
        <v>134.1</v>
      </c>
    </row>
    <row r="12" spans="1:20" ht="13.5" customHeight="1">
      <c r="A12">
        <v>178</v>
      </c>
      <c r="B12" s="3">
        <v>25159</v>
      </c>
      <c r="C12" s="324" t="s">
        <v>762</v>
      </c>
      <c r="D12" s="324" t="s">
        <v>1595</v>
      </c>
      <c r="E12" s="324" t="s">
        <v>1268</v>
      </c>
      <c r="F12" s="325">
        <f>338-302</f>
        <v>36</v>
      </c>
      <c r="G12" s="325" t="s">
        <v>1593</v>
      </c>
      <c r="H12" s="324">
        <v>90.4</v>
      </c>
      <c r="I12" s="324">
        <v>2.5546000000000002</v>
      </c>
      <c r="J12" s="324">
        <v>90.4</v>
      </c>
      <c r="K12" s="326">
        <f>K10+H12</f>
        <v>188.72000000000003</v>
      </c>
      <c r="L12" s="327" t="s">
        <v>1579</v>
      </c>
      <c r="M12" s="327" t="s">
        <v>1062</v>
      </c>
      <c r="N12" s="327" t="s">
        <v>1274</v>
      </c>
      <c r="O12" s="327">
        <f>178-135</f>
        <v>43</v>
      </c>
      <c r="P12" s="327">
        <v>105.5</v>
      </c>
      <c r="Q12" s="332">
        <f>Q10+P12</f>
        <v>281.42150400000003</v>
      </c>
      <c r="R12" s="329" t="s">
        <v>1596</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1597</v>
      </c>
      <c r="C16"/>
      <c r="D16"/>
      <c r="E16"/>
      <c r="F16"/>
      <c r="G16"/>
      <c r="H16"/>
      <c r="I16"/>
      <c r="J16"/>
      <c r="K16"/>
      <c r="L16"/>
      <c r="M16"/>
      <c r="N16"/>
      <c r="O16"/>
      <c r="P16"/>
      <c r="Q16"/>
    </row>
    <row r="17" spans="1:17" ht="13.5" customHeight="1">
      <c r="A17"/>
      <c r="B17" s="333"/>
      <c r="C17" s="334" t="s">
        <v>1598</v>
      </c>
      <c r="D17" s="324" t="s">
        <v>1599</v>
      </c>
      <c r="E17" s="324" t="s">
        <v>1600</v>
      </c>
      <c r="F17" s="325">
        <f>83+365-302</f>
        <v>146</v>
      </c>
      <c r="G17" s="325" t="s">
        <v>1593</v>
      </c>
      <c r="H17" s="325">
        <f>(F17*86400*8*'2025_pb'!W9)/1000000</f>
        <v>371.78301399999998</v>
      </c>
      <c r="I17" s="324">
        <v>2.5546000000000002</v>
      </c>
      <c r="J17" s="325">
        <f>I17*F17</f>
        <v>372.97160000000002</v>
      </c>
      <c r="K17" s="335">
        <f>H17</f>
        <v>371.78301399999998</v>
      </c>
      <c r="L17" s="3" t="s">
        <v>1601</v>
      </c>
      <c r="M17" s="3" t="s">
        <v>1602</v>
      </c>
      <c r="N17" s="3" t="s">
        <v>1603</v>
      </c>
      <c r="O17" s="3">
        <f>83+365-276</f>
        <v>172</v>
      </c>
      <c r="P17" s="3">
        <f>241+379</f>
        <v>620</v>
      </c>
      <c r="Q17" s="145">
        <f>P17</f>
        <v>620</v>
      </c>
    </row>
    <row r="18" spans="1:17" ht="13.5" customHeight="1">
      <c r="A18"/>
      <c r="B18" s="333"/>
      <c r="C18" s="334" t="s">
        <v>1604</v>
      </c>
      <c r="D18" s="324" t="s">
        <v>1605</v>
      </c>
      <c r="E18" s="324" t="s">
        <v>1606</v>
      </c>
      <c r="F18" s="324">
        <f>219-126</f>
        <v>93</v>
      </c>
      <c r="G18" s="324"/>
      <c r="H18" s="325">
        <f>F18*86400*8*'2025_pb'!S9/1000000</f>
        <v>89.416337999999996</v>
      </c>
      <c r="I18" s="325"/>
      <c r="J18" s="325">
        <f>H18*86400*8*'2025_pb'!T9/1000000</f>
        <v>22.50543686688691</v>
      </c>
      <c r="K18" s="335">
        <f>K17+H18</f>
        <v>461.19935199999998</v>
      </c>
      <c r="L18" s="3" t="s">
        <v>1607</v>
      </c>
      <c r="N18" s="3" t="s">
        <v>1608</v>
      </c>
    </row>
    <row r="19" spans="1:17" ht="13.5" customHeight="1">
      <c r="A19"/>
      <c r="B19" t="s">
        <v>1609</v>
      </c>
      <c r="D19" s="3">
        <v>96</v>
      </c>
      <c r="E19" s="3">
        <v>219</v>
      </c>
      <c r="F19" s="3">
        <f>E19-D19</f>
        <v>123</v>
      </c>
      <c r="I19" s="324">
        <v>0.96960000000000002</v>
      </c>
      <c r="J19" s="3">
        <f>I19*F19</f>
        <v>119.2608</v>
      </c>
    </row>
    <row r="21" spans="1:17" ht="13.5" customHeight="1">
      <c r="M21" s="3">
        <f>296-189</f>
        <v>107</v>
      </c>
    </row>
    <row r="24" spans="1:17" ht="13.5" customHeight="1">
      <c r="D24" s="3" t="s">
        <v>755</v>
      </c>
      <c r="E24" t="s">
        <v>1610</v>
      </c>
      <c r="F24" t="s">
        <v>1611</v>
      </c>
      <c r="G24" t="s">
        <v>621</v>
      </c>
      <c r="H24"/>
      <c r="I24"/>
      <c r="J24" s="17" t="s">
        <v>1612</v>
      </c>
      <c r="K24" s="3">
        <v>150</v>
      </c>
      <c r="L24">
        <v>160</v>
      </c>
      <c r="O24" s="17" t="s">
        <v>1613</v>
      </c>
      <c r="P24" s="3">
        <v>134</v>
      </c>
    </row>
    <row r="25" spans="1:17" ht="13.5" customHeight="1">
      <c r="C25" t="s">
        <v>1614</v>
      </c>
      <c r="D25" s="3">
        <v>274</v>
      </c>
      <c r="E25" s="3">
        <f>16.32+17.6</f>
        <v>33.92</v>
      </c>
      <c r="F25"/>
      <c r="G25" s="3">
        <f>D25-E25</f>
        <v>240.07999999999998</v>
      </c>
      <c r="H25"/>
      <c r="I25"/>
      <c r="J25" s="17" t="s">
        <v>1615</v>
      </c>
      <c r="K25" s="3">
        <v>372</v>
      </c>
      <c r="L25">
        <v>284</v>
      </c>
      <c r="O25" s="17" t="s">
        <v>1616</v>
      </c>
      <c r="P25" s="3">
        <v>42</v>
      </c>
    </row>
    <row r="26" spans="1:17" ht="13.5" customHeight="1">
      <c r="C26" s="3" t="s">
        <v>1617</v>
      </c>
      <c r="D26" s="3">
        <v>439</v>
      </c>
      <c r="F26" s="3">
        <f>64.4+90.4</f>
        <v>154.80000000000001</v>
      </c>
      <c r="G26" s="3">
        <f>D26-F26</f>
        <v>284.2</v>
      </c>
      <c r="H26"/>
      <c r="I26"/>
      <c r="J26" s="17" t="s">
        <v>1618</v>
      </c>
      <c r="K26" s="3">
        <v>89</v>
      </c>
      <c r="L26">
        <v>240</v>
      </c>
      <c r="O26" s="17" t="s">
        <v>1619</v>
      </c>
      <c r="P26" s="3">
        <v>15</v>
      </c>
    </row>
    <row r="27" spans="1:17" ht="13.5" customHeight="1">
      <c r="F27"/>
      <c r="G27"/>
      <c r="H27"/>
      <c r="I27"/>
      <c r="J27" s="17" t="s">
        <v>1620</v>
      </c>
      <c r="K27" s="3">
        <v>620</v>
      </c>
      <c r="L27">
        <v>536</v>
      </c>
      <c r="O27" s="17" t="s">
        <v>1621</v>
      </c>
      <c r="P27" s="3">
        <v>105</v>
      </c>
    </row>
    <row r="28" spans="1:17" ht="13.5" customHeight="1">
      <c r="C28" s="17" t="s">
        <v>1622</v>
      </c>
      <c r="D28" s="3">
        <f>(159-96)*0.24</f>
        <v>15.12</v>
      </c>
      <c r="F28"/>
      <c r="G28"/>
      <c r="H28"/>
      <c r="I28"/>
      <c r="J28" s="17" t="s">
        <v>1623</v>
      </c>
      <c r="K28" s="3">
        <v>461</v>
      </c>
      <c r="L28">
        <f>59.4+36.6</f>
        <v>96</v>
      </c>
      <c r="M28" s="3" t="s">
        <v>1624</v>
      </c>
      <c r="O28" s="17"/>
      <c r="P28" s="3">
        <f>SUM(P24:P27)</f>
        <v>296</v>
      </c>
    </row>
    <row r="29" spans="1:17" ht="13.5" customHeight="1">
      <c r="F29"/>
      <c r="G29"/>
      <c r="H29"/>
      <c r="I29"/>
      <c r="K29" s="3">
        <f>SUM(K24:K28)</f>
        <v>1692</v>
      </c>
      <c r="L29">
        <f>6.3+10.5</f>
        <v>16.8</v>
      </c>
      <c r="M29" s="3" t="s">
        <v>1625</v>
      </c>
      <c r="O29" s="17"/>
    </row>
    <row r="30" spans="1:17" ht="13.5" customHeight="1">
      <c r="O30" s="17" t="s">
        <v>1626</v>
      </c>
      <c r="P30" s="3">
        <v>87</v>
      </c>
    </row>
    <row r="31" spans="1:17" ht="13.5" customHeight="1">
      <c r="O31" s="17" t="s">
        <v>1627</v>
      </c>
      <c r="P31" s="3">
        <v>449</v>
      </c>
    </row>
    <row r="32" spans="1:17" ht="13.5" customHeight="1">
      <c r="I32" s="3">
        <f>96+203+160</f>
        <v>459</v>
      </c>
      <c r="O32" s="17"/>
      <c r="P32" s="3">
        <f>P31+P30</f>
        <v>536</v>
      </c>
    </row>
    <row r="33" spans="1:15" ht="13.5" customHeight="1">
      <c r="B33" s="3" t="s">
        <v>1628</v>
      </c>
      <c r="D33" s="3" t="s">
        <v>1629</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1630</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1631</v>
      </c>
    </row>
    <row r="25" spans="3:10" ht="12.75" customHeight="1">
      <c r="E25" t="s">
        <v>1632</v>
      </c>
      <c r="J25" t="s">
        <v>1633</v>
      </c>
    </row>
    <row r="26" spans="3:10" ht="12.75" customHeight="1">
      <c r="C26" t="s">
        <v>1634</v>
      </c>
      <c r="E26" t="s">
        <v>1635</v>
      </c>
      <c r="G26" t="s">
        <v>1636</v>
      </c>
    </row>
    <row r="27" spans="3:10" ht="12.75" customHeight="1">
      <c r="E27" t="s">
        <v>1637</v>
      </c>
      <c r="G27" t="s">
        <v>1638</v>
      </c>
    </row>
    <row r="28" spans="3:10" ht="12.75" customHeight="1">
      <c r="E28" t="s">
        <v>1639</v>
      </c>
      <c r="G28" t="s">
        <v>1640</v>
      </c>
      <c r="I28" t="s">
        <v>1638</v>
      </c>
    </row>
    <row r="29" spans="3:10" ht="12.75" customHeight="1">
      <c r="E29" t="s">
        <v>1641</v>
      </c>
    </row>
    <row r="30" spans="3:10" ht="12.75" customHeight="1">
      <c r="E30" t="s">
        <v>1641</v>
      </c>
      <c r="G30" t="s">
        <v>1642</v>
      </c>
    </row>
    <row r="31" spans="3:10" ht="12.75" customHeight="1">
      <c r="E31" t="s">
        <v>1643</v>
      </c>
      <c r="G31" t="s">
        <v>1644</v>
      </c>
      <c r="J31" t="s">
        <v>204</v>
      </c>
    </row>
    <row r="32" spans="3:10" ht="12.75" customHeight="1">
      <c r="E32" t="s">
        <v>1645</v>
      </c>
      <c r="G32" t="s">
        <v>1646</v>
      </c>
    </row>
    <row r="33" spans="5:9" ht="12.75" customHeight="1">
      <c r="E33" t="s">
        <v>1647</v>
      </c>
      <c r="G33" t="s">
        <v>1648</v>
      </c>
    </row>
    <row r="34" spans="5:9" ht="12.75" customHeight="1">
      <c r="E34" t="s">
        <v>1649</v>
      </c>
      <c r="G34" t="s">
        <v>1650</v>
      </c>
    </row>
    <row r="35" spans="5:9" ht="12.75" customHeight="1">
      <c r="E35" t="s">
        <v>1651</v>
      </c>
      <c r="G35" t="s">
        <v>1652</v>
      </c>
    </row>
    <row r="36" spans="5:9" ht="12.75" customHeight="1">
      <c r="E36" t="s">
        <v>1653</v>
      </c>
      <c r="G36" t="s">
        <v>1654</v>
      </c>
    </row>
    <row r="37" spans="5:9" ht="12.75" customHeight="1">
      <c r="E37" t="s">
        <v>1655</v>
      </c>
      <c r="G37" t="s">
        <v>1656</v>
      </c>
    </row>
    <row r="38" spans="5:9" ht="12.75" customHeight="1">
      <c r="E38" t="s">
        <v>1657</v>
      </c>
      <c r="G38" t="s">
        <v>1658</v>
      </c>
    </row>
    <row r="39" spans="5:9" ht="12.75" customHeight="1">
      <c r="E39" t="s">
        <v>1659</v>
      </c>
      <c r="G39" t="s">
        <v>1660</v>
      </c>
      <c r="I39" t="s">
        <v>1661</v>
      </c>
    </row>
    <row r="40" spans="5:9" ht="12.75" customHeight="1">
      <c r="E40" t="s">
        <v>1662</v>
      </c>
      <c r="G40" t="s">
        <v>1663</v>
      </c>
      <c r="I40" t="s">
        <v>1664</v>
      </c>
    </row>
    <row r="41" spans="5:9" ht="12.75" customHeight="1">
      <c r="E41" t="s">
        <v>1665</v>
      </c>
      <c r="I41" t="s">
        <v>1666</v>
      </c>
    </row>
    <row r="42" spans="5:9" ht="12.75" customHeight="1">
      <c r="E42" t="s">
        <v>1667</v>
      </c>
    </row>
    <row r="43" spans="5:9" ht="12.75" customHeight="1">
      <c r="E43" t="s">
        <v>1668</v>
      </c>
      <c r="G43" t="s">
        <v>1669</v>
      </c>
    </row>
    <row r="44" spans="5:9" ht="12.75" customHeight="1">
      <c r="E44" t="s">
        <v>1670</v>
      </c>
      <c r="G44" t="s">
        <v>1671</v>
      </c>
    </row>
    <row r="45" spans="5:9" ht="12.75" customHeight="1">
      <c r="E45" t="s">
        <v>1672</v>
      </c>
      <c r="G45" t="s">
        <v>1673</v>
      </c>
    </row>
    <row r="46" spans="5:9" ht="12.75" customHeight="1">
      <c r="E46" t="s">
        <v>1674</v>
      </c>
      <c r="G46" t="s">
        <v>1675</v>
      </c>
    </row>
    <row r="47" spans="5:9" ht="12.75" customHeight="1">
      <c r="E47" t="s">
        <v>1676</v>
      </c>
      <c r="G47" t="s">
        <v>1677</v>
      </c>
    </row>
    <row r="48" spans="5:9" ht="12.75" customHeight="1">
      <c r="E48" t="s">
        <v>1678</v>
      </c>
      <c r="G48" t="s">
        <v>1677</v>
      </c>
    </row>
    <row r="49" spans="4:7" ht="12.75" customHeight="1">
      <c r="E49" t="s">
        <v>1679</v>
      </c>
      <c r="G49" t="s">
        <v>1680</v>
      </c>
    </row>
    <row r="50" spans="4:7" ht="12.75" customHeight="1">
      <c r="E50" t="s">
        <v>1681</v>
      </c>
      <c r="G50" t="s">
        <v>1682</v>
      </c>
    </row>
    <row r="51" spans="4:7" ht="12.75" customHeight="1">
      <c r="D51" t="s">
        <v>1683</v>
      </c>
      <c r="E51" t="s">
        <v>1684</v>
      </c>
      <c r="G51" t="s">
        <v>1685</v>
      </c>
    </row>
    <row r="52" spans="4:7" ht="12.75" customHeight="1">
      <c r="E52" t="s">
        <v>1686</v>
      </c>
      <c r="G52" t="s">
        <v>1687</v>
      </c>
    </row>
    <row r="53" spans="4:7" ht="12.75" customHeight="1">
      <c r="E53" t="s">
        <v>1688</v>
      </c>
      <c r="G53" t="s">
        <v>1689</v>
      </c>
    </row>
    <row r="54" spans="4:7" ht="12.75" customHeight="1">
      <c r="E54" t="s">
        <v>1690</v>
      </c>
      <c r="G54" t="s">
        <v>1691</v>
      </c>
    </row>
    <row r="55" spans="4:7" ht="12.75" customHeight="1">
      <c r="E55" t="s">
        <v>1692</v>
      </c>
      <c r="G55" t="s">
        <v>1693</v>
      </c>
    </row>
    <row r="56" spans="4:7" ht="12.75" customHeight="1">
      <c r="E56" t="s">
        <v>1694</v>
      </c>
    </row>
    <row r="57" spans="4:7" ht="12.75" customHeight="1">
      <c r="E57" t="s">
        <v>1695</v>
      </c>
    </row>
    <row r="58" spans="4:7" ht="12.75" customHeight="1">
      <c r="E58" t="s">
        <v>1696</v>
      </c>
    </row>
    <row r="59" spans="4:7" ht="12.75" customHeight="1">
      <c r="E59" t="s">
        <v>1697</v>
      </c>
    </row>
    <row r="60" spans="4:7" ht="12.75" customHeight="1">
      <c r="E60" t="s">
        <v>1698</v>
      </c>
    </row>
    <row r="61" spans="4:7" ht="12.75" customHeight="1">
      <c r="E61" t="s">
        <v>1699</v>
      </c>
    </row>
    <row r="62" spans="4:7" ht="12.75" customHeight="1">
      <c r="E62" t="s">
        <v>1700</v>
      </c>
    </row>
    <row r="63" spans="4:7" ht="12.75" customHeight="1">
      <c r="E63" t="s">
        <v>1701</v>
      </c>
    </row>
    <row r="64" spans="4:7" ht="12.75" customHeight="1">
      <c r="E64" t="s">
        <v>1702</v>
      </c>
    </row>
    <row r="65" spans="4:5" ht="12.75" customHeight="1">
      <c r="E65" t="s">
        <v>1703</v>
      </c>
    </row>
    <row r="66" spans="4:5" ht="12.75" customHeight="1">
      <c r="E66" t="s">
        <v>1704</v>
      </c>
    </row>
    <row r="67" spans="4:5" ht="12.75" customHeight="1">
      <c r="E67" t="s">
        <v>1705</v>
      </c>
    </row>
    <row r="68" spans="4:5" ht="12.75" customHeight="1">
      <c r="E68" t="s">
        <v>1706</v>
      </c>
    </row>
    <row r="69" spans="4:5" ht="12.75" customHeight="1">
      <c r="E69" t="s">
        <v>1707</v>
      </c>
    </row>
    <row r="70" spans="4:5" ht="12.75" customHeight="1">
      <c r="D70">
        <v>25139</v>
      </c>
      <c r="E70" t="s">
        <v>1708</v>
      </c>
    </row>
    <row r="72" spans="4:5" ht="12.75" customHeight="1">
      <c r="E72" t="s">
        <v>1709</v>
      </c>
    </row>
    <row r="73" spans="4:5" ht="12.75" customHeight="1">
      <c r="E73" t="s">
        <v>1710</v>
      </c>
    </row>
    <row r="74" spans="4:5" ht="12.75" customHeight="1">
      <c r="E74" t="s">
        <v>1711</v>
      </c>
    </row>
    <row r="75" spans="4:5" ht="12.75" customHeight="1">
      <c r="E75" t="s">
        <v>1712</v>
      </c>
    </row>
    <row r="76" spans="4:5" ht="12.75" customHeight="1">
      <c r="E76" t="s">
        <v>1713</v>
      </c>
    </row>
    <row r="77" spans="4:5" ht="12.75" customHeight="1">
      <c r="E77" t="s">
        <v>1714</v>
      </c>
    </row>
    <row r="78" spans="4:5" ht="12.75" customHeight="1">
      <c r="E78" t="s">
        <v>1715</v>
      </c>
    </row>
    <row r="79" spans="4:5" ht="12.75" customHeight="1">
      <c r="E79" t="s">
        <v>1716</v>
      </c>
    </row>
    <row r="80" spans="4:5" ht="12.75" customHeight="1">
      <c r="E80" t="s">
        <v>1717</v>
      </c>
    </row>
    <row r="81" spans="4:5" ht="12.75" customHeight="1">
      <c r="E81" t="s">
        <v>1718</v>
      </c>
    </row>
    <row r="82" spans="4:5" ht="12.75" customHeight="1">
      <c r="E82" t="s">
        <v>1719</v>
      </c>
    </row>
    <row r="83" spans="4:5" ht="12.75" customHeight="1">
      <c r="E83" t="s">
        <v>1720</v>
      </c>
    </row>
    <row r="84" spans="4:5" ht="12.75" customHeight="1">
      <c r="E84" t="s">
        <v>1721</v>
      </c>
    </row>
    <row r="85" spans="4:5" ht="12.75" customHeight="1">
      <c r="E85" t="s">
        <v>1722</v>
      </c>
    </row>
    <row r="86" spans="4:5" ht="12.75" customHeight="1">
      <c r="E86" t="s">
        <v>1723</v>
      </c>
    </row>
    <row r="87" spans="4:5" ht="12.75" customHeight="1">
      <c r="E87" t="s">
        <v>1724</v>
      </c>
    </row>
    <row r="88" spans="4:5" ht="12.75" customHeight="1">
      <c r="D88">
        <v>23159</v>
      </c>
      <c r="E88" t="s">
        <v>1725</v>
      </c>
    </row>
    <row r="90" spans="4:5" ht="12.75" customHeight="1">
      <c r="E90" t="s">
        <v>1726</v>
      </c>
    </row>
    <row r="91" spans="4:5" ht="12.75" customHeight="1">
      <c r="E91" t="s">
        <v>1727</v>
      </c>
    </row>
    <row r="92" spans="4:5" ht="12.75" customHeight="1">
      <c r="E92" t="s">
        <v>1728</v>
      </c>
    </row>
    <row r="93" spans="4:5" ht="12.75" customHeight="1">
      <c r="E93" t="s">
        <v>1729</v>
      </c>
    </row>
    <row r="94" spans="4:5" ht="12.75" customHeight="1">
      <c r="E94" t="s">
        <v>1730</v>
      </c>
    </row>
    <row r="95" spans="4:5" ht="12.75" customHeight="1">
      <c r="E95" t="s">
        <v>1731</v>
      </c>
    </row>
    <row r="96" spans="4:5" ht="12.75" customHeight="1">
      <c r="E96" t="s">
        <v>1732</v>
      </c>
    </row>
    <row r="97" spans="5:5" ht="12.75" customHeight="1">
      <c r="E97" t="s">
        <v>1733</v>
      </c>
    </row>
    <row r="98" spans="5:5" ht="12.75" customHeight="1">
      <c r="E98" t="s">
        <v>1734</v>
      </c>
    </row>
    <row r="99" spans="5:5" ht="12.75" customHeight="1">
      <c r="E99" t="s">
        <v>1735</v>
      </c>
    </row>
    <row r="100" spans="5:5" ht="12.75" customHeight="1">
      <c r="E100" t="s">
        <v>1736</v>
      </c>
    </row>
    <row r="101" spans="5:5" ht="12.75" customHeight="1">
      <c r="E101" t="s">
        <v>1737</v>
      </c>
    </row>
    <row r="102" spans="5:5" ht="12.75" customHeight="1">
      <c r="E102" t="s">
        <v>1738</v>
      </c>
    </row>
    <row r="103" spans="5:5" ht="12.75" customHeight="1">
      <c r="E103" t="s">
        <v>1739</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1828</v>
      </c>
      <c r="H2" t="s">
        <v>1829</v>
      </c>
      <c r="I2" t="s">
        <v>1830</v>
      </c>
      <c r="J2" t="s">
        <v>1831</v>
      </c>
      <c r="K2" t="s">
        <v>1832</v>
      </c>
      <c r="L2" t="s">
        <v>1833</v>
      </c>
      <c r="M2" t="s">
        <v>1834</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1835</v>
      </c>
      <c r="H4" t="s">
        <v>1836</v>
      </c>
    </row>
    <row r="5" spans="4:15" ht="13.5" customHeight="1">
      <c r="G5" s="97">
        <f>H18</f>
        <v>573130071</v>
      </c>
      <c r="H5" s="97">
        <f>I18</f>
        <v>573191571</v>
      </c>
    </row>
    <row r="6" spans="4:15" ht="13.5" customHeight="1">
      <c r="E6" s="224" t="s">
        <v>1837</v>
      </c>
      <c r="F6" s="224" t="s">
        <v>1838</v>
      </c>
      <c r="G6" s="224">
        <v>573166316</v>
      </c>
      <c r="H6" s="224">
        <v>8</v>
      </c>
      <c r="I6" s="224" t="s">
        <v>373</v>
      </c>
      <c r="J6" s="224" t="s">
        <v>1839</v>
      </c>
      <c r="K6" s="224" t="s">
        <v>816</v>
      </c>
      <c r="L6" s="224" t="s">
        <v>817</v>
      </c>
      <c r="M6" s="224" t="s">
        <v>1840</v>
      </c>
      <c r="N6" s="3"/>
      <c r="O6" s="3"/>
    </row>
    <row r="7" spans="4:15" ht="13.5" customHeight="1">
      <c r="D7" s="17" t="s">
        <v>1841</v>
      </c>
      <c r="E7" s="224" t="s">
        <v>1842</v>
      </c>
      <c r="F7" s="224" t="s">
        <v>1843</v>
      </c>
      <c r="G7" s="224">
        <v>573172616</v>
      </c>
      <c r="H7" s="224">
        <v>7</v>
      </c>
      <c r="I7" s="224" t="s">
        <v>373</v>
      </c>
      <c r="J7" s="224" t="s">
        <v>1844</v>
      </c>
      <c r="K7" s="224" t="s">
        <v>816</v>
      </c>
      <c r="L7" s="224" t="s">
        <v>817</v>
      </c>
      <c r="M7" s="224" t="s">
        <v>1845</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1846</v>
      </c>
      <c r="E15" s="3" t="s">
        <v>173</v>
      </c>
      <c r="F15" s="3" t="s">
        <v>21</v>
      </c>
      <c r="G15" s="3"/>
      <c r="J15" t="s">
        <v>1847</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1848</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1849</v>
      </c>
      <c r="D19" s="183">
        <f>E19/J19</f>
        <v>3.8722222222222222</v>
      </c>
      <c r="E19" s="3">
        <f t="shared" si="0"/>
        <v>174250</v>
      </c>
      <c r="F19" s="3">
        <v>1.3939999999999999</v>
      </c>
      <c r="G19" s="179" t="s">
        <v>1850</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1851</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1852</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1853</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1854</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1855</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1856</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1857</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1858</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1837</v>
      </c>
      <c r="F3" s="224" t="s">
        <v>1838</v>
      </c>
      <c r="G3" s="224">
        <v>573166316</v>
      </c>
      <c r="H3" s="224">
        <v>8</v>
      </c>
      <c r="I3" s="224" t="s">
        <v>373</v>
      </c>
      <c r="J3" s="224" t="s">
        <v>1839</v>
      </c>
      <c r="K3" s="224" t="s">
        <v>816</v>
      </c>
      <c r="L3" s="224" t="s">
        <v>817</v>
      </c>
      <c r="M3" s="224" t="s">
        <v>1840</v>
      </c>
      <c r="N3" s="3"/>
      <c r="O3" s="3"/>
    </row>
    <row r="4" spans="2:15" ht="13.5" customHeight="1">
      <c r="D4" s="17" t="s">
        <v>1841</v>
      </c>
      <c r="E4" s="224" t="s">
        <v>1842</v>
      </c>
      <c r="F4" s="224" t="s">
        <v>1843</v>
      </c>
      <c r="G4" s="224">
        <v>573172616</v>
      </c>
      <c r="H4" s="224">
        <v>7</v>
      </c>
      <c r="I4" s="224" t="s">
        <v>373</v>
      </c>
      <c r="J4" s="224" t="s">
        <v>1844</v>
      </c>
      <c r="K4" s="224" t="s">
        <v>816</v>
      </c>
      <c r="L4" s="224" t="s">
        <v>817</v>
      </c>
      <c r="M4" s="224" t="s">
        <v>1845</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1859</v>
      </c>
      <c r="H6" t="s">
        <v>1860</v>
      </c>
      <c r="I6" t="s">
        <v>1861</v>
      </c>
      <c r="J6" t="s">
        <v>1862</v>
      </c>
      <c r="K6" t="s">
        <v>1834</v>
      </c>
    </row>
    <row r="7" spans="2:15" ht="13.5" customHeight="1">
      <c r="D7" s="17"/>
      <c r="J7" t="s">
        <v>1863</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1846</v>
      </c>
      <c r="E12" s="3" t="s">
        <v>173</v>
      </c>
      <c r="F12" s="3" t="s">
        <v>21</v>
      </c>
      <c r="G12" s="3"/>
      <c r="J12" t="s">
        <v>1847</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1848</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1849</v>
      </c>
      <c r="D16" s="183">
        <f t="shared" si="0"/>
        <v>3.8722222222222222</v>
      </c>
      <c r="E16" s="3">
        <f t="shared" si="1"/>
        <v>174250</v>
      </c>
      <c r="F16" s="3">
        <v>1.3939999999999999</v>
      </c>
      <c r="G16" s="179" t="s">
        <v>1850</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1851</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1852</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1853</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1854</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1855</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1856</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1857</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1858</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1864</v>
      </c>
    </row>
    <row r="2" spans="1:26" ht="14.25" customHeight="1">
      <c r="W2" s="4" t="s">
        <v>1865</v>
      </c>
    </row>
    <row r="4" spans="1:26" ht="14.25" customHeight="1">
      <c r="G4" s="4" t="s">
        <v>1866</v>
      </c>
      <c r="H4" s="4" t="s">
        <v>1867</v>
      </c>
      <c r="I4" s="4" t="s">
        <v>1868</v>
      </c>
      <c r="J4" s="4" t="s">
        <v>750</v>
      </c>
      <c r="K4" s="4" t="s">
        <v>1869</v>
      </c>
      <c r="L4" s="4" t="s">
        <v>1870</v>
      </c>
      <c r="M4" s="4" t="s">
        <v>1871</v>
      </c>
      <c r="N4" s="4" t="s">
        <v>1872</v>
      </c>
      <c r="O4" s="4" t="s">
        <v>1873</v>
      </c>
      <c r="P4" s="4" t="s">
        <v>1874</v>
      </c>
      <c r="Q4" s="4" t="s">
        <v>1875</v>
      </c>
      <c r="R4" s="4" t="s">
        <v>1876</v>
      </c>
      <c r="S4" s="4" t="s">
        <v>1877</v>
      </c>
      <c r="T4" s="4" t="s">
        <v>1878</v>
      </c>
      <c r="W4" s="4">
        <f>108*64*20</f>
        <v>138240</v>
      </c>
      <c r="X4" s="4">
        <f>W4/3600</f>
        <v>38.4</v>
      </c>
    </row>
    <row r="6" spans="1:26" ht="14.25" customHeight="1">
      <c r="A6" s="4" t="s">
        <v>1879</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1880</v>
      </c>
      <c r="F7" s="4" t="s">
        <v>1881</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1882</v>
      </c>
      <c r="F8" s="4" t="s">
        <v>1883</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1884</v>
      </c>
      <c r="F9" s="4" t="s">
        <v>1885</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1886</v>
      </c>
      <c r="Z9" s="31">
        <f>8640/(24*10*200)</f>
        <v>0.18</v>
      </c>
    </row>
    <row r="10" spans="1:26" ht="14.25" customHeight="1">
      <c r="E10" s="4" t="s">
        <v>1887</v>
      </c>
      <c r="F10" s="4" t="s">
        <v>1888</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1889</v>
      </c>
      <c r="F11" s="4" t="s">
        <v>1890</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1891</v>
      </c>
      <c r="F12" s="4" t="s">
        <v>1892</v>
      </c>
    </row>
    <row r="15" spans="1:26" ht="15">
      <c r="F15" s="4" t="s">
        <v>1893</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1894</v>
      </c>
      <c r="B3" s="145" t="s">
        <v>1895</v>
      </c>
      <c r="C3" s="145" t="s">
        <v>1896</v>
      </c>
      <c r="D3" s="145" t="s">
        <v>1897</v>
      </c>
      <c r="E3" s="145" t="s">
        <v>1898</v>
      </c>
      <c r="F3" s="145" t="s">
        <v>1899</v>
      </c>
      <c r="G3" s="145" t="s">
        <v>1900</v>
      </c>
      <c r="H3" s="145" t="s">
        <v>1898</v>
      </c>
      <c r="I3" s="145" t="s">
        <v>1901</v>
      </c>
      <c r="J3" s="145" t="s">
        <v>1902</v>
      </c>
      <c r="K3" s="145" t="s">
        <v>12</v>
      </c>
      <c r="L3" s="145" t="s">
        <v>776</v>
      </c>
      <c r="M3" s="145" t="s">
        <v>773</v>
      </c>
      <c r="N3" s="145" t="s">
        <v>774</v>
      </c>
      <c r="O3" s="145" t="s">
        <v>1903</v>
      </c>
      <c r="P3" s="91" t="s">
        <v>1904</v>
      </c>
    </row>
    <row r="4" spans="1:16" ht="14.25" customHeight="1">
      <c r="A4" s="145"/>
      <c r="B4" s="145"/>
      <c r="C4" s="145"/>
      <c r="D4" s="145" t="s">
        <v>1905</v>
      </c>
      <c r="E4" s="145" t="s">
        <v>1906</v>
      </c>
      <c r="F4" s="145" t="s">
        <v>1907</v>
      </c>
      <c r="G4" s="145" t="s">
        <v>1908</v>
      </c>
      <c r="H4" s="145" t="s">
        <v>1909</v>
      </c>
      <c r="I4" s="145" t="s">
        <v>1910</v>
      </c>
      <c r="J4" s="145" t="s">
        <v>1567</v>
      </c>
      <c r="K4" s="145"/>
      <c r="L4" s="145"/>
      <c r="M4" s="145"/>
      <c r="N4" s="145"/>
      <c r="O4" s="145"/>
    </row>
    <row r="5" spans="1:16" ht="14.25" customHeight="1">
      <c r="A5" s="3">
        <v>23064</v>
      </c>
      <c r="B5" s="3">
        <v>64</v>
      </c>
      <c r="C5" s="92" t="s">
        <v>1911</v>
      </c>
      <c r="D5" s="378" t="s">
        <v>1912</v>
      </c>
      <c r="E5" s="3">
        <v>0</v>
      </c>
      <c r="F5" s="378">
        <v>6</v>
      </c>
      <c r="K5" s="3">
        <v>180</v>
      </c>
      <c r="L5" s="3">
        <v>180</v>
      </c>
      <c r="M5" s="3">
        <v>7200</v>
      </c>
      <c r="N5" s="3">
        <v>1800</v>
      </c>
      <c r="O5" s="3" t="s">
        <v>1913</v>
      </c>
      <c r="P5" s="93" t="s">
        <v>1914</v>
      </c>
    </row>
    <row r="6" spans="1:16" ht="14.25" customHeight="1">
      <c r="B6" s="3">
        <v>69</v>
      </c>
      <c r="C6" s="3" t="s">
        <v>1915</v>
      </c>
    </row>
    <row r="7" spans="1:16" ht="14.25" customHeight="1">
      <c r="B7" s="3">
        <v>69</v>
      </c>
      <c r="C7" s="92" t="s">
        <v>1911</v>
      </c>
      <c r="D7" s="378" t="s">
        <v>1912</v>
      </c>
      <c r="E7" s="3">
        <v>0</v>
      </c>
      <c r="F7" s="3">
        <v>6</v>
      </c>
      <c r="K7" s="3">
        <v>180</v>
      </c>
      <c r="L7" s="3">
        <v>180</v>
      </c>
      <c r="M7" s="3">
        <v>7200</v>
      </c>
      <c r="N7" s="3">
        <v>1800</v>
      </c>
      <c r="O7" s="3" t="s">
        <v>1913</v>
      </c>
    </row>
    <row r="8" spans="1:16" ht="14.25" customHeight="1">
      <c r="A8" s="3">
        <v>23086</v>
      </c>
      <c r="B8" s="3">
        <v>105</v>
      </c>
      <c r="C8" s="3" t="s">
        <v>1915</v>
      </c>
    </row>
    <row r="9" spans="1:16" ht="14.25" customHeight="1">
      <c r="A9" s="3">
        <v>23107</v>
      </c>
      <c r="B9" s="3">
        <v>109</v>
      </c>
      <c r="C9" s="92" t="s">
        <v>1911</v>
      </c>
      <c r="D9" s="378" t="s">
        <v>1912</v>
      </c>
      <c r="E9" s="3">
        <v>0</v>
      </c>
      <c r="F9" s="3">
        <v>6</v>
      </c>
      <c r="K9" s="3">
        <v>180</v>
      </c>
      <c r="L9" s="3">
        <v>180</v>
      </c>
      <c r="M9" s="3">
        <v>7200</v>
      </c>
      <c r="N9" s="3">
        <v>1800</v>
      </c>
      <c r="O9" s="3" t="s">
        <v>1913</v>
      </c>
    </row>
    <row r="10" spans="1:16" ht="14.25" customHeight="1">
      <c r="A10" s="3">
        <v>23135</v>
      </c>
      <c r="B10" s="3">
        <v>141</v>
      </c>
      <c r="C10" s="3" t="s">
        <v>1915</v>
      </c>
    </row>
    <row r="11" spans="1:16" ht="14.25" customHeight="1">
      <c r="A11" s="3">
        <v>23149</v>
      </c>
      <c r="B11" s="3">
        <v>150</v>
      </c>
      <c r="C11" s="92" t="s">
        <v>1911</v>
      </c>
      <c r="D11" s="378" t="s">
        <v>1912</v>
      </c>
      <c r="E11" s="3">
        <v>0</v>
      </c>
      <c r="F11" s="378">
        <v>3</v>
      </c>
      <c r="G11" s="378">
        <v>0.01</v>
      </c>
      <c r="K11" s="378">
        <v>100</v>
      </c>
      <c r="L11" s="378">
        <v>100</v>
      </c>
      <c r="M11" s="3">
        <v>7200</v>
      </c>
      <c r="N11" s="3">
        <v>1800</v>
      </c>
      <c r="O11" s="3" t="s">
        <v>1913</v>
      </c>
      <c r="P11" s="93" t="s">
        <v>1916</v>
      </c>
    </row>
    <row r="12" spans="1:16" ht="14.25" customHeight="1">
      <c r="B12" s="379">
        <v>151</v>
      </c>
      <c r="E12" s="3">
        <v>1</v>
      </c>
      <c r="F12" s="3">
        <v>3</v>
      </c>
      <c r="G12" s="3">
        <v>0.01</v>
      </c>
      <c r="H12" s="379" t="s">
        <v>1912</v>
      </c>
      <c r="I12" s="379" t="s">
        <v>1912</v>
      </c>
      <c r="J12" s="379" t="s">
        <v>1917</v>
      </c>
      <c r="P12" s="380" t="s">
        <v>1918</v>
      </c>
    </row>
    <row r="13" spans="1:16" ht="14.25" customHeight="1">
      <c r="B13" s="379">
        <v>153</v>
      </c>
      <c r="E13" s="3">
        <v>2</v>
      </c>
      <c r="F13" s="3">
        <v>3</v>
      </c>
      <c r="G13" s="3">
        <v>0.01</v>
      </c>
      <c r="H13" s="379" t="s">
        <v>1912</v>
      </c>
      <c r="I13" s="379" t="s">
        <v>1912</v>
      </c>
      <c r="J13" s="379" t="s">
        <v>1919</v>
      </c>
      <c r="P13" s="380" t="s">
        <v>1920</v>
      </c>
    </row>
    <row r="14" spans="1:16" ht="14.25" customHeight="1">
      <c r="B14" s="379">
        <v>155</v>
      </c>
      <c r="E14" s="3">
        <v>3</v>
      </c>
      <c r="F14" s="3">
        <v>3</v>
      </c>
      <c r="G14" s="3">
        <v>0.01</v>
      </c>
      <c r="H14" s="379" t="s">
        <v>1912</v>
      </c>
      <c r="I14" s="379" t="s">
        <v>1912</v>
      </c>
      <c r="J14" s="379" t="s">
        <v>1921</v>
      </c>
      <c r="P14" s="380" t="s">
        <v>1922</v>
      </c>
    </row>
    <row r="15" spans="1:16" ht="14.25" customHeight="1">
      <c r="B15" s="3">
        <v>157</v>
      </c>
      <c r="E15" s="52">
        <v>4</v>
      </c>
      <c r="F15" s="52">
        <v>3</v>
      </c>
      <c r="H15" s="379" t="s">
        <v>1912</v>
      </c>
      <c r="I15" s="3" t="s">
        <v>1923</v>
      </c>
      <c r="P15" s="93" t="s">
        <v>1924</v>
      </c>
    </row>
    <row r="16" spans="1:16" ht="14.25" customHeight="1">
      <c r="B16" s="3">
        <v>170</v>
      </c>
      <c r="D16" s="3" t="s">
        <v>1923</v>
      </c>
      <c r="F16" s="378">
        <v>6</v>
      </c>
      <c r="G16" s="378">
        <v>0.2</v>
      </c>
      <c r="P16" s="93" t="s">
        <v>1925</v>
      </c>
    </row>
    <row r="17" spans="1:16" ht="14.25" customHeight="1">
      <c r="A17" s="3">
        <v>23170</v>
      </c>
      <c r="B17" s="379">
        <v>182</v>
      </c>
      <c r="D17" s="3" t="s">
        <v>1923</v>
      </c>
      <c r="E17" s="3">
        <v>5</v>
      </c>
      <c r="F17" s="3">
        <v>6</v>
      </c>
      <c r="G17" s="3">
        <v>0.2</v>
      </c>
      <c r="H17" s="379" t="s">
        <v>1912</v>
      </c>
      <c r="I17" s="379" t="s">
        <v>1912</v>
      </c>
      <c r="J17" s="379" t="s">
        <v>1926</v>
      </c>
      <c r="P17" s="380" t="s">
        <v>1927</v>
      </c>
    </row>
    <row r="18" spans="1:16" ht="14.25" customHeight="1">
      <c r="A18" s="3">
        <v>23191</v>
      </c>
      <c r="B18" s="379">
        <v>194</v>
      </c>
      <c r="E18" s="3">
        <v>6</v>
      </c>
      <c r="F18" s="3">
        <v>6</v>
      </c>
      <c r="G18" s="3">
        <v>0.2</v>
      </c>
      <c r="H18" s="379" t="s">
        <v>1912</v>
      </c>
      <c r="I18" s="379" t="s">
        <v>1912</v>
      </c>
      <c r="J18" s="379" t="s">
        <v>1928</v>
      </c>
      <c r="P18" s="380" t="s">
        <v>1929</v>
      </c>
    </row>
    <row r="19" spans="1:16" ht="14.25" customHeight="1">
      <c r="A19" s="3">
        <v>23212</v>
      </c>
      <c r="B19" s="3">
        <v>216</v>
      </c>
      <c r="C19" s="3" t="s">
        <v>1915</v>
      </c>
    </row>
    <row r="20" spans="1:16" ht="14.25" customHeight="1">
      <c r="B20" s="3">
        <v>221</v>
      </c>
      <c r="C20" s="92" t="s">
        <v>1911</v>
      </c>
      <c r="D20" s="3" t="s">
        <v>1923</v>
      </c>
      <c r="F20" s="3">
        <v>6</v>
      </c>
      <c r="G20" s="378">
        <v>1.5</v>
      </c>
      <c r="K20" s="3">
        <v>100</v>
      </c>
      <c r="L20" s="3">
        <v>100</v>
      </c>
      <c r="M20" s="3">
        <v>7200</v>
      </c>
      <c r="N20" s="3">
        <v>1800</v>
      </c>
      <c r="O20" s="378" t="s">
        <v>1930</v>
      </c>
      <c r="P20" s="93" t="s">
        <v>1931</v>
      </c>
    </row>
    <row r="21" spans="1:16" ht="14.25" customHeight="1">
      <c r="A21" s="3">
        <v>23233</v>
      </c>
      <c r="B21" s="3">
        <v>231</v>
      </c>
      <c r="C21" s="3" t="s">
        <v>1915</v>
      </c>
    </row>
    <row r="22" spans="1:16" ht="14.25" customHeight="1">
      <c r="B22" s="3">
        <v>234</v>
      </c>
      <c r="C22" s="92" t="s">
        <v>1911</v>
      </c>
      <c r="D22" s="3" t="s">
        <v>1923</v>
      </c>
      <c r="F22" s="378">
        <v>12</v>
      </c>
      <c r="G22" s="378">
        <v>1.5</v>
      </c>
      <c r="K22" s="3">
        <v>100</v>
      </c>
      <c r="L22" s="3">
        <v>100</v>
      </c>
      <c r="M22" s="3">
        <v>7200</v>
      </c>
      <c r="N22" s="3">
        <v>1800</v>
      </c>
      <c r="O22" s="3" t="s">
        <v>1930</v>
      </c>
      <c r="P22" s="93" t="s">
        <v>1932</v>
      </c>
    </row>
    <row r="23" spans="1:16" ht="14.25" customHeight="1">
      <c r="A23" s="3">
        <v>23245</v>
      </c>
      <c r="B23" s="3">
        <v>254</v>
      </c>
      <c r="C23" s="3" t="s">
        <v>1915</v>
      </c>
    </row>
    <row r="24" spans="1:16" ht="14.25" customHeight="1">
      <c r="B24" s="3">
        <v>247</v>
      </c>
      <c r="C24" s="92" t="s">
        <v>1911</v>
      </c>
      <c r="D24" s="3" t="s">
        <v>1923</v>
      </c>
      <c r="F24" s="3">
        <v>12</v>
      </c>
      <c r="G24" s="378">
        <v>1.5</v>
      </c>
      <c r="K24" s="3">
        <v>100</v>
      </c>
      <c r="L24" s="3">
        <v>100</v>
      </c>
      <c r="M24" s="3">
        <v>7200</v>
      </c>
      <c r="N24" s="3">
        <v>1800</v>
      </c>
      <c r="O24" s="3" t="s">
        <v>1930</v>
      </c>
      <c r="P24" s="93" t="s">
        <v>1932</v>
      </c>
    </row>
    <row r="25" spans="1:16" ht="14.25" customHeight="1">
      <c r="A25" s="3">
        <v>23254</v>
      </c>
      <c r="B25" s="3">
        <v>260</v>
      </c>
      <c r="C25" s="3" t="s">
        <v>1915</v>
      </c>
    </row>
    <row r="26" spans="1:16" ht="14.25" customHeight="1">
      <c r="B26" s="3">
        <v>261</v>
      </c>
      <c r="C26" s="92" t="s">
        <v>1911</v>
      </c>
      <c r="D26" s="3" t="s">
        <v>1923</v>
      </c>
      <c r="F26" s="3">
        <v>12</v>
      </c>
      <c r="G26" s="378">
        <v>1.5</v>
      </c>
      <c r="K26" s="3">
        <v>100</v>
      </c>
      <c r="L26" s="3">
        <v>100</v>
      </c>
      <c r="M26" s="3">
        <v>7200</v>
      </c>
      <c r="N26" s="3">
        <v>1800</v>
      </c>
      <c r="O26" s="3" t="s">
        <v>1930</v>
      </c>
      <c r="P26" s="93" t="s">
        <v>1932</v>
      </c>
    </row>
    <row r="27" spans="1:16" ht="14.25" customHeight="1">
      <c r="B27" s="3">
        <v>263</v>
      </c>
      <c r="C27" s="3" t="s">
        <v>1915</v>
      </c>
    </row>
    <row r="28" spans="1:16" ht="14.25" customHeight="1">
      <c r="B28" s="3">
        <v>266</v>
      </c>
      <c r="C28" s="92" t="s">
        <v>1911</v>
      </c>
      <c r="D28" s="3" t="s">
        <v>1923</v>
      </c>
      <c r="F28" s="3">
        <v>12</v>
      </c>
      <c r="G28" s="378">
        <v>1.5</v>
      </c>
      <c r="K28" s="3">
        <v>100</v>
      </c>
      <c r="L28" s="3">
        <v>100</v>
      </c>
      <c r="M28" s="3">
        <v>7200</v>
      </c>
      <c r="N28" s="3">
        <v>1800</v>
      </c>
      <c r="O28" s="3" t="s">
        <v>1930</v>
      </c>
      <c r="P28" s="93" t="s">
        <v>1932</v>
      </c>
    </row>
    <row r="29" spans="1:16" ht="14.25" customHeight="1">
      <c r="B29" s="3">
        <v>269</v>
      </c>
      <c r="C29" s="3" t="s">
        <v>1915</v>
      </c>
    </row>
    <row r="30" spans="1:16" ht="14.25" customHeight="1">
      <c r="B30" s="3">
        <v>270</v>
      </c>
      <c r="C30" s="92" t="s">
        <v>1911</v>
      </c>
      <c r="D30" s="3" t="s">
        <v>1923</v>
      </c>
      <c r="F30" s="3">
        <v>12</v>
      </c>
      <c r="G30" s="378">
        <v>1.5</v>
      </c>
      <c r="K30" s="3">
        <v>100</v>
      </c>
      <c r="L30" s="3">
        <v>100</v>
      </c>
      <c r="M30" s="3">
        <v>7200</v>
      </c>
      <c r="N30" s="3">
        <v>1800</v>
      </c>
      <c r="O30" s="378" t="s">
        <v>1913</v>
      </c>
      <c r="P30" s="93" t="s">
        <v>1933</v>
      </c>
    </row>
    <row r="31" spans="1:16" ht="14.25" customHeight="1">
      <c r="A31" s="3">
        <v>23275</v>
      </c>
      <c r="B31" s="3">
        <v>275</v>
      </c>
      <c r="G31" s="378">
        <v>0.4</v>
      </c>
      <c r="P31" s="93" t="s">
        <v>1934</v>
      </c>
    </row>
    <row r="32" spans="1:16" ht="14.25" customHeight="1">
      <c r="A32" s="3">
        <v>23296</v>
      </c>
      <c r="B32" s="379">
        <v>311</v>
      </c>
      <c r="E32" s="3">
        <v>7</v>
      </c>
      <c r="F32" s="3">
        <v>12</v>
      </c>
      <c r="H32" s="379" t="s">
        <v>1912</v>
      </c>
      <c r="I32" s="379" t="s">
        <v>1912</v>
      </c>
      <c r="J32" s="379" t="s">
        <v>1935</v>
      </c>
      <c r="P32" s="380" t="s">
        <v>1936</v>
      </c>
    </row>
    <row r="33" spans="1:32" ht="14.25" customHeight="1">
      <c r="A33" s="3">
        <v>24015</v>
      </c>
      <c r="B33" s="3">
        <v>15</v>
      </c>
      <c r="D33" s="3" t="s">
        <v>1923</v>
      </c>
      <c r="F33" s="378">
        <v>13</v>
      </c>
      <c r="G33" s="3">
        <v>0.4</v>
      </c>
      <c r="P33" s="93" t="s">
        <v>1937</v>
      </c>
    </row>
    <row r="34" spans="1:32" ht="14.25" customHeight="1">
      <c r="A34" s="3">
        <v>24036</v>
      </c>
      <c r="B34" s="3">
        <v>41</v>
      </c>
      <c r="C34" s="3" t="s">
        <v>1915</v>
      </c>
      <c r="Q34"/>
      <c r="R34"/>
      <c r="S34"/>
      <c r="T34"/>
    </row>
    <row r="35" spans="1:32" ht="14.25" customHeight="1">
      <c r="A35" s="3">
        <v>24036</v>
      </c>
      <c r="B35" s="3">
        <v>41</v>
      </c>
      <c r="C35" s="92" t="s">
        <v>1911</v>
      </c>
      <c r="D35" s="3" t="s">
        <v>1923</v>
      </c>
      <c r="F35" s="3">
        <v>13</v>
      </c>
      <c r="G35" s="378">
        <v>1.5</v>
      </c>
      <c r="K35" s="3">
        <v>100</v>
      </c>
      <c r="L35" s="3">
        <v>100</v>
      </c>
      <c r="M35" s="3">
        <v>7200</v>
      </c>
      <c r="N35" s="3">
        <v>1800</v>
      </c>
      <c r="O35" s="3" t="s">
        <v>1913</v>
      </c>
      <c r="Q35"/>
      <c r="R35"/>
      <c r="S35"/>
      <c r="T35"/>
      <c r="U35"/>
      <c r="V35"/>
      <c r="W35"/>
      <c r="X35"/>
      <c r="Y35"/>
      <c r="Z35"/>
      <c r="AA35"/>
      <c r="AB35"/>
      <c r="AC35"/>
      <c r="AD35"/>
      <c r="AE35"/>
      <c r="AF35"/>
    </row>
    <row r="36" spans="1:32" ht="14.25" customHeight="1">
      <c r="A36" s="3">
        <v>24036</v>
      </c>
      <c r="B36" s="3">
        <v>48</v>
      </c>
      <c r="C36" s="3" t="s">
        <v>1915</v>
      </c>
      <c r="U36"/>
      <c r="V36"/>
      <c r="W36"/>
      <c r="X36"/>
      <c r="Y36"/>
      <c r="Z36"/>
      <c r="AA36"/>
      <c r="AB36"/>
      <c r="AC36"/>
      <c r="AD36"/>
      <c r="AE36"/>
      <c r="AF36"/>
    </row>
    <row r="37" spans="1:32" ht="15">
      <c r="A37" s="3">
        <v>24036</v>
      </c>
      <c r="B37" s="3">
        <v>48</v>
      </c>
      <c r="C37" s="92" t="s">
        <v>1911</v>
      </c>
      <c r="D37" s="3" t="s">
        <v>1923</v>
      </c>
      <c r="F37" s="3">
        <v>13</v>
      </c>
      <c r="G37" s="378">
        <v>1.5</v>
      </c>
      <c r="K37" s="3">
        <v>100</v>
      </c>
      <c r="L37" s="3">
        <v>100</v>
      </c>
      <c r="M37" s="3">
        <v>7200</v>
      </c>
      <c r="N37" s="3">
        <v>1800</v>
      </c>
      <c r="O37" s="3" t="s">
        <v>1913</v>
      </c>
    </row>
  </sheetData>
  <pageMargins left="0.7" right="0.7" top="0.75" bottom="0.75" header="0.511811023622047" footer="0.511811023622047"/>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1938</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1939</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1940</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55" t="s">
        <v>1</v>
      </c>
      <c r="I3" s="455"/>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56" t="s">
        <v>22</v>
      </c>
      <c r="G21" s="456"/>
      <c r="H21" s="456"/>
      <c r="I21" s="456"/>
    </row>
    <row r="22" spans="3:25" ht="18">
      <c r="F22" s="457" t="s">
        <v>23</v>
      </c>
      <c r="G22" s="457"/>
      <c r="H22" s="457"/>
      <c r="I22" s="29">
        <v>20</v>
      </c>
      <c r="O22" s="30"/>
    </row>
    <row r="23" spans="3:25" ht="15">
      <c r="F23" s="458" t="s">
        <v>24</v>
      </c>
      <c r="G23" s="458"/>
      <c r="H23" s="458"/>
      <c r="I23" s="29">
        <f>0.7*I22/10</f>
        <v>1.4</v>
      </c>
    </row>
    <row r="24" spans="3:25" ht="15">
      <c r="F24" s="458" t="s">
        <v>25</v>
      </c>
      <c r="G24" s="458"/>
      <c r="H24" s="458"/>
      <c r="I24" s="29">
        <v>2</v>
      </c>
    </row>
    <row r="25" spans="3:25" ht="15">
      <c r="F25" s="458" t="s">
        <v>26</v>
      </c>
      <c r="G25" s="458"/>
      <c r="H25" s="458"/>
      <c r="I25" s="29">
        <v>0</v>
      </c>
    </row>
    <row r="26" spans="3:25" ht="15">
      <c r="F26" s="458" t="s">
        <v>27</v>
      </c>
      <c r="G26" s="458"/>
      <c r="H26" s="458"/>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55" t="s">
        <v>1</v>
      </c>
      <c r="I33" s="455"/>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56" t="s">
        <v>22</v>
      </c>
      <c r="G51" s="456"/>
      <c r="H51" s="456"/>
      <c r="I51" s="456"/>
      <c r="K51" t="s">
        <v>33</v>
      </c>
      <c r="L51" t="s">
        <v>34</v>
      </c>
    </row>
    <row r="52" spans="3:25" ht="18">
      <c r="F52" s="457" t="s">
        <v>23</v>
      </c>
      <c r="G52" s="457"/>
      <c r="H52" s="457"/>
      <c r="I52" s="29">
        <v>20</v>
      </c>
      <c r="K52">
        <v>1</v>
      </c>
      <c r="L52">
        <v>2</v>
      </c>
      <c r="O52" s="30"/>
    </row>
    <row r="53" spans="3:25" ht="15">
      <c r="F53" s="458" t="s">
        <v>24</v>
      </c>
      <c r="G53" s="458"/>
      <c r="H53" s="458"/>
      <c r="I53" s="29">
        <f>0.7*I52/10</f>
        <v>1.4</v>
      </c>
      <c r="K53">
        <v>3</v>
      </c>
      <c r="L53">
        <v>6</v>
      </c>
      <c r="M53" t="str">
        <f>IF((K53/L53)=INT(K53/L53), "good", "bad")</f>
        <v>bad</v>
      </c>
    </row>
    <row r="54" spans="3:25" ht="15">
      <c r="F54" s="458" t="s">
        <v>25</v>
      </c>
      <c r="G54" s="458"/>
      <c r="H54" s="458"/>
      <c r="I54" s="29">
        <v>2</v>
      </c>
      <c r="K54">
        <v>1</v>
      </c>
      <c r="L54">
        <v>2</v>
      </c>
      <c r="M54" t="str">
        <f>IF((K54/L54)=INT(K54/L54), "good", "bad")</f>
        <v>bad</v>
      </c>
    </row>
    <row r="55" spans="3:25" ht="15">
      <c r="F55" s="458" t="s">
        <v>26</v>
      </c>
      <c r="G55" s="458"/>
      <c r="H55" s="458"/>
      <c r="I55" s="29">
        <v>0</v>
      </c>
      <c r="K55">
        <v>1</v>
      </c>
      <c r="L55">
        <v>2</v>
      </c>
      <c r="M55" t="str">
        <f>IF((K55/L55)=INT(K55/L55), "good", "bad")</f>
        <v>bad</v>
      </c>
    </row>
    <row r="56" spans="3:25" ht="15">
      <c r="F56" s="458" t="s">
        <v>27</v>
      </c>
      <c r="G56" s="458"/>
      <c r="H56" s="458"/>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55" t="s">
        <v>1</v>
      </c>
      <c r="I61" s="455"/>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56" t="s">
        <v>22</v>
      </c>
      <c r="G79" s="456"/>
      <c r="H79" s="456"/>
      <c r="I79" s="456"/>
    </row>
    <row r="80" spans="6:18" ht="18">
      <c r="F80" s="457" t="s">
        <v>23</v>
      </c>
      <c r="G80" s="457"/>
      <c r="H80" s="457"/>
      <c r="I80" s="29">
        <v>20</v>
      </c>
      <c r="O80" s="30"/>
    </row>
    <row r="81" spans="3:25" ht="15">
      <c r="F81" s="458" t="s">
        <v>24</v>
      </c>
      <c r="G81" s="458"/>
      <c r="H81" s="458"/>
      <c r="I81" s="29">
        <f>0.7*I80/10</f>
        <v>1.4</v>
      </c>
    </row>
    <row r="82" spans="3:25" ht="15">
      <c r="F82" s="458" t="s">
        <v>25</v>
      </c>
      <c r="G82" s="458"/>
      <c r="H82" s="458"/>
      <c r="I82" s="29">
        <v>2</v>
      </c>
    </row>
    <row r="83" spans="3:25" ht="15">
      <c r="F83" s="458" t="s">
        <v>26</v>
      </c>
      <c r="G83" s="458"/>
      <c r="H83" s="458"/>
      <c r="I83" s="29">
        <v>0</v>
      </c>
    </row>
    <row r="84" spans="3:25" ht="15">
      <c r="F84" s="458" t="s">
        <v>27</v>
      </c>
      <c r="G84" s="458"/>
      <c r="H84" s="458"/>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55" t="s">
        <v>1</v>
      </c>
      <c r="I91" s="455"/>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56" t="s">
        <v>22</v>
      </c>
      <c r="G109" s="456"/>
      <c r="H109" s="456"/>
      <c r="I109" s="456"/>
    </row>
    <row r="110" spans="6:18" ht="18">
      <c r="F110" s="457" t="s">
        <v>23</v>
      </c>
      <c r="G110" s="457"/>
      <c r="H110" s="457"/>
      <c r="I110" s="29">
        <v>20</v>
      </c>
      <c r="O110" s="30"/>
    </row>
    <row r="111" spans="6:18" ht="15">
      <c r="F111" s="458" t="s">
        <v>24</v>
      </c>
      <c r="G111" s="458"/>
      <c r="H111" s="458"/>
      <c r="I111" s="29">
        <f>0.7*I110/10</f>
        <v>1.4</v>
      </c>
    </row>
    <row r="112" spans="6:18" ht="15">
      <c r="F112" s="458" t="s">
        <v>25</v>
      </c>
      <c r="G112" s="458"/>
      <c r="H112" s="458"/>
      <c r="I112" s="29">
        <v>2</v>
      </c>
    </row>
    <row r="113" spans="3:17" ht="15">
      <c r="F113" s="458" t="s">
        <v>26</v>
      </c>
      <c r="G113" s="458"/>
      <c r="H113" s="458"/>
      <c r="I113" s="29">
        <v>2</v>
      </c>
    </row>
    <row r="114" spans="3:17" ht="15">
      <c r="F114" s="458" t="s">
        <v>27</v>
      </c>
      <c r="G114" s="458"/>
      <c r="H114" s="458"/>
      <c r="I114" s="29">
        <v>2</v>
      </c>
    </row>
    <row r="115" spans="3:17" ht="15"/>
    <row r="119" spans="3:17" ht="15">
      <c r="C119" s="6" t="s">
        <v>38</v>
      </c>
      <c r="D119" s="6"/>
      <c r="E119" s="6"/>
      <c r="F119" s="8"/>
      <c r="G119" s="8"/>
      <c r="H119" s="8"/>
      <c r="I119" s="8"/>
      <c r="J119" s="9"/>
      <c r="K119" s="8"/>
      <c r="L119" s="8"/>
      <c r="M119" s="8"/>
      <c r="N119" s="9"/>
      <c r="O119" s="9"/>
      <c r="P119" s="8"/>
    </row>
    <row r="120" spans="3:17" ht="15">
      <c r="H120" s="455" t="s">
        <v>1</v>
      </c>
      <c r="I120" s="455"/>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56" t="s">
        <v>22</v>
      </c>
      <c r="G138" s="456"/>
      <c r="H138" s="456"/>
      <c r="I138" s="456"/>
    </row>
    <row r="139" spans="6:18" ht="18">
      <c r="F139" s="457" t="s">
        <v>23</v>
      </c>
      <c r="G139" s="457"/>
      <c r="H139" s="457"/>
      <c r="I139" s="29">
        <v>20</v>
      </c>
      <c r="O139" s="30"/>
    </row>
    <row r="140" spans="6:18" ht="15">
      <c r="F140" s="458" t="s">
        <v>24</v>
      </c>
      <c r="G140" s="458"/>
      <c r="H140" s="458"/>
      <c r="I140" s="29">
        <f>0.7*I139/10</f>
        <v>1.4</v>
      </c>
    </row>
    <row r="141" spans="6:18" ht="15">
      <c r="F141" s="458" t="s">
        <v>25</v>
      </c>
      <c r="G141" s="458"/>
      <c r="H141" s="458"/>
      <c r="I141" s="29">
        <v>2</v>
      </c>
    </row>
    <row r="142" spans="6:18" ht="15">
      <c r="F142" s="458" t="s">
        <v>26</v>
      </c>
      <c r="G142" s="458"/>
      <c r="H142" s="458"/>
      <c r="I142" s="29">
        <v>1</v>
      </c>
    </row>
    <row r="143" spans="6:18" ht="15">
      <c r="F143" s="458" t="s">
        <v>27</v>
      </c>
      <c r="G143" s="458"/>
      <c r="H143" s="458"/>
      <c r="I143" s="29">
        <v>1</v>
      </c>
    </row>
    <row r="144" spans="6:18" ht="15"/>
    <row r="149" spans="3:17" ht="15">
      <c r="C149" s="6" t="s">
        <v>39</v>
      </c>
      <c r="D149" s="6"/>
      <c r="E149" s="6"/>
      <c r="F149" s="8"/>
      <c r="G149" s="8"/>
      <c r="H149" s="8"/>
      <c r="I149" s="8"/>
      <c r="J149" s="9"/>
      <c r="K149" s="8"/>
      <c r="L149" s="8"/>
      <c r="M149" s="8"/>
      <c r="N149" s="9"/>
      <c r="O149" s="9"/>
      <c r="P149" s="8"/>
    </row>
    <row r="150" spans="3:17" ht="15">
      <c r="H150" s="455" t="s">
        <v>1</v>
      </c>
      <c r="I150" s="455"/>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56" t="s">
        <v>22</v>
      </c>
      <c r="G168" s="456"/>
      <c r="H168" s="456"/>
      <c r="I168" s="456"/>
    </row>
    <row r="169" spans="6:18" ht="18">
      <c r="F169" s="457" t="s">
        <v>23</v>
      </c>
      <c r="G169" s="457"/>
      <c r="H169" s="457"/>
      <c r="I169" s="29">
        <v>20</v>
      </c>
      <c r="O169" s="30"/>
    </row>
    <row r="170" spans="6:18" ht="15">
      <c r="F170" s="458" t="s">
        <v>24</v>
      </c>
      <c r="G170" s="458"/>
      <c r="H170" s="458"/>
      <c r="I170" s="29">
        <f>0.7*I169/10</f>
        <v>1.4</v>
      </c>
    </row>
    <row r="171" spans="6:18" ht="15">
      <c r="F171" s="458" t="s">
        <v>25</v>
      </c>
      <c r="G171" s="458"/>
      <c r="H171" s="458"/>
      <c r="I171" s="29">
        <v>2</v>
      </c>
    </row>
    <row r="172" spans="6:18" ht="15">
      <c r="F172" s="458" t="s">
        <v>26</v>
      </c>
      <c r="G172" s="458"/>
      <c r="H172" s="458"/>
      <c r="I172" s="29">
        <v>1</v>
      </c>
    </row>
    <row r="173" spans="6:18" ht="15">
      <c r="F173" s="458" t="s">
        <v>27</v>
      </c>
      <c r="G173" s="458"/>
      <c r="H173" s="458"/>
      <c r="I173" s="29">
        <v>1</v>
      </c>
    </row>
    <row r="174" spans="6:18" ht="15"/>
    <row r="178" spans="3:17" ht="15">
      <c r="C178" s="6" t="s">
        <v>40</v>
      </c>
      <c r="D178" s="6"/>
      <c r="E178" s="6"/>
      <c r="F178" s="8"/>
      <c r="G178" s="8"/>
      <c r="H178" s="8"/>
      <c r="I178" s="8"/>
      <c r="J178" s="9"/>
      <c r="K178" s="8"/>
      <c r="L178" s="8"/>
      <c r="M178" s="8"/>
      <c r="N178" s="9"/>
      <c r="O178" s="9"/>
      <c r="P178" s="8"/>
    </row>
    <row r="179" spans="3:17" ht="15">
      <c r="H179" s="455" t="s">
        <v>1</v>
      </c>
      <c r="I179" s="455"/>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56" t="s">
        <v>22</v>
      </c>
      <c r="G197" s="456"/>
      <c r="H197" s="456"/>
      <c r="I197" s="456"/>
    </row>
    <row r="198" spans="6:19" ht="18">
      <c r="F198" s="457" t="s">
        <v>23</v>
      </c>
      <c r="G198" s="457"/>
      <c r="H198" s="457"/>
      <c r="I198" s="29">
        <v>20</v>
      </c>
      <c r="O198" s="30"/>
    </row>
    <row r="199" spans="6:19" ht="15">
      <c r="F199" s="458" t="s">
        <v>24</v>
      </c>
      <c r="G199" s="458"/>
      <c r="H199" s="458"/>
      <c r="I199" s="29">
        <f>0.7*I198/10</f>
        <v>1.4</v>
      </c>
    </row>
    <row r="200" spans="6:19" ht="15">
      <c r="F200" s="458" t="s">
        <v>25</v>
      </c>
      <c r="G200" s="458"/>
      <c r="H200" s="458"/>
      <c r="I200" s="29">
        <v>2</v>
      </c>
    </row>
    <row r="201" spans="6:19" ht="15">
      <c r="F201" s="458" t="s">
        <v>26</v>
      </c>
      <c r="G201" s="458"/>
      <c r="H201" s="458"/>
      <c r="I201" s="29">
        <v>1</v>
      </c>
    </row>
    <row r="202" spans="6:19" ht="15">
      <c r="F202" s="458" t="s">
        <v>27</v>
      </c>
      <c r="G202" s="458"/>
      <c r="H202" s="458"/>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55" t="s">
        <v>1</v>
      </c>
      <c r="I219" s="455"/>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56" t="s">
        <v>22</v>
      </c>
      <c r="G237" s="456"/>
      <c r="H237" s="456"/>
      <c r="I237" s="456"/>
    </row>
    <row r="238" spans="6:19" ht="18">
      <c r="F238" s="457" t="s">
        <v>23</v>
      </c>
      <c r="G238" s="457"/>
      <c r="H238" s="457"/>
      <c r="I238" s="29">
        <v>20</v>
      </c>
      <c r="O238" s="30"/>
      <c r="P238" s="41" t="s">
        <v>47</v>
      </c>
      <c r="Q238" s="41"/>
      <c r="R238" s="42">
        <f>P235</f>
        <v>643.01035679999995</v>
      </c>
      <c r="S238" s="383" t="s">
        <v>42</v>
      </c>
    </row>
    <row r="239" spans="6:19" ht="15">
      <c r="F239" s="458" t="s">
        <v>24</v>
      </c>
      <c r="G239" s="458"/>
      <c r="H239" s="458"/>
      <c r="I239" s="29">
        <f>0.7*I238/10</f>
        <v>1.4</v>
      </c>
    </row>
    <row r="240" spans="6:19" ht="15">
      <c r="F240" s="458" t="s">
        <v>25</v>
      </c>
      <c r="G240" s="458"/>
      <c r="H240" s="458"/>
      <c r="I240" s="29">
        <v>2</v>
      </c>
    </row>
    <row r="241" spans="3:20" ht="15">
      <c r="F241" s="458" t="s">
        <v>26</v>
      </c>
      <c r="G241" s="458"/>
      <c r="H241" s="458"/>
      <c r="I241" s="29">
        <v>20</v>
      </c>
    </row>
    <row r="242" spans="3:20" ht="15">
      <c r="F242" s="458" t="s">
        <v>27</v>
      </c>
      <c r="G242" s="458"/>
      <c r="H242" s="458"/>
      <c r="I242" s="29">
        <v>8</v>
      </c>
    </row>
    <row r="243" spans="3:20" ht="15"/>
    <row r="246" spans="3:20" ht="15">
      <c r="C246" s="6" t="s">
        <v>48</v>
      </c>
      <c r="D246" s="6"/>
      <c r="E246" s="6"/>
      <c r="F246" s="8"/>
      <c r="G246" s="8"/>
      <c r="H246" s="8"/>
      <c r="I246" s="8"/>
      <c r="J246" s="9"/>
      <c r="K246" s="8"/>
      <c r="L246" s="8"/>
      <c r="M246" s="8"/>
      <c r="N246" s="9"/>
      <c r="O246" s="9"/>
      <c r="P246" s="8"/>
    </row>
    <row r="247" spans="3:20" ht="15">
      <c r="H247" s="455" t="s">
        <v>1</v>
      </c>
      <c r="I247" s="455"/>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56" t="s">
        <v>22</v>
      </c>
      <c r="G265" s="456"/>
      <c r="H265" s="456"/>
      <c r="I265" s="456"/>
    </row>
    <row r="266" spans="6:19" ht="18">
      <c r="F266" s="457" t="s">
        <v>23</v>
      </c>
      <c r="G266" s="457"/>
      <c r="H266" s="457"/>
      <c r="I266" s="29">
        <v>20</v>
      </c>
      <c r="O266" s="30"/>
    </row>
    <row r="267" spans="6:19" ht="15">
      <c r="F267" s="458" t="s">
        <v>24</v>
      </c>
      <c r="G267" s="458"/>
      <c r="H267" s="458"/>
      <c r="I267" s="29">
        <f>0.7*I266/10</f>
        <v>1.4</v>
      </c>
    </row>
    <row r="268" spans="6:19" ht="15">
      <c r="F268" s="458" t="s">
        <v>25</v>
      </c>
      <c r="G268" s="458"/>
      <c r="H268" s="458"/>
      <c r="I268" s="29">
        <v>2</v>
      </c>
    </row>
    <row r="269" spans="6:19" ht="15">
      <c r="F269" s="458" t="s">
        <v>63</v>
      </c>
      <c r="G269" s="458"/>
      <c r="H269" s="458"/>
      <c r="I269" s="70">
        <v>6</v>
      </c>
    </row>
    <row r="270" spans="6:19" ht="15">
      <c r="F270" s="458" t="s">
        <v>71</v>
      </c>
      <c r="G270" s="458"/>
      <c r="H270" s="458"/>
      <c r="I270" s="70">
        <v>4</v>
      </c>
    </row>
    <row r="275" spans="3:20" ht="15">
      <c r="C275" s="6">
        <v>23149</v>
      </c>
      <c r="D275" s="6"/>
      <c r="E275" s="6"/>
      <c r="F275" s="8"/>
      <c r="G275" s="8"/>
      <c r="H275" s="8"/>
      <c r="I275" s="8"/>
      <c r="J275" s="9"/>
      <c r="K275" s="8"/>
      <c r="L275" s="8"/>
      <c r="M275" s="8"/>
      <c r="N275" s="9"/>
      <c r="O275" s="9"/>
      <c r="P275" s="8"/>
    </row>
    <row r="276" spans="3:20" ht="15">
      <c r="H276" s="455" t="s">
        <v>1</v>
      </c>
      <c r="I276" s="455"/>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56" t="s">
        <v>22</v>
      </c>
      <c r="G294" s="456"/>
      <c r="H294" s="456"/>
      <c r="I294" s="456"/>
    </row>
    <row r="295" spans="3:21" ht="18">
      <c r="F295" s="457" t="s">
        <v>23</v>
      </c>
      <c r="G295" s="457"/>
      <c r="H295" s="457"/>
      <c r="I295" s="29">
        <v>20</v>
      </c>
      <c r="O295" s="30"/>
      <c r="P295">
        <f>1030/60</f>
        <v>17.166666666666668</v>
      </c>
      <c r="Q295">
        <f>12+619/60</f>
        <v>22.316666666666666</v>
      </c>
      <c r="R295">
        <f>17.5+22.32-24</f>
        <v>15.82</v>
      </c>
    </row>
    <row r="296" spans="3:21" ht="15">
      <c r="F296" s="458" t="s">
        <v>24</v>
      </c>
      <c r="G296" s="458"/>
      <c r="H296" s="458"/>
      <c r="I296" s="29">
        <f>0.7*I295/10</f>
        <v>1.4</v>
      </c>
      <c r="N296" s="3">
        <f>1.6*3+23.4+143</f>
        <v>171.2</v>
      </c>
    </row>
    <row r="297" spans="3:21" ht="15">
      <c r="F297" s="458" t="s">
        <v>25</v>
      </c>
      <c r="G297" s="458"/>
      <c r="H297" s="458"/>
      <c r="I297" s="29">
        <v>2</v>
      </c>
      <c r="N297" s="3">
        <f>1.6*3+23.4</f>
        <v>28.2</v>
      </c>
      <c r="P297">
        <f>12*13</f>
        <v>156</v>
      </c>
      <c r="Q297">
        <f>15.2+1.6+156</f>
        <v>172.8</v>
      </c>
    </row>
    <row r="298" spans="3:21" ht="15">
      <c r="F298" s="458" t="s">
        <v>63</v>
      </c>
      <c r="G298" s="458"/>
      <c r="H298" s="458"/>
      <c r="I298" s="70">
        <v>6</v>
      </c>
      <c r="P298">
        <f>12-(2+19.5/24)</f>
        <v>9.1875</v>
      </c>
    </row>
    <row r="299" spans="3:21" ht="15">
      <c r="F299" s="458" t="s">
        <v>71</v>
      </c>
      <c r="G299" s="458"/>
      <c r="H299" s="458"/>
      <c r="I299" s="70">
        <v>4</v>
      </c>
    </row>
    <row r="301" spans="3:21" ht="15">
      <c r="C301" s="6">
        <v>23212</v>
      </c>
      <c r="D301" s="6"/>
      <c r="E301" s="6"/>
      <c r="F301" s="8"/>
      <c r="G301" s="8"/>
      <c r="H301" s="8"/>
      <c r="I301" s="8"/>
      <c r="J301" s="9"/>
      <c r="K301" s="8"/>
      <c r="L301" s="8"/>
      <c r="M301" s="8"/>
      <c r="N301" s="9"/>
      <c r="O301" s="9"/>
      <c r="P301" s="8"/>
      <c r="Q301">
        <f>11*13</f>
        <v>143</v>
      </c>
    </row>
    <row r="302" spans="3:21" ht="15">
      <c r="H302" s="455" t="s">
        <v>1</v>
      </c>
      <c r="I302" s="455"/>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56" t="s">
        <v>22</v>
      </c>
      <c r="G320" s="456"/>
      <c r="H320" s="456"/>
      <c r="I320" s="456"/>
    </row>
    <row r="321" spans="3:21" ht="18">
      <c r="F321" s="457" t="s">
        <v>23</v>
      </c>
      <c r="G321" s="457"/>
      <c r="H321" s="457"/>
      <c r="I321" s="29">
        <v>20</v>
      </c>
      <c r="O321" s="30"/>
    </row>
    <row r="322" spans="3:21" ht="15">
      <c r="F322" s="458" t="s">
        <v>24</v>
      </c>
      <c r="G322" s="458"/>
      <c r="H322" s="458"/>
      <c r="I322" s="29">
        <f>0.7*I321/10</f>
        <v>1.4</v>
      </c>
    </row>
    <row r="323" spans="3:21" ht="15">
      <c r="F323" s="458" t="s">
        <v>25</v>
      </c>
      <c r="G323" s="458"/>
      <c r="H323" s="458"/>
      <c r="I323" s="29">
        <v>2</v>
      </c>
    </row>
    <row r="324" spans="3:21" ht="15">
      <c r="F324" s="458" t="s">
        <v>63</v>
      </c>
      <c r="G324" s="458"/>
      <c r="H324" s="458"/>
      <c r="I324" s="70">
        <v>6</v>
      </c>
    </row>
    <row r="325" spans="3:21" ht="15">
      <c r="F325" s="458" t="s">
        <v>71</v>
      </c>
      <c r="G325" s="458"/>
      <c r="H325" s="458"/>
      <c r="I325" s="70">
        <v>4</v>
      </c>
    </row>
    <row r="327" spans="3:21" ht="15">
      <c r="C327" s="6">
        <v>23233</v>
      </c>
      <c r="D327" s="6"/>
      <c r="E327" s="6"/>
      <c r="F327" s="8"/>
      <c r="G327" s="8"/>
      <c r="H327" s="8"/>
      <c r="I327" s="8"/>
      <c r="J327" s="9"/>
      <c r="K327" s="8"/>
      <c r="L327" s="8"/>
      <c r="M327" s="8"/>
      <c r="N327" s="9"/>
      <c r="O327" s="9"/>
      <c r="P327" s="8"/>
      <c r="Q327">
        <f>11*13</f>
        <v>143</v>
      </c>
    </row>
    <row r="328" spans="3:21" ht="15">
      <c r="H328" s="455" t="s">
        <v>1</v>
      </c>
      <c r="I328" s="455"/>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56" t="s">
        <v>22</v>
      </c>
      <c r="G346" s="456"/>
      <c r="H346" s="456"/>
      <c r="I346" s="456"/>
    </row>
    <row r="347" spans="6:19" ht="18">
      <c r="F347" s="457" t="s">
        <v>23</v>
      </c>
      <c r="G347" s="457"/>
      <c r="H347" s="457"/>
      <c r="I347" s="29">
        <v>20</v>
      </c>
      <c r="N347" s="3">
        <f>13*5</f>
        <v>65</v>
      </c>
      <c r="O347" s="30"/>
      <c r="P347">
        <f>26+1.6+78</f>
        <v>105.6</v>
      </c>
    </row>
    <row r="348" spans="6:19" ht="15">
      <c r="F348" s="458" t="s">
        <v>24</v>
      </c>
      <c r="G348" s="458"/>
      <c r="H348" s="458"/>
      <c r="I348" s="29">
        <f>0.7*I347/10</f>
        <v>1.4</v>
      </c>
      <c r="N348" s="3">
        <f>13*6</f>
        <v>78</v>
      </c>
      <c r="P348">
        <f>13*5</f>
        <v>65</v>
      </c>
    </row>
    <row r="349" spans="6:19" ht="15">
      <c r="F349" s="458" t="s">
        <v>25</v>
      </c>
      <c r="G349" s="458"/>
      <c r="H349" s="458"/>
      <c r="I349" s="29">
        <v>2</v>
      </c>
    </row>
    <row r="350" spans="6:19" ht="15">
      <c r="F350" s="458" t="s">
        <v>63</v>
      </c>
      <c r="G350" s="458"/>
      <c r="H350" s="458"/>
      <c r="I350" s="70">
        <v>6</v>
      </c>
    </row>
    <row r="351" spans="6:19" ht="15">
      <c r="F351" s="458" t="s">
        <v>71</v>
      </c>
      <c r="G351" s="458"/>
      <c r="H351" s="458"/>
      <c r="I351" s="70">
        <v>4</v>
      </c>
    </row>
    <row r="354" spans="3:21" ht="15">
      <c r="C354" s="6">
        <v>23245</v>
      </c>
      <c r="D354" s="6"/>
      <c r="E354" s="6"/>
      <c r="F354" s="8"/>
      <c r="G354" s="8"/>
      <c r="H354" s="8"/>
      <c r="I354" s="8"/>
      <c r="J354" s="9"/>
      <c r="K354" s="8"/>
      <c r="L354" s="8"/>
      <c r="M354" s="8"/>
      <c r="N354" s="9"/>
      <c r="O354" s="9"/>
      <c r="P354" s="8"/>
      <c r="Q354">
        <f>11*13</f>
        <v>143</v>
      </c>
    </row>
    <row r="355" spans="3:21" ht="15">
      <c r="H355" s="455" t="s">
        <v>1</v>
      </c>
      <c r="I355" s="455"/>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56" t="s">
        <v>22</v>
      </c>
      <c r="G373" s="456"/>
      <c r="H373" s="456"/>
      <c r="I373" s="456"/>
    </row>
    <row r="374" spans="3:21" ht="18">
      <c r="F374" s="457" t="s">
        <v>23</v>
      </c>
      <c r="G374" s="457"/>
      <c r="H374" s="457"/>
      <c r="I374" s="29">
        <v>20</v>
      </c>
      <c r="N374" s="3">
        <f>13*5</f>
        <v>65</v>
      </c>
      <c r="O374" s="30"/>
      <c r="P374">
        <f>26+1.6+78</f>
        <v>105.6</v>
      </c>
    </row>
    <row r="375" spans="3:21" ht="15">
      <c r="F375" s="458" t="s">
        <v>24</v>
      </c>
      <c r="G375" s="458"/>
      <c r="H375" s="458"/>
      <c r="I375" s="29">
        <f>0.7*I374/10</f>
        <v>1.4</v>
      </c>
      <c r="N375" s="3">
        <f>13*6</f>
        <v>78</v>
      </c>
      <c r="P375">
        <f>13*5</f>
        <v>65</v>
      </c>
    </row>
    <row r="376" spans="3:21" ht="15">
      <c r="F376" s="458" t="s">
        <v>25</v>
      </c>
      <c r="G376" s="458"/>
      <c r="H376" s="458"/>
      <c r="I376" s="29">
        <v>2</v>
      </c>
    </row>
    <row r="377" spans="3:21" ht="15">
      <c r="F377" s="458" t="s">
        <v>63</v>
      </c>
      <c r="G377" s="458"/>
      <c r="H377" s="458"/>
      <c r="I377" s="70">
        <v>6</v>
      </c>
    </row>
    <row r="378" spans="3:21" ht="15">
      <c r="F378" s="458" t="s">
        <v>71</v>
      </c>
      <c r="G378" s="458"/>
      <c r="H378" s="458"/>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55" t="s">
        <v>1</v>
      </c>
      <c r="I383" s="455"/>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56" t="s">
        <v>22</v>
      </c>
      <c r="G401" s="456"/>
      <c r="H401" s="456"/>
      <c r="I401" s="456"/>
    </row>
    <row r="402" spans="3:19" ht="18">
      <c r="F402" s="457" t="s">
        <v>23</v>
      </c>
      <c r="G402" s="457"/>
      <c r="H402" s="457"/>
      <c r="I402" s="29">
        <v>20</v>
      </c>
      <c r="O402" s="30"/>
    </row>
    <row r="403" spans="3:19" ht="15">
      <c r="F403" s="458" t="s">
        <v>24</v>
      </c>
      <c r="G403" s="458"/>
      <c r="H403" s="458"/>
      <c r="I403" s="29">
        <f>0.7*I402/10</f>
        <v>1.4</v>
      </c>
    </row>
    <row r="404" spans="3:19" ht="15">
      <c r="F404" s="458" t="s">
        <v>25</v>
      </c>
      <c r="G404" s="458"/>
      <c r="H404" s="458"/>
      <c r="I404" s="29">
        <v>2</v>
      </c>
    </row>
    <row r="405" spans="3:19" ht="15">
      <c r="F405" s="458" t="s">
        <v>63</v>
      </c>
      <c r="G405" s="458"/>
      <c r="H405" s="458"/>
      <c r="I405" s="70">
        <v>6</v>
      </c>
    </row>
    <row r="406" spans="3:19" ht="15">
      <c r="F406" s="458" t="s">
        <v>71</v>
      </c>
      <c r="G406" s="458"/>
      <c r="H406" s="458"/>
      <c r="I406" s="70">
        <v>4</v>
      </c>
    </row>
    <row r="413" spans="3:19" ht="15">
      <c r="C413" s="6">
        <v>23275</v>
      </c>
      <c r="D413" s="6"/>
      <c r="E413" s="6"/>
      <c r="F413" s="8"/>
      <c r="G413" s="8"/>
      <c r="H413" s="8"/>
      <c r="I413" s="8"/>
      <c r="J413" s="9"/>
      <c r="K413" s="8"/>
      <c r="L413" s="8"/>
      <c r="M413" s="8"/>
      <c r="N413" s="9"/>
      <c r="O413" s="9"/>
      <c r="P413" s="8"/>
      <c r="Q413">
        <f>11*13</f>
        <v>143</v>
      </c>
    </row>
    <row r="414" spans="3:19" ht="15">
      <c r="H414" s="455" t="s">
        <v>1</v>
      </c>
      <c r="I414" s="455"/>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56" t="s">
        <v>22</v>
      </c>
      <c r="G432" s="456"/>
      <c r="H432" s="456"/>
      <c r="I432" s="456"/>
    </row>
    <row r="433" spans="3:21" ht="18">
      <c r="F433" s="457" t="s">
        <v>23</v>
      </c>
      <c r="G433" s="457"/>
      <c r="H433" s="457"/>
      <c r="I433" s="29">
        <v>20</v>
      </c>
      <c r="O433" s="30"/>
    </row>
    <row r="434" spans="3:21" ht="15">
      <c r="F434" s="458" t="s">
        <v>24</v>
      </c>
      <c r="G434" s="458"/>
      <c r="H434" s="458"/>
      <c r="I434" s="29">
        <f>0.7*I433/10</f>
        <v>1.4</v>
      </c>
    </row>
    <row r="435" spans="3:21" ht="15">
      <c r="F435" s="458" t="s">
        <v>25</v>
      </c>
      <c r="G435" s="458"/>
      <c r="H435" s="458"/>
      <c r="I435" s="29">
        <v>2</v>
      </c>
    </row>
    <row r="436" spans="3:21" ht="15">
      <c r="F436" s="458" t="s">
        <v>63</v>
      </c>
      <c r="G436" s="458"/>
      <c r="H436" s="458"/>
      <c r="I436" s="70">
        <v>6</v>
      </c>
    </row>
    <row r="437" spans="3:21" ht="15">
      <c r="F437" s="458" t="s">
        <v>71</v>
      </c>
      <c r="G437" s="458"/>
      <c r="H437" s="458"/>
      <c r="I437" s="70">
        <v>4</v>
      </c>
    </row>
    <row r="442" spans="3:21" ht="15">
      <c r="C442" s="6">
        <v>23296</v>
      </c>
      <c r="D442" s="6"/>
      <c r="E442" s="6"/>
      <c r="F442" s="8"/>
      <c r="G442" s="8"/>
      <c r="H442" s="8"/>
      <c r="I442" s="8"/>
      <c r="J442" s="9"/>
      <c r="K442" s="8"/>
      <c r="L442" s="8"/>
      <c r="M442" s="8"/>
      <c r="N442" s="9"/>
      <c r="O442" s="9"/>
      <c r="P442" s="8"/>
      <c r="Q442">
        <f>11*13</f>
        <v>143</v>
      </c>
    </row>
    <row r="443" spans="3:21" ht="15">
      <c r="H443" s="455" t="s">
        <v>1</v>
      </c>
      <c r="I443" s="455"/>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56" t="s">
        <v>22</v>
      </c>
      <c r="G461" s="456"/>
      <c r="H461" s="456"/>
      <c r="I461" s="456"/>
    </row>
    <row r="462" spans="6:20" ht="18">
      <c r="F462" s="457" t="s">
        <v>23</v>
      </c>
      <c r="G462" s="457"/>
      <c r="H462" s="457"/>
      <c r="I462" s="29">
        <v>20</v>
      </c>
      <c r="O462" s="30"/>
    </row>
    <row r="463" spans="6:20" ht="15">
      <c r="F463" s="458" t="s">
        <v>24</v>
      </c>
      <c r="G463" s="458"/>
      <c r="H463" s="458"/>
      <c r="I463" s="29">
        <f>0.7*I462/10</f>
        <v>1.4</v>
      </c>
    </row>
    <row r="464" spans="6:20" ht="15">
      <c r="F464" s="458" t="s">
        <v>25</v>
      </c>
      <c r="G464" s="458"/>
      <c r="H464" s="458"/>
      <c r="I464" s="29">
        <v>2</v>
      </c>
    </row>
    <row r="465" spans="3:21" ht="15">
      <c r="F465" s="458" t="s">
        <v>63</v>
      </c>
      <c r="G465" s="458"/>
      <c r="H465" s="458"/>
      <c r="I465" s="70">
        <v>6</v>
      </c>
    </row>
    <row r="466" spans="3:21" ht="15">
      <c r="F466" s="458" t="s">
        <v>71</v>
      </c>
      <c r="G466" s="458"/>
      <c r="H466" s="458"/>
      <c r="I466" s="70">
        <v>4</v>
      </c>
    </row>
    <row r="470" spans="3:21" ht="15">
      <c r="C470" s="6">
        <v>23317</v>
      </c>
      <c r="D470" s="6"/>
      <c r="E470" s="6"/>
      <c r="F470" s="8"/>
      <c r="G470" s="8"/>
      <c r="H470" s="8"/>
      <c r="I470" s="8"/>
      <c r="J470" s="9"/>
      <c r="K470" s="8"/>
      <c r="L470" s="8"/>
      <c r="M470" s="8"/>
      <c r="N470" s="9"/>
      <c r="O470" s="9"/>
      <c r="P470" s="8"/>
      <c r="Q470">
        <f>11*13</f>
        <v>143</v>
      </c>
    </row>
    <row r="471" spans="3:21" ht="15">
      <c r="H471" s="455" t="s">
        <v>1</v>
      </c>
      <c r="I471" s="455"/>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56" t="s">
        <v>22</v>
      </c>
      <c r="G489" s="456"/>
      <c r="H489" s="456"/>
      <c r="I489" s="456"/>
    </row>
    <row r="490" spans="6:19" ht="18">
      <c r="F490" s="457" t="s">
        <v>23</v>
      </c>
      <c r="G490" s="457"/>
      <c r="H490" s="457"/>
      <c r="I490" s="29">
        <v>20</v>
      </c>
      <c r="O490" s="30"/>
    </row>
    <row r="491" spans="6:19" ht="15">
      <c r="F491" s="458" t="s">
        <v>24</v>
      </c>
      <c r="G491" s="458"/>
      <c r="H491" s="458"/>
      <c r="I491" s="29">
        <f>0.7*I490/10</f>
        <v>1.4</v>
      </c>
    </row>
    <row r="492" spans="6:19" ht="15">
      <c r="F492" s="458" t="s">
        <v>25</v>
      </c>
      <c r="G492" s="458"/>
      <c r="H492" s="458"/>
      <c r="I492" s="29">
        <v>2</v>
      </c>
    </row>
    <row r="493" spans="6:19" ht="15">
      <c r="F493" s="458" t="s">
        <v>63</v>
      </c>
      <c r="G493" s="458"/>
      <c r="H493" s="458"/>
      <c r="I493" s="70">
        <v>6</v>
      </c>
    </row>
    <row r="494" spans="6:19" ht="15">
      <c r="F494" s="458" t="s">
        <v>71</v>
      </c>
      <c r="G494" s="458"/>
      <c r="H494" s="458"/>
      <c r="I494" s="70">
        <v>4</v>
      </c>
    </row>
    <row r="498" spans="3:21" ht="15">
      <c r="C498" s="6">
        <v>23338</v>
      </c>
      <c r="D498" s="6"/>
      <c r="E498" s="6"/>
      <c r="F498" s="8"/>
      <c r="G498" s="8"/>
      <c r="H498" s="8"/>
      <c r="I498" s="8"/>
      <c r="J498" s="9"/>
      <c r="K498" s="8"/>
      <c r="L498" s="8"/>
      <c r="M498" s="8"/>
      <c r="N498" s="9"/>
      <c r="O498" s="9"/>
      <c r="P498" s="8"/>
      <c r="Q498">
        <f>11*13</f>
        <v>143</v>
      </c>
    </row>
    <row r="499" spans="3:21" ht="15">
      <c r="H499" s="455" t="s">
        <v>1</v>
      </c>
      <c r="I499" s="455"/>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56" t="s">
        <v>22</v>
      </c>
      <c r="G517" s="456"/>
      <c r="H517" s="456"/>
      <c r="I517" s="456"/>
    </row>
    <row r="518" spans="3:19" ht="18">
      <c r="F518" s="457" t="s">
        <v>23</v>
      </c>
      <c r="G518" s="457"/>
      <c r="H518" s="457"/>
      <c r="I518" s="29">
        <v>20</v>
      </c>
      <c r="O518" s="30"/>
    </row>
    <row r="519" spans="3:19" ht="15">
      <c r="F519" s="458" t="s">
        <v>24</v>
      </c>
      <c r="G519" s="458"/>
      <c r="H519" s="458"/>
      <c r="I519" s="29">
        <f>0.7*I518/10</f>
        <v>1.4</v>
      </c>
    </row>
    <row r="520" spans="3:19" ht="15">
      <c r="F520" s="458" t="s">
        <v>25</v>
      </c>
      <c r="G520" s="458"/>
      <c r="H520" s="458"/>
      <c r="I520" s="29">
        <v>2</v>
      </c>
    </row>
    <row r="521" spans="3:19" ht="15">
      <c r="F521" s="458" t="s">
        <v>63</v>
      </c>
      <c r="G521" s="458"/>
      <c r="H521" s="458"/>
      <c r="I521" s="70">
        <v>6</v>
      </c>
    </row>
    <row r="522" spans="3:19" ht="15">
      <c r="F522" s="458" t="s">
        <v>71</v>
      </c>
      <c r="G522" s="458"/>
      <c r="H522" s="458"/>
      <c r="I522" s="70">
        <v>4</v>
      </c>
    </row>
    <row r="527" spans="3:19" ht="15">
      <c r="C527" s="6">
        <v>24015</v>
      </c>
      <c r="D527" s="6"/>
      <c r="E527" s="6"/>
      <c r="F527" s="8"/>
      <c r="G527" s="8"/>
      <c r="H527" s="8"/>
      <c r="I527" s="8"/>
      <c r="J527" s="9"/>
      <c r="K527" s="8"/>
      <c r="L527" s="8"/>
      <c r="M527" s="8"/>
      <c r="N527" s="9"/>
      <c r="O527" s="9"/>
      <c r="P527" s="8"/>
      <c r="Q527">
        <f>11*13</f>
        <v>143</v>
      </c>
    </row>
    <row r="528" spans="3:19" ht="15">
      <c r="H528" s="455" t="s">
        <v>1</v>
      </c>
      <c r="I528" s="455"/>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56" t="s">
        <v>22</v>
      </c>
      <c r="G546" s="456"/>
      <c r="H546" s="456"/>
      <c r="I546" s="456"/>
    </row>
    <row r="547" spans="3:19" ht="18">
      <c r="F547" s="457" t="s">
        <v>23</v>
      </c>
      <c r="G547" s="457"/>
      <c r="H547" s="457"/>
      <c r="I547" s="29">
        <v>20</v>
      </c>
      <c r="O547" s="30"/>
    </row>
    <row r="548" spans="3:19" ht="15">
      <c r="F548" s="458" t="s">
        <v>24</v>
      </c>
      <c r="G548" s="458"/>
      <c r="H548" s="458"/>
      <c r="I548" s="29">
        <f>0.7*I547/10</f>
        <v>1.4</v>
      </c>
    </row>
    <row r="549" spans="3:19" ht="15">
      <c r="F549" s="458" t="s">
        <v>25</v>
      </c>
      <c r="G549" s="458"/>
      <c r="H549" s="458"/>
      <c r="I549" s="29">
        <v>2</v>
      </c>
    </row>
    <row r="550" spans="3:19" ht="15">
      <c r="F550" s="458" t="s">
        <v>63</v>
      </c>
      <c r="G550" s="458"/>
      <c r="H550" s="458"/>
      <c r="I550" s="70">
        <v>6</v>
      </c>
    </row>
    <row r="551" spans="3:19" ht="15">
      <c r="F551" s="458" t="s">
        <v>71</v>
      </c>
      <c r="G551" s="458"/>
      <c r="H551" s="458"/>
      <c r="I551" s="70">
        <v>4</v>
      </c>
    </row>
    <row r="557" spans="3:19" ht="15">
      <c r="C557" s="6">
        <v>24036</v>
      </c>
      <c r="D557" s="6"/>
      <c r="E557" s="6"/>
      <c r="F557" s="8"/>
      <c r="G557" s="8"/>
      <c r="H557" s="8"/>
      <c r="I557" s="8"/>
      <c r="J557" s="9"/>
      <c r="K557" s="8"/>
      <c r="L557" s="8"/>
      <c r="M557" s="8"/>
      <c r="N557" s="9"/>
      <c r="O557" s="9"/>
      <c r="P557" s="8"/>
      <c r="Q557">
        <f>11*13</f>
        <v>143</v>
      </c>
    </row>
    <row r="558" spans="3:19" ht="15">
      <c r="H558" s="455" t="s">
        <v>1</v>
      </c>
      <c r="I558" s="455"/>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56" t="s">
        <v>22</v>
      </c>
      <c r="G576" s="456"/>
      <c r="H576" s="456"/>
      <c r="I576" s="456"/>
    </row>
    <row r="577" spans="3:20" ht="18">
      <c r="F577" s="457" t="s">
        <v>23</v>
      </c>
      <c r="G577" s="457"/>
      <c r="H577" s="457"/>
      <c r="I577" s="29">
        <v>20</v>
      </c>
      <c r="O577" s="30"/>
    </row>
    <row r="578" spans="3:20" ht="15">
      <c r="F578" s="458" t="s">
        <v>24</v>
      </c>
      <c r="G578" s="458"/>
      <c r="H578" s="458"/>
      <c r="I578" s="29">
        <f>0.7*I577/10</f>
        <v>1.4</v>
      </c>
    </row>
    <row r="579" spans="3:20" ht="15">
      <c r="F579" s="458" t="s">
        <v>25</v>
      </c>
      <c r="G579" s="458"/>
      <c r="H579" s="458"/>
      <c r="I579" s="29">
        <v>2</v>
      </c>
    </row>
    <row r="580" spans="3:20" ht="15">
      <c r="F580" s="458" t="s">
        <v>63</v>
      </c>
      <c r="G580" s="458"/>
      <c r="H580" s="458"/>
      <c r="I580" s="70">
        <v>6</v>
      </c>
    </row>
    <row r="581" spans="3:20" ht="15">
      <c r="F581" s="458" t="s">
        <v>71</v>
      </c>
      <c r="G581" s="458"/>
      <c r="H581" s="458"/>
      <c r="I581" s="70">
        <v>4</v>
      </c>
    </row>
    <row r="587" spans="3:20" ht="15">
      <c r="C587" s="6">
        <v>24057</v>
      </c>
      <c r="D587" s="6"/>
      <c r="E587" s="6"/>
      <c r="F587" s="8"/>
      <c r="G587" s="8"/>
      <c r="H587" s="8"/>
      <c r="I587" s="8"/>
      <c r="J587" s="9"/>
      <c r="K587" s="8"/>
      <c r="L587" s="8"/>
      <c r="M587" s="8"/>
      <c r="N587" s="9"/>
      <c r="O587" s="9"/>
      <c r="P587" s="8"/>
      <c r="Q587">
        <f>11*13</f>
        <v>143</v>
      </c>
    </row>
    <row r="588" spans="3:20" ht="15">
      <c r="H588" s="455" t="s">
        <v>1</v>
      </c>
      <c r="I588" s="455"/>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56" t="s">
        <v>22</v>
      </c>
      <c r="G606" s="456"/>
      <c r="H606" s="456"/>
      <c r="I606" s="456"/>
    </row>
    <row r="607" spans="6:21" ht="18">
      <c r="F607" s="457" t="s">
        <v>23</v>
      </c>
      <c r="G607" s="457"/>
      <c r="H607" s="457"/>
      <c r="I607" s="29">
        <v>20</v>
      </c>
      <c r="O607" s="30"/>
    </row>
    <row r="608" spans="6:21" ht="15">
      <c r="F608" s="458" t="s">
        <v>24</v>
      </c>
      <c r="G608" s="458"/>
      <c r="H608" s="458"/>
      <c r="I608" s="29">
        <f>0.7*I607/10</f>
        <v>1.4</v>
      </c>
      <c r="R608">
        <v>78</v>
      </c>
    </row>
    <row r="609" spans="3:23" ht="15">
      <c r="F609" s="458" t="s">
        <v>25</v>
      </c>
      <c r="G609" s="458"/>
      <c r="H609" s="458"/>
      <c r="I609" s="29">
        <v>2</v>
      </c>
      <c r="P609" t="s">
        <v>1941</v>
      </c>
      <c r="R609">
        <f>10*2.3</f>
        <v>23</v>
      </c>
      <c r="S609">
        <f>R609+R608</f>
        <v>101</v>
      </c>
    </row>
    <row r="610" spans="3:23" ht="15">
      <c r="F610" s="458" t="s">
        <v>63</v>
      </c>
      <c r="G610" s="458"/>
      <c r="H610" s="458"/>
      <c r="I610" s="70">
        <v>6</v>
      </c>
      <c r="P610">
        <f>366-277.25+83</f>
        <v>171.75</v>
      </c>
      <c r="R610">
        <f>366-276.8</f>
        <v>89.199999999999989</v>
      </c>
    </row>
    <row r="611" spans="3:23" ht="15">
      <c r="F611" s="458" t="s">
        <v>71</v>
      </c>
      <c r="G611" s="458"/>
      <c r="H611" s="458"/>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55" t="s">
        <v>1</v>
      </c>
      <c r="I615" s="455"/>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56" t="s">
        <v>22</v>
      </c>
      <c r="G633" s="456"/>
      <c r="H633" s="456"/>
      <c r="I633" s="456"/>
    </row>
    <row r="634" spans="6:21" ht="18">
      <c r="F634" s="457" t="s">
        <v>23</v>
      </c>
      <c r="G634" s="457"/>
      <c r="H634" s="457"/>
      <c r="I634" s="29">
        <v>20</v>
      </c>
      <c r="O634" s="30"/>
    </row>
    <row r="635" spans="6:21" ht="15">
      <c r="F635" s="458" t="s">
        <v>24</v>
      </c>
      <c r="G635" s="458"/>
      <c r="H635" s="458"/>
      <c r="I635" s="29">
        <f>0.7*I634/10</f>
        <v>1.4</v>
      </c>
    </row>
    <row r="636" spans="6:21" ht="15">
      <c r="F636" s="458" t="s">
        <v>25</v>
      </c>
      <c r="G636" s="458"/>
      <c r="H636" s="458"/>
      <c r="I636" s="29">
        <v>2</v>
      </c>
    </row>
    <row r="637" spans="6:21" ht="15">
      <c r="F637" s="458" t="s">
        <v>63</v>
      </c>
      <c r="G637" s="458"/>
      <c r="H637" s="458"/>
      <c r="I637" s="70">
        <v>6</v>
      </c>
    </row>
    <row r="638" spans="6:21" ht="15">
      <c r="F638" s="458" t="s">
        <v>71</v>
      </c>
      <c r="G638" s="458"/>
      <c r="H638" s="458"/>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lorScale" priority="31">
      <colorScale>
        <cfvo type="min"/>
        <cfvo type="percentile" val="50"/>
        <cfvo type="max"/>
        <color rgb="FFF8696B"/>
        <color rgb="FFFFEB84"/>
        <color rgb="FF63BE7B"/>
      </colorScale>
    </cfRule>
    <cfRule type="containsText" dxfId="21" priority="30" operator="containsText" text="error">
      <formula>NOT(ISERROR(SEARCH("error",K10)))</formula>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lorScale" priority="43">
      <colorScale>
        <cfvo type="min"/>
        <cfvo type="percentile" val="50"/>
        <cfvo type="max"/>
        <color rgb="FFF8696B"/>
        <color rgb="FFFFEB84"/>
        <color rgb="FF63BE7B"/>
      </colorScale>
    </cfRule>
    <cfRule type="containsText" dxfId="19" priority="42" operator="containsText" text="error">
      <formula>NOT(ISERROR(SEARCH("error",K68)))</formula>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lorScale" priority="39">
      <colorScale>
        <cfvo type="min"/>
        <cfvo type="percentile" val="50"/>
        <cfvo type="max"/>
        <color rgb="FFF8696B"/>
        <color rgb="FFFFEB84"/>
        <color rgb="FF63BE7B"/>
      </colorScale>
    </cfRule>
    <cfRule type="containsText" dxfId="17" priority="38" operator="containsText" text="error">
      <formula>NOT(ISERROR(SEARCH("error",K127)))</formula>
    </cfRule>
  </conditionalFormatting>
  <conditionalFormatting sqref="K157">
    <cfRule type="colorScale" priority="37">
      <colorScale>
        <cfvo type="min"/>
        <cfvo type="percentile" val="50"/>
        <cfvo type="max"/>
        <color rgb="FFF8696B"/>
        <color rgb="FFFFEB84"/>
        <color rgb="FF63BE7B"/>
      </colorScale>
    </cfRule>
    <cfRule type="containsText" dxfId="16" priority="36" operator="containsText" text="error">
      <formula>NOT(ISERROR(SEARCH("error",K157)))</formula>
    </cfRule>
  </conditionalFormatting>
  <conditionalFormatting sqref="K186">
    <cfRule type="colorScale" priority="33">
      <colorScale>
        <cfvo type="min"/>
        <cfvo type="percentile" val="50"/>
        <cfvo type="max"/>
        <color rgb="FFF8696B"/>
        <color rgb="FFFFEB84"/>
        <color rgb="FF63BE7B"/>
      </colorScale>
    </cfRule>
    <cfRule type="containsText" dxfId="15" priority="32" operator="containsText" text="error">
      <formula>NOT(ISERROR(SEARCH("error",K186)))</formula>
    </cfRule>
  </conditionalFormatting>
  <conditionalFormatting sqref="K226">
    <cfRule type="colorScale" priority="35">
      <colorScale>
        <cfvo type="min"/>
        <cfvo type="percentile" val="50"/>
        <cfvo type="max"/>
        <color rgb="FFF8696B"/>
        <color rgb="FFFFEB84"/>
        <color rgb="FF63BE7B"/>
      </colorScale>
    </cfRule>
    <cfRule type="containsText" dxfId="14" priority="34" operator="containsText" text="error">
      <formula>NOT(ISERROR(SEARCH("error",K226)))</formula>
    </cfRule>
  </conditionalFormatting>
  <conditionalFormatting sqref="K254">
    <cfRule type="colorScale" priority="29">
      <colorScale>
        <cfvo type="min"/>
        <cfvo type="percentile" val="50"/>
        <cfvo type="max"/>
        <color rgb="FFF8696B"/>
        <color rgb="FFFFEB84"/>
        <color rgb="FF63BE7B"/>
      </colorScale>
    </cfRule>
    <cfRule type="containsText" dxfId="13" priority="28" operator="containsText" text="error">
      <formula>NOT(ISERROR(SEARCH("error",K254)))</formula>
    </cfRule>
  </conditionalFormatting>
  <conditionalFormatting sqref="K283">
    <cfRule type="colorScale" priority="27">
      <colorScale>
        <cfvo type="min"/>
        <cfvo type="percentile" val="50"/>
        <cfvo type="max"/>
        <color rgb="FFF8696B"/>
        <color rgb="FFFFEB84"/>
        <color rgb="FF63BE7B"/>
      </colorScale>
    </cfRule>
    <cfRule type="containsText" dxfId="12" priority="26" operator="containsText" text="error">
      <formula>NOT(ISERROR(SEARCH("error",K283)))</formula>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lorScale" priority="19">
      <colorScale>
        <cfvo type="min"/>
        <cfvo type="percentile" val="50"/>
        <cfvo type="max"/>
        <color rgb="FFF8696B"/>
        <color rgb="FFFFEB84"/>
        <color rgb="FF63BE7B"/>
      </colorScale>
    </cfRule>
    <cfRule type="containsText" dxfId="10" priority="18" operator="containsText" text="error">
      <formula>NOT(ISERROR(SEARCH("error",K335)))</formula>
    </cfRule>
  </conditionalFormatting>
  <conditionalFormatting sqref="K362">
    <cfRule type="colorScale" priority="17">
      <colorScale>
        <cfvo type="min"/>
        <cfvo type="percentile" val="50"/>
        <cfvo type="max"/>
        <color rgb="FFF8696B"/>
        <color rgb="FFFFEB84"/>
        <color rgb="FF63BE7B"/>
      </colorScale>
    </cfRule>
    <cfRule type="containsText" dxfId="9" priority="16" operator="containsText" text="error">
      <formula>NOT(ISERROR(SEARCH("error",K362)))</formula>
    </cfRule>
  </conditionalFormatting>
  <conditionalFormatting sqref="K390">
    <cfRule type="colorScale" priority="23">
      <colorScale>
        <cfvo type="min"/>
        <cfvo type="percentile" val="50"/>
        <cfvo type="max"/>
        <color rgb="FFF8696B"/>
        <color rgb="FFFFEB84"/>
        <color rgb="FF63BE7B"/>
      </colorScale>
    </cfRule>
    <cfRule type="containsText" dxfId="8" priority="22" operator="containsText" text="error">
      <formula>NOT(ISERROR(SEARCH("error",K390)))</formula>
    </cfRule>
  </conditionalFormatting>
  <conditionalFormatting sqref="K421">
    <cfRule type="colorScale" priority="21">
      <colorScale>
        <cfvo type="min"/>
        <cfvo type="percentile" val="50"/>
        <cfvo type="max"/>
        <color rgb="FFF8696B"/>
        <color rgb="FFFFEB84"/>
        <color rgb="FF63BE7B"/>
      </colorScale>
    </cfRule>
    <cfRule type="containsText" dxfId="7" priority="20" operator="containsText" text="error">
      <formula>NOT(ISERROR(SEARCH("error",K421)))</formula>
    </cfRule>
  </conditionalFormatting>
  <conditionalFormatting sqref="K450">
    <cfRule type="colorScale" priority="15">
      <colorScale>
        <cfvo type="min"/>
        <cfvo type="percentile" val="50"/>
        <cfvo type="max"/>
        <color rgb="FFF8696B"/>
        <color rgb="FFFFEB84"/>
        <color rgb="FF63BE7B"/>
      </colorScale>
    </cfRule>
    <cfRule type="containsText" dxfId="6" priority="14" operator="containsText" text="error">
      <formula>NOT(ISERROR(SEARCH("error",K450)))</formula>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lorScale" priority="11">
      <colorScale>
        <cfvo type="min"/>
        <cfvo type="percentile" val="50"/>
        <cfvo type="max"/>
        <color rgb="FFF8696B"/>
        <color rgb="FFFFEB84"/>
        <color rgb="FF63BE7B"/>
      </colorScale>
    </cfRule>
    <cfRule type="containsText" dxfId="4" priority="10" operator="containsText" text="error">
      <formula>NOT(ISERROR(SEARCH("error",K506)))</formula>
    </cfRule>
  </conditionalFormatting>
  <conditionalFormatting sqref="K535">
    <cfRule type="colorScale" priority="9">
      <colorScale>
        <cfvo type="min"/>
        <cfvo type="percentile" val="50"/>
        <cfvo type="max"/>
        <color rgb="FFF8696B"/>
        <color rgb="FFFFEB84"/>
        <color rgb="FF63BE7B"/>
      </colorScale>
    </cfRule>
    <cfRule type="containsText" dxfId="3" priority="8" operator="containsText" text="error">
      <formula>NOT(ISERROR(SEARCH("error",K535)))</formula>
    </cfRule>
  </conditionalFormatting>
  <conditionalFormatting sqref="K565">
    <cfRule type="colorScale" priority="7">
      <colorScale>
        <cfvo type="min"/>
        <cfvo type="percentile" val="50"/>
        <cfvo type="max"/>
        <color rgb="FFF8696B"/>
        <color rgb="FFFFEB84"/>
        <color rgb="FF63BE7B"/>
      </colorScale>
    </cfRule>
    <cfRule type="containsText" dxfId="2" priority="6" operator="containsText" text="error">
      <formula>NOT(ISERROR(SEARCH("error",K565)))</formula>
    </cfRule>
  </conditionalFormatting>
  <conditionalFormatting sqref="K595">
    <cfRule type="colorScale" priority="5">
      <colorScale>
        <cfvo type="min"/>
        <cfvo type="percentile" val="50"/>
        <cfvo type="max"/>
        <color rgb="FFF8696B"/>
        <color rgb="FFFFEB84"/>
        <color rgb="FF63BE7B"/>
      </colorScale>
    </cfRule>
    <cfRule type="containsText" dxfId="1" priority="4" operator="containsText" text="error">
      <formula>NOT(ISERROR(SEARCH("error",K595)))</formula>
    </cfRule>
  </conditionalFormatting>
  <conditionalFormatting sqref="K622">
    <cfRule type="colorScale" priority="3">
      <colorScale>
        <cfvo type="min"/>
        <cfvo type="percentile" val="50"/>
        <cfvo type="max"/>
        <color rgb="FFF8696B"/>
        <color rgb="FFFFEB84"/>
        <color rgb="FF63BE7B"/>
      </colorScale>
    </cfRule>
    <cfRule type="containsText" dxfId="0" priority="2" operator="containsText" text="error">
      <formula>NOT(ISERROR(SEARCH("error",K622)))</formula>
    </cfRule>
  </conditionalFormatting>
  <pageMargins left="0.7" right="0.7" top="0.75" bottom="0.75" header="0.511811023622047" footer="0.511811023622047"/>
  <pageSetup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1942</v>
      </c>
      <c r="B1" s="153" t="s">
        <v>1943</v>
      </c>
      <c r="C1" s="153">
        <v>589408807</v>
      </c>
      <c r="D1" s="153">
        <v>1</v>
      </c>
      <c r="E1" s="153" t="s">
        <v>373</v>
      </c>
      <c r="F1" s="153" t="s">
        <v>1944</v>
      </c>
      <c r="G1" s="153" t="s">
        <v>375</v>
      </c>
      <c r="H1" s="153"/>
      <c r="I1" s="153" t="s">
        <v>1945</v>
      </c>
    </row>
    <row r="2" spans="1:9" ht="13.5" customHeight="1">
      <c r="A2" s="153" t="s">
        <v>1946</v>
      </c>
      <c r="B2" s="153" t="s">
        <v>1947</v>
      </c>
      <c r="C2" s="153">
        <v>589408810</v>
      </c>
      <c r="D2" s="153">
        <v>1</v>
      </c>
      <c r="E2" s="153" t="s">
        <v>373</v>
      </c>
      <c r="F2" s="153" t="s">
        <v>1944</v>
      </c>
      <c r="G2" s="153" t="s">
        <v>382</v>
      </c>
      <c r="H2" s="153"/>
      <c r="I2" s="153" t="s">
        <v>1945</v>
      </c>
    </row>
    <row r="3" spans="1:9" ht="13.5" customHeight="1">
      <c r="A3" s="79" t="s">
        <v>1948</v>
      </c>
      <c r="B3" s="79" t="s">
        <v>1949</v>
      </c>
      <c r="C3" s="79">
        <v>589408830</v>
      </c>
      <c r="D3" s="79">
        <v>1</v>
      </c>
      <c r="E3" s="79" t="s">
        <v>373</v>
      </c>
      <c r="F3" s="79" t="s">
        <v>1950</v>
      </c>
      <c r="G3" s="79" t="s">
        <v>389</v>
      </c>
      <c r="H3" s="79"/>
      <c r="I3" s="79"/>
    </row>
    <row r="4" spans="1:9" ht="13.5" customHeight="1">
      <c r="A4" s="79" t="s">
        <v>1951</v>
      </c>
      <c r="B4" s="79" t="s">
        <v>1952</v>
      </c>
      <c r="C4" s="79">
        <v>589408833</v>
      </c>
      <c r="D4" s="79">
        <v>1</v>
      </c>
      <c r="E4" s="79" t="s">
        <v>373</v>
      </c>
      <c r="F4" s="79" t="s">
        <v>1950</v>
      </c>
      <c r="G4" s="79" t="s">
        <v>395</v>
      </c>
      <c r="H4" s="79"/>
      <c r="I4" s="79"/>
    </row>
    <row r="5" spans="1:9" ht="13.5" customHeight="1">
      <c r="A5" s="153" t="s">
        <v>1953</v>
      </c>
      <c r="B5" s="153" t="s">
        <v>1954</v>
      </c>
      <c r="C5" s="153">
        <v>589445947</v>
      </c>
      <c r="D5" s="153">
        <v>1</v>
      </c>
      <c r="E5" s="153" t="s">
        <v>373</v>
      </c>
      <c r="F5" s="153" t="s">
        <v>1955</v>
      </c>
      <c r="G5" s="153" t="s">
        <v>375</v>
      </c>
      <c r="H5" s="153"/>
      <c r="I5" s="153" t="s">
        <v>1956</v>
      </c>
    </row>
    <row r="6" spans="1:9" ht="13.5" customHeight="1">
      <c r="A6" s="153" t="s">
        <v>1957</v>
      </c>
      <c r="B6" s="153" t="s">
        <v>1958</v>
      </c>
      <c r="C6" s="153">
        <v>589445950</v>
      </c>
      <c r="D6" s="153">
        <v>1</v>
      </c>
      <c r="E6" s="153" t="s">
        <v>373</v>
      </c>
      <c r="F6" s="153" t="s">
        <v>1955</v>
      </c>
      <c r="G6" s="153" t="s">
        <v>382</v>
      </c>
      <c r="H6" s="153"/>
      <c r="I6" s="153" t="s">
        <v>1956</v>
      </c>
    </row>
    <row r="7" spans="1:9" ht="13.5" customHeight="1">
      <c r="A7" s="79" t="s">
        <v>1959</v>
      </c>
      <c r="B7" s="79" t="s">
        <v>1960</v>
      </c>
      <c r="C7" s="79">
        <v>589445970</v>
      </c>
      <c r="D7" s="79">
        <v>1</v>
      </c>
      <c r="E7" s="79" t="s">
        <v>373</v>
      </c>
      <c r="F7" s="79" t="s">
        <v>1961</v>
      </c>
      <c r="G7" s="79" t="s">
        <v>389</v>
      </c>
      <c r="H7" s="79"/>
      <c r="I7" s="79"/>
    </row>
    <row r="8" spans="1:9" ht="13.5" customHeight="1">
      <c r="A8" s="79" t="s">
        <v>1962</v>
      </c>
      <c r="B8" s="79" t="s">
        <v>1963</v>
      </c>
      <c r="C8" s="79">
        <v>589445973</v>
      </c>
      <c r="D8" s="79">
        <v>1</v>
      </c>
      <c r="E8" s="79" t="s">
        <v>373</v>
      </c>
      <c r="F8" s="79" t="s">
        <v>1961</v>
      </c>
      <c r="G8" s="79" t="s">
        <v>395</v>
      </c>
      <c r="H8" s="79"/>
      <c r="I8" s="79"/>
    </row>
    <row r="9" spans="1:9" ht="13.5" customHeight="1">
      <c r="A9" s="79" t="s">
        <v>1964</v>
      </c>
      <c r="B9" s="79" t="s">
        <v>1965</v>
      </c>
      <c r="C9" s="79">
        <v>589456411</v>
      </c>
      <c r="D9" s="79">
        <v>1</v>
      </c>
      <c r="E9" s="79" t="s">
        <v>373</v>
      </c>
      <c r="F9" s="79" t="s">
        <v>1966</v>
      </c>
      <c r="G9" s="79" t="s">
        <v>375</v>
      </c>
      <c r="H9" s="79"/>
      <c r="I9" s="79" t="s">
        <v>1967</v>
      </c>
    </row>
    <row r="10" spans="1:9" ht="13.5" customHeight="1">
      <c r="A10" s="79" t="s">
        <v>1968</v>
      </c>
      <c r="B10" s="79" t="s">
        <v>1969</v>
      </c>
      <c r="C10" s="79">
        <v>589456414</v>
      </c>
      <c r="D10" s="79">
        <v>1</v>
      </c>
      <c r="E10" s="79" t="s">
        <v>373</v>
      </c>
      <c r="F10" s="79" t="s">
        <v>1966</v>
      </c>
      <c r="G10" s="79" t="s">
        <v>375</v>
      </c>
      <c r="H10" s="79"/>
      <c r="I10" s="79" t="s">
        <v>1967</v>
      </c>
    </row>
    <row r="11" spans="1:9" ht="13.5" customHeight="1">
      <c r="A11" s="79" t="s">
        <v>1970</v>
      </c>
      <c r="B11" s="79" t="s">
        <v>1971</v>
      </c>
      <c r="C11" s="79">
        <v>589456465</v>
      </c>
      <c r="D11" s="79">
        <v>1</v>
      </c>
      <c r="E11" s="79" t="s">
        <v>373</v>
      </c>
      <c r="F11" s="79" t="s">
        <v>1966</v>
      </c>
      <c r="G11" s="79" t="s">
        <v>382</v>
      </c>
      <c r="H11" s="79"/>
      <c r="I11" s="79" t="s">
        <v>1967</v>
      </c>
    </row>
    <row r="12" spans="1:9" ht="13.5" customHeight="1">
      <c r="A12" s="79" t="s">
        <v>1972</v>
      </c>
      <c r="B12" s="79" t="s">
        <v>1973</v>
      </c>
      <c r="C12" s="79">
        <v>589456468</v>
      </c>
      <c r="D12" s="79">
        <v>1</v>
      </c>
      <c r="E12" s="79" t="s">
        <v>373</v>
      </c>
      <c r="F12" s="79" t="s">
        <v>1966</v>
      </c>
      <c r="G12" s="79" t="s">
        <v>382</v>
      </c>
      <c r="H12" s="79"/>
      <c r="I12" s="79" t="s">
        <v>1967</v>
      </c>
    </row>
    <row r="13" spans="1:9" ht="13.5" customHeight="1">
      <c r="A13" s="79" t="s">
        <v>1974</v>
      </c>
      <c r="B13" s="79" t="s">
        <v>1975</v>
      </c>
      <c r="C13" s="79">
        <v>589456579</v>
      </c>
      <c r="D13" s="79">
        <v>1</v>
      </c>
      <c r="E13" s="79" t="s">
        <v>373</v>
      </c>
      <c r="F13" s="79" t="s">
        <v>1966</v>
      </c>
      <c r="G13" s="79" t="s">
        <v>389</v>
      </c>
      <c r="H13" s="79"/>
      <c r="I13" s="79" t="s">
        <v>1967</v>
      </c>
    </row>
    <row r="14" spans="1:9" ht="13.5" customHeight="1">
      <c r="A14" s="79" t="s">
        <v>1976</v>
      </c>
      <c r="B14" s="79" t="s">
        <v>1977</v>
      </c>
      <c r="C14" s="79">
        <v>589456582</v>
      </c>
      <c r="D14" s="79">
        <v>1</v>
      </c>
      <c r="E14" s="79" t="s">
        <v>373</v>
      </c>
      <c r="F14" s="79" t="s">
        <v>1966</v>
      </c>
      <c r="G14" s="79" t="s">
        <v>389</v>
      </c>
      <c r="H14" s="79"/>
      <c r="I14" s="79" t="s">
        <v>1967</v>
      </c>
    </row>
    <row r="15" spans="1:9" ht="15">
      <c r="A15" s="79" t="s">
        <v>1978</v>
      </c>
      <c r="B15" s="79" t="s">
        <v>1979</v>
      </c>
      <c r="C15" s="79">
        <v>589456585</v>
      </c>
      <c r="D15" s="79">
        <v>1</v>
      </c>
      <c r="E15" s="79" t="s">
        <v>373</v>
      </c>
      <c r="F15" s="79" t="s">
        <v>1966</v>
      </c>
      <c r="G15" s="79" t="s">
        <v>395</v>
      </c>
      <c r="H15" s="79"/>
      <c r="I15" s="79" t="s">
        <v>1967</v>
      </c>
    </row>
    <row r="16" spans="1:9" ht="15">
      <c r="A16" s="79" t="s">
        <v>1980</v>
      </c>
      <c r="B16" s="79" t="s">
        <v>1981</v>
      </c>
      <c r="C16" s="79">
        <v>589456588</v>
      </c>
      <c r="D16" s="79">
        <v>1</v>
      </c>
      <c r="E16" s="79" t="s">
        <v>373</v>
      </c>
      <c r="F16" s="79" t="s">
        <v>1966</v>
      </c>
      <c r="G16" s="79" t="s">
        <v>395</v>
      </c>
      <c r="H16" s="79"/>
      <c r="I16" s="79" t="s">
        <v>1967</v>
      </c>
    </row>
    <row r="17" spans="1:9" ht="15">
      <c r="A17" s="153" t="s">
        <v>1982</v>
      </c>
      <c r="B17" s="153" t="s">
        <v>1983</v>
      </c>
      <c r="C17" s="153">
        <v>589505647</v>
      </c>
      <c r="D17" s="153">
        <v>1</v>
      </c>
      <c r="E17" s="153" t="s">
        <v>373</v>
      </c>
      <c r="F17" s="153" t="s">
        <v>1984</v>
      </c>
      <c r="G17" s="153" t="s">
        <v>375</v>
      </c>
      <c r="H17" s="153"/>
      <c r="I17" s="153" t="s">
        <v>1985</v>
      </c>
    </row>
    <row r="18" spans="1:9" ht="15">
      <c r="A18" s="153" t="s">
        <v>1986</v>
      </c>
      <c r="B18" s="153" t="s">
        <v>1987</v>
      </c>
      <c r="C18" s="153">
        <v>589505650</v>
      </c>
      <c r="D18" s="153">
        <v>1</v>
      </c>
      <c r="E18" s="153" t="s">
        <v>373</v>
      </c>
      <c r="F18" s="153" t="s">
        <v>1984</v>
      </c>
      <c r="G18" s="153" t="s">
        <v>382</v>
      </c>
      <c r="H18" s="153"/>
      <c r="I18" s="153" t="s">
        <v>1985</v>
      </c>
    </row>
    <row r="19" spans="1:9" ht="15">
      <c r="A19" s="79" t="s">
        <v>1988</v>
      </c>
      <c r="B19" s="79" t="s">
        <v>1989</v>
      </c>
      <c r="C19" s="79">
        <v>589505670</v>
      </c>
      <c r="D19" s="79">
        <v>1</v>
      </c>
      <c r="E19" s="79" t="s">
        <v>373</v>
      </c>
      <c r="F19" s="79" t="s">
        <v>1990</v>
      </c>
      <c r="G19" s="79" t="s">
        <v>389</v>
      </c>
      <c r="H19" s="79"/>
      <c r="I19" s="79"/>
    </row>
    <row r="20" spans="1:9" ht="15">
      <c r="A20" s="79" t="s">
        <v>1991</v>
      </c>
      <c r="B20" s="79" t="s">
        <v>1992</v>
      </c>
      <c r="C20" s="79">
        <v>589505673</v>
      </c>
      <c r="D20" s="79">
        <v>1</v>
      </c>
      <c r="E20" s="79" t="s">
        <v>373</v>
      </c>
      <c r="F20" s="79" t="s">
        <v>1990</v>
      </c>
      <c r="G20" s="79" t="s">
        <v>395</v>
      </c>
      <c r="H20" s="79"/>
      <c r="I20" s="79"/>
    </row>
    <row r="21" spans="1:9" ht="15">
      <c r="A21" s="153" t="s">
        <v>1993</v>
      </c>
      <c r="B21" s="153" t="s">
        <v>1994</v>
      </c>
      <c r="C21" s="153">
        <v>589584847</v>
      </c>
      <c r="D21" s="153">
        <v>1</v>
      </c>
      <c r="E21" s="153" t="s">
        <v>373</v>
      </c>
      <c r="F21" s="153" t="s">
        <v>1995</v>
      </c>
      <c r="G21" s="153" t="s">
        <v>375</v>
      </c>
      <c r="H21" s="153"/>
      <c r="I21" s="153" t="s">
        <v>727</v>
      </c>
    </row>
    <row r="22" spans="1:9" ht="15">
      <c r="A22" s="153" t="s">
        <v>1996</v>
      </c>
      <c r="B22" s="153" t="s">
        <v>1997</v>
      </c>
      <c r="C22" s="153">
        <v>589584850</v>
      </c>
      <c r="D22" s="153">
        <v>1</v>
      </c>
      <c r="E22" s="153" t="s">
        <v>373</v>
      </c>
      <c r="F22" s="153" t="s">
        <v>1995</v>
      </c>
      <c r="G22" s="153" t="s">
        <v>382</v>
      </c>
      <c r="H22" s="153"/>
      <c r="I22" s="153" t="s">
        <v>727</v>
      </c>
    </row>
    <row r="23" spans="1:9" ht="15">
      <c r="A23" s="79" t="s">
        <v>1998</v>
      </c>
      <c r="B23" s="79" t="s">
        <v>1999</v>
      </c>
      <c r="C23" s="79">
        <v>589584870</v>
      </c>
      <c r="D23" s="79">
        <v>1</v>
      </c>
      <c r="E23" s="79" t="s">
        <v>373</v>
      </c>
      <c r="F23" s="79" t="s">
        <v>2000</v>
      </c>
      <c r="G23" s="79" t="s">
        <v>389</v>
      </c>
      <c r="H23" s="79"/>
      <c r="I23" s="79"/>
    </row>
    <row r="24" spans="1:9" ht="15">
      <c r="A24" s="79" t="s">
        <v>2001</v>
      </c>
      <c r="B24" s="79" t="s">
        <v>2002</v>
      </c>
      <c r="C24" s="79">
        <v>589584873</v>
      </c>
      <c r="D24" s="79">
        <v>1</v>
      </c>
      <c r="E24" s="79" t="s">
        <v>373</v>
      </c>
      <c r="F24" s="79" t="s">
        <v>2000</v>
      </c>
      <c r="G24" s="79" t="s">
        <v>395</v>
      </c>
      <c r="H24" s="79"/>
      <c r="I24" s="79"/>
    </row>
    <row r="25" spans="1:9" ht="15">
      <c r="A25" s="153" t="s">
        <v>2003</v>
      </c>
      <c r="B25" s="153" t="s">
        <v>2004</v>
      </c>
      <c r="C25" s="153">
        <v>589672147</v>
      </c>
      <c r="D25" s="153">
        <v>1</v>
      </c>
      <c r="E25" s="153" t="s">
        <v>373</v>
      </c>
      <c r="F25" s="153" t="s">
        <v>2005</v>
      </c>
      <c r="G25" s="153" t="s">
        <v>375</v>
      </c>
      <c r="H25" s="153"/>
      <c r="I25" s="153" t="s">
        <v>2006</v>
      </c>
    </row>
    <row r="26" spans="1:9" ht="15">
      <c r="A26" s="153" t="s">
        <v>2007</v>
      </c>
      <c r="B26" s="153" t="s">
        <v>2008</v>
      </c>
      <c r="C26" s="153">
        <v>589672150</v>
      </c>
      <c r="D26" s="153">
        <v>1</v>
      </c>
      <c r="E26" s="153" t="s">
        <v>373</v>
      </c>
      <c r="F26" s="153" t="s">
        <v>2005</v>
      </c>
      <c r="G26" s="153" t="s">
        <v>382</v>
      </c>
      <c r="H26" s="153"/>
      <c r="I26" s="153" t="s">
        <v>2006</v>
      </c>
    </row>
    <row r="27" spans="1:9" ht="15">
      <c r="A27" s="79" t="s">
        <v>2009</v>
      </c>
      <c r="B27" s="79" t="s">
        <v>2010</v>
      </c>
      <c r="C27" s="79">
        <v>589672170</v>
      </c>
      <c r="D27" s="79">
        <v>1</v>
      </c>
      <c r="E27" s="79" t="s">
        <v>373</v>
      </c>
      <c r="F27" s="79" t="s">
        <v>1034</v>
      </c>
      <c r="G27" s="79" t="s">
        <v>389</v>
      </c>
      <c r="H27" s="79"/>
      <c r="I27" s="79"/>
    </row>
    <row r="28" spans="1:9" ht="15">
      <c r="A28" s="79" t="s">
        <v>2011</v>
      </c>
      <c r="B28" s="79" t="s">
        <v>2012</v>
      </c>
      <c r="C28" s="79">
        <v>589672173</v>
      </c>
      <c r="D28" s="79">
        <v>1</v>
      </c>
      <c r="E28" s="79" t="s">
        <v>373</v>
      </c>
      <c r="F28" s="79" t="s">
        <v>1034</v>
      </c>
      <c r="G28" s="79" t="s">
        <v>395</v>
      </c>
      <c r="H28" s="79"/>
      <c r="I28" s="79"/>
    </row>
    <row r="29" spans="1:9" ht="15">
      <c r="A29" s="153" t="s">
        <v>2013</v>
      </c>
      <c r="B29" s="153" t="s">
        <v>2014</v>
      </c>
      <c r="C29" s="153">
        <v>589762387</v>
      </c>
      <c r="D29" s="153">
        <v>1</v>
      </c>
      <c r="E29" s="153" t="s">
        <v>373</v>
      </c>
      <c r="F29" s="153" t="s">
        <v>2015</v>
      </c>
      <c r="G29" s="153" t="s">
        <v>375</v>
      </c>
      <c r="H29" s="153"/>
      <c r="I29" s="153" t="s">
        <v>2016</v>
      </c>
    </row>
    <row r="30" spans="1:9" ht="15">
      <c r="A30" s="153" t="s">
        <v>2017</v>
      </c>
      <c r="B30" s="153" t="s">
        <v>2018</v>
      </c>
      <c r="C30" s="153">
        <v>589762390</v>
      </c>
      <c r="D30" s="153">
        <v>1</v>
      </c>
      <c r="E30" s="153" t="s">
        <v>373</v>
      </c>
      <c r="F30" s="153" t="s">
        <v>2015</v>
      </c>
      <c r="G30" s="153" t="s">
        <v>382</v>
      </c>
      <c r="H30" s="153"/>
      <c r="I30" s="153" t="s">
        <v>2016</v>
      </c>
    </row>
    <row r="31" spans="1:9" ht="15">
      <c r="A31" s="79" t="s">
        <v>2019</v>
      </c>
      <c r="B31" s="79" t="s">
        <v>2020</v>
      </c>
      <c r="C31" s="79">
        <v>589762410</v>
      </c>
      <c r="D31" s="79">
        <v>1</v>
      </c>
      <c r="E31" s="79" t="s">
        <v>373</v>
      </c>
      <c r="F31" s="79" t="s">
        <v>2021</v>
      </c>
      <c r="G31" s="79" t="s">
        <v>389</v>
      </c>
      <c r="H31" s="79"/>
      <c r="I31" s="79"/>
    </row>
    <row r="32" spans="1:9" ht="15">
      <c r="A32" s="79" t="s">
        <v>2022</v>
      </c>
      <c r="B32" s="79" t="s">
        <v>2023</v>
      </c>
      <c r="C32" s="79">
        <v>589762413</v>
      </c>
      <c r="D32" s="79">
        <v>1</v>
      </c>
      <c r="E32" s="79" t="s">
        <v>373</v>
      </c>
      <c r="F32" s="79" t="s">
        <v>2021</v>
      </c>
      <c r="G32" s="79" t="s">
        <v>395</v>
      </c>
      <c r="H32" s="79"/>
      <c r="I32" s="79"/>
    </row>
    <row r="33" spans="1:9" ht="15">
      <c r="A33" s="153" t="s">
        <v>2024</v>
      </c>
      <c r="B33" s="153" t="s">
        <v>2025</v>
      </c>
      <c r="C33" s="153">
        <v>589844827</v>
      </c>
      <c r="D33" s="153">
        <v>1</v>
      </c>
      <c r="E33" s="153" t="s">
        <v>373</v>
      </c>
      <c r="F33" s="153" t="s">
        <v>2026</v>
      </c>
      <c r="G33" s="153" t="s">
        <v>375</v>
      </c>
      <c r="H33" s="153"/>
      <c r="I33" s="153" t="s">
        <v>2027</v>
      </c>
    </row>
    <row r="34" spans="1:9" ht="15">
      <c r="A34" s="153" t="s">
        <v>2028</v>
      </c>
      <c r="B34" s="153" t="s">
        <v>2029</v>
      </c>
      <c r="C34" s="153">
        <v>589844830</v>
      </c>
      <c r="D34" s="153">
        <v>1</v>
      </c>
      <c r="E34" s="153" t="s">
        <v>373</v>
      </c>
      <c r="F34" s="153" t="s">
        <v>2026</v>
      </c>
      <c r="G34" s="153" t="s">
        <v>382</v>
      </c>
      <c r="H34" s="153"/>
      <c r="I34" s="153" t="s">
        <v>2027</v>
      </c>
    </row>
    <row r="35" spans="1:9" ht="15">
      <c r="A35" s="79" t="s">
        <v>2030</v>
      </c>
      <c r="B35" s="79" t="s">
        <v>2031</v>
      </c>
      <c r="C35" s="79">
        <v>589844850</v>
      </c>
      <c r="D35" s="79">
        <v>1</v>
      </c>
      <c r="E35" s="79" t="s">
        <v>373</v>
      </c>
      <c r="F35" s="79" t="s">
        <v>2032</v>
      </c>
      <c r="G35" s="79" t="s">
        <v>389</v>
      </c>
      <c r="H35" s="79"/>
      <c r="I35" s="79"/>
    </row>
    <row r="36" spans="1:9" ht="15">
      <c r="A36" s="79" t="s">
        <v>2033</v>
      </c>
      <c r="B36" s="79" t="s">
        <v>2034</v>
      </c>
      <c r="C36" s="79">
        <v>589844853</v>
      </c>
      <c r="D36" s="79">
        <v>1</v>
      </c>
      <c r="E36" s="79" t="s">
        <v>373</v>
      </c>
      <c r="F36" s="79" t="s">
        <v>2032</v>
      </c>
      <c r="G36" s="79" t="s">
        <v>395</v>
      </c>
      <c r="H36" s="79"/>
      <c r="I36" s="79"/>
    </row>
    <row r="37" spans="1:9" ht="15">
      <c r="A37" s="153" t="s">
        <v>2035</v>
      </c>
      <c r="B37" s="153" t="s">
        <v>2036</v>
      </c>
      <c r="C37" s="153">
        <v>589882387</v>
      </c>
      <c r="D37" s="153">
        <v>1</v>
      </c>
      <c r="E37" s="153" t="s">
        <v>373</v>
      </c>
      <c r="F37" s="153" t="s">
        <v>2037</v>
      </c>
      <c r="G37" s="153" t="s">
        <v>375</v>
      </c>
      <c r="H37" s="153"/>
      <c r="I37" s="153" t="s">
        <v>731</v>
      </c>
    </row>
    <row r="38" spans="1:9" ht="15">
      <c r="A38" s="153" t="s">
        <v>2038</v>
      </c>
      <c r="B38" s="153" t="s">
        <v>2039</v>
      </c>
      <c r="C38" s="153">
        <v>589882390</v>
      </c>
      <c r="D38" s="153">
        <v>1</v>
      </c>
      <c r="E38" s="153" t="s">
        <v>373</v>
      </c>
      <c r="F38" s="153" t="s">
        <v>2037</v>
      </c>
      <c r="G38" s="153" t="s">
        <v>382</v>
      </c>
      <c r="H38" s="153"/>
      <c r="I38" s="153" t="s">
        <v>731</v>
      </c>
    </row>
    <row r="39" spans="1:9" ht="15">
      <c r="A39" s="79" t="s">
        <v>2040</v>
      </c>
      <c r="B39" s="79" t="s">
        <v>2041</v>
      </c>
      <c r="C39" s="79">
        <v>589882410</v>
      </c>
      <c r="D39" s="79">
        <v>1</v>
      </c>
      <c r="E39" s="79" t="s">
        <v>373</v>
      </c>
      <c r="F39" s="79" t="s">
        <v>1000</v>
      </c>
      <c r="G39" s="79" t="s">
        <v>389</v>
      </c>
      <c r="H39" s="79"/>
      <c r="I39" s="79"/>
    </row>
    <row r="40" spans="1:9" ht="15">
      <c r="A40" s="79" t="s">
        <v>2042</v>
      </c>
      <c r="B40" s="79" t="s">
        <v>2043</v>
      </c>
      <c r="C40" s="79">
        <v>589882413</v>
      </c>
      <c r="D40" s="79">
        <v>1</v>
      </c>
      <c r="E40" s="79" t="s">
        <v>373</v>
      </c>
      <c r="F40" s="79" t="s">
        <v>1000</v>
      </c>
      <c r="G40" s="79" t="s">
        <v>395</v>
      </c>
      <c r="H40" s="79"/>
      <c r="I40" s="79"/>
    </row>
    <row r="41" spans="1:9" ht="15">
      <c r="A41" s="153" t="s">
        <v>2044</v>
      </c>
      <c r="B41" s="153" t="s">
        <v>2045</v>
      </c>
      <c r="C41" s="153">
        <v>589937887</v>
      </c>
      <c r="D41" s="153">
        <v>1</v>
      </c>
      <c r="E41" s="153" t="s">
        <v>373</v>
      </c>
      <c r="F41" s="153" t="s">
        <v>2046</v>
      </c>
      <c r="G41" s="153" t="s">
        <v>375</v>
      </c>
      <c r="H41" s="153"/>
      <c r="I41" s="153" t="s">
        <v>2047</v>
      </c>
    </row>
    <row r="42" spans="1:9" ht="15">
      <c r="A42" s="153" t="s">
        <v>2048</v>
      </c>
      <c r="B42" s="153" t="s">
        <v>2049</v>
      </c>
      <c r="C42" s="153">
        <v>589937890</v>
      </c>
      <c r="D42" s="153">
        <v>1</v>
      </c>
      <c r="E42" s="153" t="s">
        <v>373</v>
      </c>
      <c r="F42" s="153" t="s">
        <v>2046</v>
      </c>
      <c r="G42" s="153" t="s">
        <v>382</v>
      </c>
      <c r="H42" s="153"/>
      <c r="I42" s="153" t="s">
        <v>2047</v>
      </c>
    </row>
    <row r="43" spans="1:9" ht="15">
      <c r="A43" s="79" t="s">
        <v>2050</v>
      </c>
      <c r="B43" s="79" t="s">
        <v>2051</v>
      </c>
      <c r="C43" s="79">
        <v>589937910</v>
      </c>
      <c r="D43" s="79">
        <v>1</v>
      </c>
      <c r="E43" s="79" t="s">
        <v>373</v>
      </c>
      <c r="F43" s="79" t="s">
        <v>2052</v>
      </c>
      <c r="G43" s="79" t="s">
        <v>389</v>
      </c>
      <c r="H43" s="79"/>
      <c r="I43" s="79"/>
    </row>
    <row r="44" spans="1:9" ht="15">
      <c r="A44" s="79" t="s">
        <v>2053</v>
      </c>
      <c r="B44" s="79" t="s">
        <v>2054</v>
      </c>
      <c r="C44" s="79">
        <v>589937913</v>
      </c>
      <c r="D44" s="79">
        <v>1</v>
      </c>
      <c r="E44" s="79" t="s">
        <v>373</v>
      </c>
      <c r="F44" s="79" t="s">
        <v>2052</v>
      </c>
      <c r="G44" s="79" t="s">
        <v>395</v>
      </c>
      <c r="H44" s="79"/>
      <c r="I44" s="79"/>
    </row>
    <row r="45" spans="1:9" ht="15">
      <c r="A45" s="153" t="s">
        <v>2055</v>
      </c>
      <c r="B45" s="153" t="s">
        <v>2056</v>
      </c>
      <c r="C45" s="153">
        <v>590020087</v>
      </c>
      <c r="D45" s="153">
        <v>1</v>
      </c>
      <c r="E45" s="153" t="s">
        <v>373</v>
      </c>
      <c r="F45" s="153" t="s">
        <v>2057</v>
      </c>
      <c r="G45" s="153" t="s">
        <v>375</v>
      </c>
      <c r="H45" s="153"/>
      <c r="I45" s="153" t="s">
        <v>2058</v>
      </c>
    </row>
    <row r="46" spans="1:9" ht="15">
      <c r="A46" s="153" t="s">
        <v>2059</v>
      </c>
      <c r="B46" s="153" t="s">
        <v>2060</v>
      </c>
      <c r="C46" s="153">
        <v>590020090</v>
      </c>
      <c r="D46" s="153">
        <v>1</v>
      </c>
      <c r="E46" s="153" t="s">
        <v>373</v>
      </c>
      <c r="F46" s="153" t="s">
        <v>2057</v>
      </c>
      <c r="G46" s="153" t="s">
        <v>382</v>
      </c>
      <c r="H46" s="153"/>
      <c r="I46" s="153" t="s">
        <v>2058</v>
      </c>
    </row>
    <row r="47" spans="1:9" ht="15">
      <c r="A47" s="79" t="s">
        <v>2061</v>
      </c>
      <c r="B47" s="79" t="s">
        <v>2062</v>
      </c>
      <c r="C47" s="79">
        <v>590020110</v>
      </c>
      <c r="D47" s="79">
        <v>1</v>
      </c>
      <c r="E47" s="79" t="s">
        <v>373</v>
      </c>
      <c r="F47" s="79" t="s">
        <v>2063</v>
      </c>
      <c r="G47" s="79" t="s">
        <v>389</v>
      </c>
      <c r="H47" s="79"/>
      <c r="I47" s="79"/>
    </row>
    <row r="48" spans="1:9" ht="15">
      <c r="A48" s="79" t="s">
        <v>2064</v>
      </c>
      <c r="B48" s="79" t="s">
        <v>2065</v>
      </c>
      <c r="C48" s="79">
        <v>590020113</v>
      </c>
      <c r="D48" s="79">
        <v>1</v>
      </c>
      <c r="E48" s="79" t="s">
        <v>373</v>
      </c>
      <c r="F48" s="79" t="s">
        <v>2063</v>
      </c>
      <c r="G48" s="79" t="s">
        <v>395</v>
      </c>
      <c r="H48" s="79"/>
      <c r="I48" s="79"/>
    </row>
    <row r="49" spans="1:9" ht="15">
      <c r="A49" s="153" t="s">
        <v>2066</v>
      </c>
      <c r="B49" s="153" t="s">
        <v>2067</v>
      </c>
      <c r="C49" s="153">
        <v>590052787</v>
      </c>
      <c r="D49" s="153">
        <v>1</v>
      </c>
      <c r="E49" s="153" t="s">
        <v>373</v>
      </c>
      <c r="F49" s="153" t="s">
        <v>2068</v>
      </c>
      <c r="G49" s="153" t="s">
        <v>375</v>
      </c>
      <c r="H49" s="153"/>
      <c r="I49" s="153" t="s">
        <v>735</v>
      </c>
    </row>
    <row r="50" spans="1:9" ht="15">
      <c r="A50" s="153" t="s">
        <v>2069</v>
      </c>
      <c r="B50" s="153" t="s">
        <v>2070</v>
      </c>
      <c r="C50" s="153">
        <v>590052790</v>
      </c>
      <c r="D50" s="153">
        <v>1</v>
      </c>
      <c r="E50" s="153" t="s">
        <v>373</v>
      </c>
      <c r="F50" s="153" t="s">
        <v>2068</v>
      </c>
      <c r="G50" s="153" t="s">
        <v>382</v>
      </c>
      <c r="H50" s="153"/>
      <c r="I50" s="153" t="s">
        <v>735</v>
      </c>
    </row>
    <row r="51" spans="1:9" ht="15">
      <c r="A51" s="79" t="s">
        <v>2071</v>
      </c>
      <c r="B51" s="79" t="s">
        <v>2072</v>
      </c>
      <c r="C51" s="79">
        <v>590052810</v>
      </c>
      <c r="D51" s="79">
        <v>1</v>
      </c>
      <c r="E51" s="79" t="s">
        <v>373</v>
      </c>
      <c r="F51" s="79" t="s">
        <v>2073</v>
      </c>
      <c r="G51" s="79" t="s">
        <v>389</v>
      </c>
      <c r="H51" s="79"/>
      <c r="I51" s="79"/>
    </row>
    <row r="52" spans="1:9" ht="15">
      <c r="A52" s="79" t="s">
        <v>2074</v>
      </c>
      <c r="B52" s="79" t="s">
        <v>2075</v>
      </c>
      <c r="C52" s="79">
        <v>590052813</v>
      </c>
      <c r="D52" s="79">
        <v>1</v>
      </c>
      <c r="E52" s="79" t="s">
        <v>373</v>
      </c>
      <c r="F52" s="79" t="s">
        <v>2073</v>
      </c>
      <c r="G52" s="79" t="s">
        <v>395</v>
      </c>
      <c r="H52" s="79"/>
      <c r="I52" s="79"/>
    </row>
    <row r="53" spans="1:9" ht="15">
      <c r="A53" s="153" t="s">
        <v>2076</v>
      </c>
      <c r="B53" s="153" t="s">
        <v>2077</v>
      </c>
      <c r="C53" s="153">
        <v>590107687</v>
      </c>
      <c r="D53" s="153">
        <v>1</v>
      </c>
      <c r="E53" s="153" t="s">
        <v>373</v>
      </c>
      <c r="F53" s="153" t="s">
        <v>2078</v>
      </c>
      <c r="G53" s="153" t="s">
        <v>375</v>
      </c>
      <c r="H53" s="153"/>
      <c r="I53" s="153" t="s">
        <v>2079</v>
      </c>
    </row>
    <row r="54" spans="1:9" ht="15">
      <c r="A54" s="153" t="s">
        <v>2080</v>
      </c>
      <c r="B54" s="153" t="s">
        <v>2081</v>
      </c>
      <c r="C54" s="153">
        <v>590107690</v>
      </c>
      <c r="D54" s="153">
        <v>1</v>
      </c>
      <c r="E54" s="153" t="s">
        <v>373</v>
      </c>
      <c r="F54" s="153" t="s">
        <v>2078</v>
      </c>
      <c r="G54" s="153" t="s">
        <v>382</v>
      </c>
      <c r="H54" s="153"/>
      <c r="I54" s="153" t="s">
        <v>2079</v>
      </c>
    </row>
    <row r="55" spans="1:9" ht="15">
      <c r="A55" s="79" t="s">
        <v>2082</v>
      </c>
      <c r="B55" s="79" t="s">
        <v>2083</v>
      </c>
      <c r="C55" s="79">
        <v>590107710</v>
      </c>
      <c r="D55" s="79">
        <v>1</v>
      </c>
      <c r="E55" s="79" t="s">
        <v>373</v>
      </c>
      <c r="F55" s="79" t="s">
        <v>2084</v>
      </c>
      <c r="G55" s="79" t="s">
        <v>389</v>
      </c>
      <c r="H55" s="79"/>
      <c r="I55" s="79"/>
    </row>
    <row r="56" spans="1:9" ht="15">
      <c r="A56" s="79" t="s">
        <v>2085</v>
      </c>
      <c r="B56" s="79" t="s">
        <v>2086</v>
      </c>
      <c r="C56" s="79">
        <v>590107713</v>
      </c>
      <c r="D56" s="79">
        <v>1</v>
      </c>
      <c r="E56" s="79" t="s">
        <v>373</v>
      </c>
      <c r="F56" s="79" t="s">
        <v>2084</v>
      </c>
      <c r="G56" s="79" t="s">
        <v>395</v>
      </c>
      <c r="H56" s="79"/>
      <c r="I56" s="79"/>
    </row>
    <row r="57" spans="1:9" ht="15">
      <c r="A57" s="153" t="s">
        <v>2087</v>
      </c>
      <c r="B57" s="153" t="s">
        <v>2088</v>
      </c>
      <c r="C57" s="153">
        <v>590138707</v>
      </c>
      <c r="D57" s="153">
        <v>1</v>
      </c>
      <c r="E57" s="153" t="s">
        <v>373</v>
      </c>
      <c r="F57" s="153" t="s">
        <v>2089</v>
      </c>
      <c r="G57" s="153" t="s">
        <v>375</v>
      </c>
      <c r="H57" s="153"/>
      <c r="I57" s="153" t="s">
        <v>739</v>
      </c>
    </row>
    <row r="58" spans="1:9" ht="15">
      <c r="A58" s="153" t="s">
        <v>2090</v>
      </c>
      <c r="B58" s="153" t="s">
        <v>2091</v>
      </c>
      <c r="C58" s="153">
        <v>590138710</v>
      </c>
      <c r="D58" s="153">
        <v>1</v>
      </c>
      <c r="E58" s="153" t="s">
        <v>373</v>
      </c>
      <c r="F58" s="153" t="s">
        <v>2089</v>
      </c>
      <c r="G58" s="153" t="s">
        <v>382</v>
      </c>
      <c r="H58" s="153"/>
      <c r="I58" s="153" t="s">
        <v>739</v>
      </c>
    </row>
    <row r="59" spans="1:9" ht="15">
      <c r="A59" s="79" t="s">
        <v>2092</v>
      </c>
      <c r="B59" s="79" t="s">
        <v>2093</v>
      </c>
      <c r="C59" s="79">
        <v>590138730</v>
      </c>
      <c r="D59" s="79">
        <v>1</v>
      </c>
      <c r="E59" s="79" t="s">
        <v>373</v>
      </c>
      <c r="F59" s="79" t="s">
        <v>2094</v>
      </c>
      <c r="G59" s="79" t="s">
        <v>389</v>
      </c>
      <c r="H59" s="79"/>
      <c r="I59" s="79"/>
    </row>
    <row r="60" spans="1:9" ht="15">
      <c r="A60" s="79" t="s">
        <v>2095</v>
      </c>
      <c r="B60" s="79" t="s">
        <v>2096</v>
      </c>
      <c r="C60" s="79">
        <v>590138733</v>
      </c>
      <c r="D60" s="79">
        <v>1</v>
      </c>
      <c r="E60" s="79" t="s">
        <v>373</v>
      </c>
      <c r="F60" s="79" t="s">
        <v>2094</v>
      </c>
      <c r="G60" s="79" t="s">
        <v>395</v>
      </c>
      <c r="H60" s="79"/>
      <c r="I60" s="79"/>
    </row>
    <row r="61" spans="1:9" ht="15">
      <c r="A61" s="81" t="s">
        <v>2097</v>
      </c>
      <c r="B61" s="81" t="s">
        <v>2098</v>
      </c>
      <c r="C61" s="81">
        <v>590206916</v>
      </c>
      <c r="D61" s="81">
        <v>0</v>
      </c>
      <c r="E61" s="81" t="s">
        <v>1124</v>
      </c>
      <c r="F61" s="81" t="s">
        <v>2099</v>
      </c>
      <c r="G61" s="81" t="s">
        <v>2100</v>
      </c>
      <c r="H61" s="81"/>
      <c r="I61" s="81" t="s">
        <v>2101</v>
      </c>
    </row>
    <row r="62" spans="1:9" ht="15">
      <c r="A62" s="79" t="s">
        <v>2097</v>
      </c>
      <c r="B62" s="79" t="s">
        <v>2098</v>
      </c>
      <c r="C62" s="79">
        <v>590206916</v>
      </c>
      <c r="D62" s="79">
        <v>0</v>
      </c>
      <c r="E62" s="79" t="s">
        <v>1124</v>
      </c>
      <c r="F62" s="79" t="s">
        <v>2102</v>
      </c>
      <c r="G62" s="79" t="s">
        <v>2103</v>
      </c>
      <c r="H62" s="79"/>
      <c r="I62" s="79"/>
    </row>
    <row r="63" spans="1:9" ht="15">
      <c r="A63" s="79" t="s">
        <v>2097</v>
      </c>
      <c r="B63" s="79" t="s">
        <v>2098</v>
      </c>
      <c r="C63" s="79">
        <v>590206916</v>
      </c>
      <c r="D63" s="79">
        <v>0</v>
      </c>
      <c r="E63" s="79" t="s">
        <v>1124</v>
      </c>
      <c r="F63" s="79" t="s">
        <v>2102</v>
      </c>
      <c r="G63" s="79" t="s">
        <v>2104</v>
      </c>
      <c r="H63" s="79"/>
      <c r="I63" s="79"/>
    </row>
    <row r="64" spans="1:9" ht="15">
      <c r="A64" s="79" t="s">
        <v>2105</v>
      </c>
      <c r="B64" s="79" t="s">
        <v>2106</v>
      </c>
      <c r="C64" s="79">
        <v>590206917</v>
      </c>
      <c r="D64" s="79">
        <v>0</v>
      </c>
      <c r="E64" s="79" t="s">
        <v>1124</v>
      </c>
      <c r="F64" s="79" t="s">
        <v>2102</v>
      </c>
      <c r="G64" s="79" t="s">
        <v>2107</v>
      </c>
      <c r="H64" s="79"/>
      <c r="I64" s="79"/>
    </row>
    <row r="65" spans="1:9" ht="15">
      <c r="A65" s="79" t="s">
        <v>2105</v>
      </c>
      <c r="B65" s="79" t="s">
        <v>2106</v>
      </c>
      <c r="C65" s="79">
        <v>590206917</v>
      </c>
      <c r="D65" s="79">
        <v>0</v>
      </c>
      <c r="E65" s="79" t="s">
        <v>1124</v>
      </c>
      <c r="F65" s="79" t="s">
        <v>2102</v>
      </c>
      <c r="G65" s="79" t="s">
        <v>2108</v>
      </c>
      <c r="H65" s="79"/>
      <c r="I65" s="79"/>
    </row>
    <row r="66" spans="1:9" ht="15">
      <c r="A66" s="79" t="s">
        <v>2105</v>
      </c>
      <c r="B66" s="79" t="s">
        <v>2106</v>
      </c>
      <c r="C66" s="79">
        <v>590206917</v>
      </c>
      <c r="D66" s="79">
        <v>0</v>
      </c>
      <c r="E66" s="79" t="s">
        <v>1124</v>
      </c>
      <c r="F66" s="79" t="s">
        <v>2102</v>
      </c>
      <c r="G66" s="79" t="s">
        <v>2109</v>
      </c>
      <c r="H66" s="79"/>
      <c r="I66" s="79"/>
    </row>
    <row r="67" spans="1:9" ht="15">
      <c r="A67" s="79" t="s">
        <v>2110</v>
      </c>
      <c r="B67" s="79" t="s">
        <v>2111</v>
      </c>
      <c r="C67" s="79">
        <v>590206920</v>
      </c>
      <c r="D67" s="79">
        <v>0</v>
      </c>
      <c r="E67" s="79" t="s">
        <v>1124</v>
      </c>
      <c r="F67" s="79" t="s">
        <v>2102</v>
      </c>
      <c r="G67" s="79" t="s">
        <v>2112</v>
      </c>
      <c r="H67" s="79"/>
      <c r="I67" s="79"/>
    </row>
    <row r="68" spans="1:9" ht="15">
      <c r="A68" s="79" t="s">
        <v>2110</v>
      </c>
      <c r="B68" s="79" t="s">
        <v>2111</v>
      </c>
      <c r="C68" s="79">
        <v>590206920</v>
      </c>
      <c r="D68" s="79">
        <v>0</v>
      </c>
      <c r="E68" s="79" t="s">
        <v>1124</v>
      </c>
      <c r="F68" s="79" t="s">
        <v>2102</v>
      </c>
      <c r="G68" s="79" t="s">
        <v>2113</v>
      </c>
      <c r="H68" s="79"/>
      <c r="I68" s="79"/>
    </row>
    <row r="69" spans="1:9" ht="15">
      <c r="A69" s="79" t="s">
        <v>2110</v>
      </c>
      <c r="B69" s="79" t="s">
        <v>2111</v>
      </c>
      <c r="C69" s="79">
        <v>590206920</v>
      </c>
      <c r="D69" s="79">
        <v>0</v>
      </c>
      <c r="E69" s="79" t="s">
        <v>1124</v>
      </c>
      <c r="F69" s="79" t="s">
        <v>2102</v>
      </c>
      <c r="G69" s="79" t="s">
        <v>2109</v>
      </c>
      <c r="H69" s="79"/>
      <c r="I69" s="79"/>
    </row>
    <row r="70" spans="1:9" ht="15">
      <c r="A70" s="79" t="s">
        <v>2114</v>
      </c>
      <c r="B70" s="79" t="s">
        <v>2115</v>
      </c>
      <c r="C70" s="79">
        <v>590206923</v>
      </c>
      <c r="D70" s="79">
        <v>0</v>
      </c>
      <c r="E70" s="79" t="s">
        <v>1124</v>
      </c>
      <c r="F70" s="79" t="s">
        <v>2102</v>
      </c>
      <c r="G70" s="79" t="s">
        <v>2116</v>
      </c>
      <c r="H70" s="79"/>
      <c r="I70" s="79"/>
    </row>
    <row r="71" spans="1:9" ht="15">
      <c r="A71" s="79" t="s">
        <v>2114</v>
      </c>
      <c r="B71" s="79" t="s">
        <v>2115</v>
      </c>
      <c r="C71" s="79">
        <v>590206923</v>
      </c>
      <c r="D71" s="79">
        <v>0</v>
      </c>
      <c r="E71" s="79" t="s">
        <v>1124</v>
      </c>
      <c r="F71" s="79" t="s">
        <v>2102</v>
      </c>
      <c r="G71" s="79" t="s">
        <v>2117</v>
      </c>
      <c r="H71" s="79"/>
      <c r="I71" s="79"/>
    </row>
    <row r="72" spans="1:9" ht="15">
      <c r="A72" s="79" t="s">
        <v>2114</v>
      </c>
      <c r="B72" s="79" t="s">
        <v>2115</v>
      </c>
      <c r="C72" s="79">
        <v>590206923</v>
      </c>
      <c r="D72" s="79">
        <v>0</v>
      </c>
      <c r="E72" s="79" t="s">
        <v>1124</v>
      </c>
      <c r="F72" s="79" t="s">
        <v>2102</v>
      </c>
      <c r="G72" s="79" t="s">
        <v>2109</v>
      </c>
      <c r="H72" s="79"/>
      <c r="I72" s="79"/>
    </row>
    <row r="73" spans="1:9" ht="15">
      <c r="A73" s="79" t="s">
        <v>2118</v>
      </c>
      <c r="B73" s="79" t="s">
        <v>2119</v>
      </c>
      <c r="C73" s="79">
        <v>590206926</v>
      </c>
      <c r="D73" s="79">
        <v>0</v>
      </c>
      <c r="E73" s="79" t="s">
        <v>1124</v>
      </c>
      <c r="F73" s="79" t="s">
        <v>2102</v>
      </c>
      <c r="G73" s="79" t="s">
        <v>2120</v>
      </c>
      <c r="H73" s="79"/>
      <c r="I73" s="79"/>
    </row>
    <row r="74" spans="1:9" ht="15">
      <c r="A74" s="79" t="s">
        <v>2118</v>
      </c>
      <c r="B74" s="79" t="s">
        <v>2119</v>
      </c>
      <c r="C74" s="79">
        <v>590206926</v>
      </c>
      <c r="D74" s="79">
        <v>0</v>
      </c>
      <c r="E74" s="79" t="s">
        <v>1124</v>
      </c>
      <c r="F74" s="79" t="s">
        <v>2102</v>
      </c>
      <c r="G74" s="79" t="s">
        <v>2121</v>
      </c>
      <c r="H74" s="79"/>
      <c r="I74" s="79"/>
    </row>
    <row r="75" spans="1:9" ht="15">
      <c r="A75" s="79" t="s">
        <v>2118</v>
      </c>
      <c r="B75" s="79" t="s">
        <v>2119</v>
      </c>
      <c r="C75" s="79">
        <v>590206926</v>
      </c>
      <c r="D75" s="79">
        <v>0</v>
      </c>
      <c r="E75" s="79" t="s">
        <v>1124</v>
      </c>
      <c r="F75" s="79" t="s">
        <v>2102</v>
      </c>
      <c r="G75" s="79" t="s">
        <v>2109</v>
      </c>
      <c r="H75" s="79"/>
      <c r="I75" s="79"/>
    </row>
    <row r="76" spans="1:9" ht="15">
      <c r="A76" s="79" t="s">
        <v>2122</v>
      </c>
      <c r="B76" s="79" t="s">
        <v>2123</v>
      </c>
      <c r="C76" s="79">
        <v>590206929</v>
      </c>
      <c r="D76" s="79">
        <v>0</v>
      </c>
      <c r="E76" s="79" t="s">
        <v>1124</v>
      </c>
      <c r="F76" s="79" t="s">
        <v>2102</v>
      </c>
      <c r="G76" s="79" t="s">
        <v>2124</v>
      </c>
      <c r="H76" s="79"/>
      <c r="I76" s="79"/>
    </row>
    <row r="77" spans="1:9" ht="15">
      <c r="A77" s="79" t="s">
        <v>2122</v>
      </c>
      <c r="B77" s="79" t="s">
        <v>2123</v>
      </c>
      <c r="C77" s="79">
        <v>590206929</v>
      </c>
      <c r="D77" s="79">
        <v>0</v>
      </c>
      <c r="E77" s="79" t="s">
        <v>1124</v>
      </c>
      <c r="F77" s="79" t="s">
        <v>2102</v>
      </c>
      <c r="G77" s="79" t="s">
        <v>2125</v>
      </c>
      <c r="H77" s="79"/>
      <c r="I77" s="79"/>
    </row>
    <row r="78" spans="1:9" ht="15">
      <c r="A78" s="79" t="s">
        <v>2122</v>
      </c>
      <c r="B78" s="79" t="s">
        <v>2123</v>
      </c>
      <c r="C78" s="79">
        <v>590206929</v>
      </c>
      <c r="D78" s="79">
        <v>0</v>
      </c>
      <c r="E78" s="79" t="s">
        <v>1124</v>
      </c>
      <c r="F78" s="79" t="s">
        <v>2102</v>
      </c>
      <c r="G78" s="79" t="s">
        <v>2109</v>
      </c>
      <c r="H78" s="79"/>
      <c r="I78" s="79"/>
    </row>
    <row r="79" spans="1:9" ht="15">
      <c r="A79" s="79" t="s">
        <v>2126</v>
      </c>
      <c r="B79" s="79" t="s">
        <v>2127</v>
      </c>
      <c r="C79" s="79">
        <v>590206932</v>
      </c>
      <c r="D79" s="79">
        <v>0</v>
      </c>
      <c r="E79" s="79" t="s">
        <v>1124</v>
      </c>
      <c r="F79" s="79" t="s">
        <v>2102</v>
      </c>
      <c r="G79" s="79" t="s">
        <v>2128</v>
      </c>
      <c r="H79" s="79"/>
      <c r="I79" s="79"/>
    </row>
    <row r="80" spans="1:9" ht="15">
      <c r="A80" s="79" t="s">
        <v>2126</v>
      </c>
      <c r="B80" s="79" t="s">
        <v>2127</v>
      </c>
      <c r="C80" s="79">
        <v>590206932</v>
      </c>
      <c r="D80" s="79">
        <v>0</v>
      </c>
      <c r="E80" s="79" t="s">
        <v>1124</v>
      </c>
      <c r="F80" s="79" t="s">
        <v>2102</v>
      </c>
      <c r="G80" s="79" t="s">
        <v>2129</v>
      </c>
      <c r="H80" s="79"/>
      <c r="I80" s="79"/>
    </row>
    <row r="81" spans="1:9" ht="15">
      <c r="A81" s="79" t="s">
        <v>2126</v>
      </c>
      <c r="B81" s="79" t="s">
        <v>2127</v>
      </c>
      <c r="C81" s="79">
        <v>590206932</v>
      </c>
      <c r="D81" s="79">
        <v>0</v>
      </c>
      <c r="E81" s="79" t="s">
        <v>1124</v>
      </c>
      <c r="F81" s="79" t="s">
        <v>2102</v>
      </c>
      <c r="G81" s="79" t="s">
        <v>2109</v>
      </c>
      <c r="H81" s="79"/>
      <c r="I81" s="79"/>
    </row>
    <row r="82" spans="1:9" ht="15">
      <c r="A82" s="79" t="s">
        <v>2130</v>
      </c>
      <c r="B82" s="79" t="s">
        <v>2131</v>
      </c>
      <c r="C82" s="79">
        <v>590206935</v>
      </c>
      <c r="D82" s="79">
        <v>0</v>
      </c>
      <c r="E82" s="79" t="s">
        <v>1124</v>
      </c>
      <c r="F82" s="79" t="s">
        <v>2102</v>
      </c>
      <c r="G82" s="79" t="s">
        <v>2132</v>
      </c>
      <c r="H82" s="79"/>
      <c r="I82" s="79"/>
    </row>
    <row r="83" spans="1:9" ht="15">
      <c r="A83" s="79" t="s">
        <v>2130</v>
      </c>
      <c r="B83" s="79" t="s">
        <v>2131</v>
      </c>
      <c r="C83" s="79">
        <v>590206935</v>
      </c>
      <c r="D83" s="79">
        <v>0</v>
      </c>
      <c r="E83" s="79" t="s">
        <v>1124</v>
      </c>
      <c r="F83" s="79" t="s">
        <v>2102</v>
      </c>
      <c r="G83" s="79" t="s">
        <v>2133</v>
      </c>
      <c r="H83" s="79"/>
      <c r="I83" s="79"/>
    </row>
    <row r="84" spans="1:9" ht="15">
      <c r="A84" s="79" t="s">
        <v>2130</v>
      </c>
      <c r="B84" s="79" t="s">
        <v>2131</v>
      </c>
      <c r="C84" s="79">
        <v>590206935</v>
      </c>
      <c r="D84" s="79">
        <v>0</v>
      </c>
      <c r="E84" s="79" t="s">
        <v>1124</v>
      </c>
      <c r="F84" s="79" t="s">
        <v>2102</v>
      </c>
      <c r="G84" s="79" t="s">
        <v>2109</v>
      </c>
      <c r="H84" s="79"/>
      <c r="I84" s="79"/>
    </row>
    <row r="85" spans="1:9" ht="15">
      <c r="A85" s="79" t="s">
        <v>2134</v>
      </c>
      <c r="B85" s="79" t="s">
        <v>2135</v>
      </c>
      <c r="C85" s="79">
        <v>590206938</v>
      </c>
      <c r="D85" s="79">
        <v>0</v>
      </c>
      <c r="E85" s="79" t="s">
        <v>1124</v>
      </c>
      <c r="F85" s="79" t="s">
        <v>2102</v>
      </c>
      <c r="G85" s="79" t="s">
        <v>2136</v>
      </c>
      <c r="H85" s="79"/>
      <c r="I85" s="79"/>
    </row>
    <row r="86" spans="1:9" ht="15">
      <c r="A86" s="79" t="s">
        <v>2134</v>
      </c>
      <c r="B86" s="79" t="s">
        <v>2135</v>
      </c>
      <c r="C86" s="79">
        <v>590206938</v>
      </c>
      <c r="D86" s="79">
        <v>0</v>
      </c>
      <c r="E86" s="79" t="s">
        <v>1124</v>
      </c>
      <c r="F86" s="79" t="s">
        <v>2102</v>
      </c>
      <c r="G86" s="79" t="s">
        <v>2137</v>
      </c>
      <c r="H86" s="79"/>
      <c r="I86" s="79"/>
    </row>
    <row r="87" spans="1:9" ht="15">
      <c r="A87" s="79" t="s">
        <v>2134</v>
      </c>
      <c r="B87" s="79" t="s">
        <v>2135</v>
      </c>
      <c r="C87" s="79">
        <v>590206938</v>
      </c>
      <c r="D87" s="79">
        <v>0</v>
      </c>
      <c r="E87" s="79" t="s">
        <v>1124</v>
      </c>
      <c r="F87" s="79" t="s">
        <v>2102</v>
      </c>
      <c r="G87" s="79" t="s">
        <v>2109</v>
      </c>
      <c r="H87" s="79"/>
      <c r="I87" s="79"/>
    </row>
    <row r="88" spans="1:9" ht="15">
      <c r="A88" s="79" t="s">
        <v>2138</v>
      </c>
      <c r="B88" s="79" t="s">
        <v>2139</v>
      </c>
      <c r="C88" s="79">
        <v>590206941</v>
      </c>
      <c r="D88" s="79">
        <v>0</v>
      </c>
      <c r="E88" s="79" t="s">
        <v>1124</v>
      </c>
      <c r="F88" s="79" t="s">
        <v>2102</v>
      </c>
      <c r="G88" s="79" t="s">
        <v>2140</v>
      </c>
      <c r="H88" s="79"/>
      <c r="I88" s="79"/>
    </row>
    <row r="89" spans="1:9" ht="15">
      <c r="A89" s="79" t="s">
        <v>2138</v>
      </c>
      <c r="B89" s="79" t="s">
        <v>2139</v>
      </c>
      <c r="C89" s="79">
        <v>590206941</v>
      </c>
      <c r="D89" s="79">
        <v>0</v>
      </c>
      <c r="E89" s="79" t="s">
        <v>1124</v>
      </c>
      <c r="F89" s="79" t="s">
        <v>2102</v>
      </c>
      <c r="G89" s="79" t="s">
        <v>2141</v>
      </c>
      <c r="H89" s="79"/>
      <c r="I89" s="79"/>
    </row>
    <row r="90" spans="1:9" ht="15">
      <c r="A90" s="79" t="s">
        <v>2138</v>
      </c>
      <c r="B90" s="79" t="s">
        <v>2139</v>
      </c>
      <c r="C90" s="79">
        <v>590206941</v>
      </c>
      <c r="D90" s="79">
        <v>0</v>
      </c>
      <c r="E90" s="79" t="s">
        <v>1124</v>
      </c>
      <c r="F90" s="79" t="s">
        <v>2102</v>
      </c>
      <c r="G90" s="79" t="s">
        <v>2109</v>
      </c>
      <c r="H90" s="79"/>
      <c r="I90" s="79"/>
    </row>
    <row r="91" spans="1:9" ht="15">
      <c r="A91" s="79" t="s">
        <v>2142</v>
      </c>
      <c r="B91" s="79" t="s">
        <v>2143</v>
      </c>
      <c r="C91" s="79">
        <v>590206944</v>
      </c>
      <c r="D91" s="79">
        <v>0</v>
      </c>
      <c r="E91" s="79" t="s">
        <v>1124</v>
      </c>
      <c r="F91" s="79" t="s">
        <v>2102</v>
      </c>
      <c r="G91" s="79" t="s">
        <v>2144</v>
      </c>
      <c r="H91" s="79"/>
      <c r="I91" s="79"/>
    </row>
    <row r="92" spans="1:9" ht="15">
      <c r="A92" s="79" t="s">
        <v>2142</v>
      </c>
      <c r="B92" s="79" t="s">
        <v>2143</v>
      </c>
      <c r="C92" s="79">
        <v>590206944</v>
      </c>
      <c r="D92" s="79">
        <v>0</v>
      </c>
      <c r="E92" s="79" t="s">
        <v>1124</v>
      </c>
      <c r="F92" s="79" t="s">
        <v>2102</v>
      </c>
      <c r="G92" s="79" t="s">
        <v>2145</v>
      </c>
      <c r="H92" s="79"/>
      <c r="I92" s="79"/>
    </row>
    <row r="93" spans="1:9" ht="15">
      <c r="A93" s="79" t="s">
        <v>2142</v>
      </c>
      <c r="B93" s="79" t="s">
        <v>2143</v>
      </c>
      <c r="C93" s="79">
        <v>590206944</v>
      </c>
      <c r="D93" s="79">
        <v>0</v>
      </c>
      <c r="E93" s="79" t="s">
        <v>1124</v>
      </c>
      <c r="F93" s="79" t="s">
        <v>2102</v>
      </c>
      <c r="G93" s="79" t="s">
        <v>2109</v>
      </c>
      <c r="H93" s="79"/>
      <c r="I93" s="79"/>
    </row>
    <row r="94" spans="1:9" ht="15">
      <c r="A94" s="79" t="s">
        <v>2146</v>
      </c>
      <c r="B94" s="79" t="s">
        <v>2147</v>
      </c>
      <c r="C94" s="79">
        <v>590206947</v>
      </c>
      <c r="D94" s="79">
        <v>0</v>
      </c>
      <c r="E94" s="79" t="s">
        <v>1124</v>
      </c>
      <c r="F94" s="79" t="s">
        <v>2102</v>
      </c>
      <c r="G94" s="79" t="s">
        <v>2148</v>
      </c>
      <c r="H94" s="79"/>
      <c r="I94" s="79"/>
    </row>
    <row r="95" spans="1:9" ht="15">
      <c r="A95" s="79" t="s">
        <v>2146</v>
      </c>
      <c r="B95" s="79" t="s">
        <v>2147</v>
      </c>
      <c r="C95" s="79">
        <v>590206947</v>
      </c>
      <c r="D95" s="79">
        <v>0</v>
      </c>
      <c r="E95" s="79" t="s">
        <v>1124</v>
      </c>
      <c r="F95" s="79" t="s">
        <v>2102</v>
      </c>
      <c r="G95" s="79" t="s">
        <v>2149</v>
      </c>
      <c r="H95" s="79"/>
      <c r="I95" s="79"/>
    </row>
    <row r="96" spans="1:9" ht="15">
      <c r="A96" s="79" t="s">
        <v>2146</v>
      </c>
      <c r="B96" s="79" t="s">
        <v>2147</v>
      </c>
      <c r="C96" s="79">
        <v>590206947</v>
      </c>
      <c r="D96" s="79">
        <v>0</v>
      </c>
      <c r="E96" s="79" t="s">
        <v>1124</v>
      </c>
      <c r="F96" s="79" t="s">
        <v>2102</v>
      </c>
      <c r="G96" s="79" t="s">
        <v>2109</v>
      </c>
      <c r="H96" s="79"/>
      <c r="I96" s="79"/>
    </row>
    <row r="97" spans="1:9" ht="15">
      <c r="A97" s="79" t="s">
        <v>2150</v>
      </c>
      <c r="B97" s="79" t="s">
        <v>2151</v>
      </c>
      <c r="C97" s="79">
        <v>590206950</v>
      </c>
      <c r="D97" s="79">
        <v>0</v>
      </c>
      <c r="E97" s="79" t="s">
        <v>1124</v>
      </c>
      <c r="F97" s="79" t="s">
        <v>2102</v>
      </c>
      <c r="G97" s="79" t="s">
        <v>2152</v>
      </c>
      <c r="H97" s="79"/>
      <c r="I97" s="79"/>
    </row>
    <row r="98" spans="1:9" ht="15">
      <c r="A98" s="79" t="s">
        <v>2150</v>
      </c>
      <c r="B98" s="79" t="s">
        <v>2151</v>
      </c>
      <c r="C98" s="79">
        <v>590206950</v>
      </c>
      <c r="D98" s="79">
        <v>0</v>
      </c>
      <c r="E98" s="79" t="s">
        <v>1124</v>
      </c>
      <c r="F98" s="79" t="s">
        <v>2102</v>
      </c>
      <c r="G98" s="79" t="s">
        <v>2109</v>
      </c>
      <c r="H98" s="79"/>
      <c r="I98" s="79"/>
    </row>
    <row r="99" spans="1:9" ht="15">
      <c r="A99" s="79" t="s">
        <v>2153</v>
      </c>
      <c r="B99" s="79" t="s">
        <v>2154</v>
      </c>
      <c r="C99" s="79">
        <v>590206953</v>
      </c>
      <c r="D99" s="79">
        <v>0</v>
      </c>
      <c r="E99" s="79" t="s">
        <v>1124</v>
      </c>
      <c r="F99" s="79" t="s">
        <v>2102</v>
      </c>
      <c r="G99" s="79" t="s">
        <v>2155</v>
      </c>
      <c r="H99" s="79"/>
      <c r="I99" s="79"/>
    </row>
    <row r="100" spans="1:9" ht="15">
      <c r="A100" s="79" t="s">
        <v>2153</v>
      </c>
      <c r="B100" s="79" t="s">
        <v>2154</v>
      </c>
      <c r="C100" s="79">
        <v>590206953</v>
      </c>
      <c r="D100" s="79">
        <v>0</v>
      </c>
      <c r="E100" s="79" t="s">
        <v>1124</v>
      </c>
      <c r="F100" s="79" t="s">
        <v>2102</v>
      </c>
      <c r="G100" s="79" t="s">
        <v>2109</v>
      </c>
      <c r="H100" s="79"/>
      <c r="I100" s="79"/>
    </row>
    <row r="101" spans="1:9" ht="15">
      <c r="A101" s="79" t="s">
        <v>2156</v>
      </c>
      <c r="B101" s="79" t="s">
        <v>2157</v>
      </c>
      <c r="C101" s="79">
        <v>590206956</v>
      </c>
      <c r="D101" s="79">
        <v>0</v>
      </c>
      <c r="E101" s="79" t="s">
        <v>1124</v>
      </c>
      <c r="F101" s="79" t="s">
        <v>2102</v>
      </c>
      <c r="G101" s="79" t="s">
        <v>2158</v>
      </c>
      <c r="H101" s="79"/>
      <c r="I101" s="79"/>
    </row>
    <row r="102" spans="1:9" ht="15">
      <c r="A102" s="79" t="s">
        <v>2156</v>
      </c>
      <c r="B102" s="79" t="s">
        <v>2157</v>
      </c>
      <c r="C102" s="79">
        <v>590206956</v>
      </c>
      <c r="D102" s="79">
        <v>0</v>
      </c>
      <c r="E102" s="79" t="s">
        <v>1124</v>
      </c>
      <c r="F102" s="79" t="s">
        <v>2102</v>
      </c>
      <c r="G102" s="79" t="s">
        <v>2159</v>
      </c>
      <c r="H102" s="79"/>
      <c r="I102" s="79"/>
    </row>
    <row r="103" spans="1:9" ht="15">
      <c r="A103" s="79" t="s">
        <v>2156</v>
      </c>
      <c r="B103" s="79" t="s">
        <v>2157</v>
      </c>
      <c r="C103" s="79">
        <v>590206956</v>
      </c>
      <c r="D103" s="79">
        <v>0</v>
      </c>
      <c r="E103" s="79" t="s">
        <v>1124</v>
      </c>
      <c r="F103" s="79" t="s">
        <v>2102</v>
      </c>
      <c r="G103" s="79" t="s">
        <v>2160</v>
      </c>
      <c r="H103" s="79"/>
      <c r="I103" s="79"/>
    </row>
    <row r="104" spans="1:9" ht="15">
      <c r="A104" s="79" t="s">
        <v>2156</v>
      </c>
      <c r="B104" s="79" t="s">
        <v>2157</v>
      </c>
      <c r="C104" s="79">
        <v>590206956</v>
      </c>
      <c r="D104" s="79">
        <v>0</v>
      </c>
      <c r="E104" s="79" t="s">
        <v>1124</v>
      </c>
      <c r="F104" s="79" t="s">
        <v>2102</v>
      </c>
      <c r="G104" s="79" t="s">
        <v>2161</v>
      </c>
      <c r="H104" s="79"/>
      <c r="I104" s="79"/>
    </row>
    <row r="105" spans="1:9" ht="15">
      <c r="A105" s="79" t="s">
        <v>2156</v>
      </c>
      <c r="B105" s="79" t="s">
        <v>2157</v>
      </c>
      <c r="C105" s="79">
        <v>590206956</v>
      </c>
      <c r="D105" s="79">
        <v>0</v>
      </c>
      <c r="E105" s="79" t="s">
        <v>1124</v>
      </c>
      <c r="F105" s="79" t="s">
        <v>2102</v>
      </c>
      <c r="G105" s="79" t="s">
        <v>2162</v>
      </c>
      <c r="H105" s="79"/>
      <c r="I105" s="79"/>
    </row>
    <row r="106" spans="1:9" ht="15">
      <c r="A106" s="79" t="s">
        <v>2156</v>
      </c>
      <c r="B106" s="79" t="s">
        <v>2157</v>
      </c>
      <c r="C106" s="79">
        <v>590206956</v>
      </c>
      <c r="D106" s="79">
        <v>0</v>
      </c>
      <c r="E106" s="79" t="s">
        <v>1124</v>
      </c>
      <c r="F106" s="79" t="s">
        <v>2102</v>
      </c>
      <c r="G106" s="79" t="s">
        <v>1294</v>
      </c>
      <c r="H106" s="79"/>
      <c r="I106" s="79"/>
    </row>
    <row r="107" spans="1:9" ht="15">
      <c r="A107" s="81" t="s">
        <v>2163</v>
      </c>
      <c r="B107" s="81" t="s">
        <v>2164</v>
      </c>
      <c r="C107" s="81">
        <v>590206986</v>
      </c>
      <c r="D107" s="81">
        <v>7</v>
      </c>
      <c r="E107" s="81" t="s">
        <v>373</v>
      </c>
      <c r="F107" s="81" t="s">
        <v>2099</v>
      </c>
      <c r="G107" s="81" t="s">
        <v>2165</v>
      </c>
      <c r="H107" s="81" t="s">
        <v>2166</v>
      </c>
      <c r="I107" s="81" t="s">
        <v>2101</v>
      </c>
    </row>
    <row r="108" spans="1:9" ht="15">
      <c r="A108" s="81" t="s">
        <v>2167</v>
      </c>
      <c r="B108" s="81" t="s">
        <v>2168</v>
      </c>
      <c r="C108" s="81">
        <v>590206991</v>
      </c>
      <c r="D108" s="81">
        <v>1</v>
      </c>
      <c r="E108" s="81" t="s">
        <v>373</v>
      </c>
      <c r="F108" s="81" t="s">
        <v>2099</v>
      </c>
      <c r="G108" s="81" t="s">
        <v>389</v>
      </c>
      <c r="H108" s="81"/>
      <c r="I108" s="81" t="s">
        <v>2101</v>
      </c>
    </row>
    <row r="109" spans="1:9" ht="15">
      <c r="A109" s="81" t="s">
        <v>2169</v>
      </c>
      <c r="B109" s="81" t="s">
        <v>2170</v>
      </c>
      <c r="C109" s="81">
        <v>590206995</v>
      </c>
      <c r="D109" s="81">
        <v>1</v>
      </c>
      <c r="E109" s="81" t="s">
        <v>373</v>
      </c>
      <c r="F109" s="81" t="s">
        <v>2099</v>
      </c>
      <c r="G109" s="81" t="s">
        <v>389</v>
      </c>
      <c r="H109" s="81"/>
      <c r="I109" s="81" t="s">
        <v>2101</v>
      </c>
    </row>
    <row r="110" spans="1:9" ht="15">
      <c r="A110" s="81" t="s">
        <v>2171</v>
      </c>
      <c r="B110" s="81" t="s">
        <v>2172</v>
      </c>
      <c r="C110" s="81">
        <v>590207000</v>
      </c>
      <c r="D110" s="81">
        <v>1</v>
      </c>
      <c r="E110" s="81" t="s">
        <v>373</v>
      </c>
      <c r="F110" s="81" t="s">
        <v>2099</v>
      </c>
      <c r="G110" s="81" t="s">
        <v>395</v>
      </c>
      <c r="H110" s="81"/>
      <c r="I110" s="81" t="s">
        <v>2101</v>
      </c>
    </row>
    <row r="111" spans="1:9" ht="15">
      <c r="A111" s="81" t="s">
        <v>2173</v>
      </c>
      <c r="B111" s="81" t="s">
        <v>2174</v>
      </c>
      <c r="C111" s="81">
        <v>590207004</v>
      </c>
      <c r="D111" s="81">
        <v>1</v>
      </c>
      <c r="E111" s="81" t="s">
        <v>373</v>
      </c>
      <c r="F111" s="81" t="s">
        <v>2099</v>
      </c>
      <c r="G111" s="81" t="s">
        <v>395</v>
      </c>
      <c r="H111" s="81"/>
      <c r="I111" s="81" t="s">
        <v>2101</v>
      </c>
    </row>
    <row r="112" spans="1:9" ht="15">
      <c r="A112" s="81" t="s">
        <v>2175</v>
      </c>
      <c r="B112" s="81" t="s">
        <v>2176</v>
      </c>
      <c r="C112" s="81">
        <v>590207009</v>
      </c>
      <c r="D112" s="81">
        <v>2</v>
      </c>
      <c r="E112" s="81" t="s">
        <v>373</v>
      </c>
      <c r="F112" s="81" t="s">
        <v>2177</v>
      </c>
      <c r="G112" s="81" t="s">
        <v>375</v>
      </c>
      <c r="H112" s="81"/>
      <c r="I112" s="81" t="s">
        <v>2101</v>
      </c>
    </row>
    <row r="113" spans="1:9" ht="15">
      <c r="A113" s="81" t="s">
        <v>2178</v>
      </c>
      <c r="B113" s="81" t="s">
        <v>2179</v>
      </c>
      <c r="C113" s="81">
        <v>590207013</v>
      </c>
      <c r="D113" s="81">
        <v>1</v>
      </c>
      <c r="E113" s="81" t="s">
        <v>373</v>
      </c>
      <c r="F113" s="81" t="s">
        <v>2177</v>
      </c>
      <c r="G113" s="81" t="s">
        <v>375</v>
      </c>
      <c r="H113" s="81"/>
      <c r="I113" s="81" t="s">
        <v>2101</v>
      </c>
    </row>
    <row r="114" spans="1:9" ht="15">
      <c r="A114" s="81" t="s">
        <v>2180</v>
      </c>
      <c r="B114" s="81" t="s">
        <v>2181</v>
      </c>
      <c r="C114" s="81">
        <v>590207018</v>
      </c>
      <c r="D114" s="81">
        <v>1</v>
      </c>
      <c r="E114" s="81" t="s">
        <v>373</v>
      </c>
      <c r="F114" s="81" t="s">
        <v>2177</v>
      </c>
      <c r="G114" s="81" t="s">
        <v>382</v>
      </c>
      <c r="H114" s="81"/>
      <c r="I114" s="81" t="s">
        <v>2101</v>
      </c>
    </row>
    <row r="115" spans="1:9" ht="15">
      <c r="A115" s="81" t="s">
        <v>2182</v>
      </c>
      <c r="B115" s="81" t="s">
        <v>2183</v>
      </c>
      <c r="C115" s="81">
        <v>590207022</v>
      </c>
      <c r="D115" s="81">
        <v>1</v>
      </c>
      <c r="E115" s="81" t="s">
        <v>373</v>
      </c>
      <c r="F115" s="81" t="s">
        <v>2177</v>
      </c>
      <c r="G115" s="81" t="s">
        <v>382</v>
      </c>
      <c r="H115" s="81"/>
      <c r="I115" s="81" t="s">
        <v>2101</v>
      </c>
    </row>
    <row r="116" spans="1:9" ht="15">
      <c r="A116" s="153" t="s">
        <v>2184</v>
      </c>
      <c r="B116" s="153" t="s">
        <v>2185</v>
      </c>
      <c r="C116" s="153">
        <v>590222827</v>
      </c>
      <c r="D116" s="153">
        <v>1</v>
      </c>
      <c r="E116" s="153" t="s">
        <v>373</v>
      </c>
      <c r="F116" s="153" t="s">
        <v>2186</v>
      </c>
      <c r="G116" s="153" t="s">
        <v>375</v>
      </c>
      <c r="H116" s="153"/>
      <c r="I116" s="153" t="s">
        <v>2187</v>
      </c>
    </row>
    <row r="117" spans="1:9" ht="15">
      <c r="A117" s="153" t="s">
        <v>2188</v>
      </c>
      <c r="B117" s="153" t="s">
        <v>2189</v>
      </c>
      <c r="C117" s="153">
        <v>590222830</v>
      </c>
      <c r="D117" s="153">
        <v>1</v>
      </c>
      <c r="E117" s="153" t="s">
        <v>373</v>
      </c>
      <c r="F117" s="153" t="s">
        <v>2186</v>
      </c>
      <c r="G117" s="153" t="s">
        <v>382</v>
      </c>
      <c r="H117" s="153"/>
      <c r="I117" s="153" t="s">
        <v>2187</v>
      </c>
    </row>
    <row r="118" spans="1:9" ht="15">
      <c r="A118" s="79" t="s">
        <v>2190</v>
      </c>
      <c r="B118" s="79" t="s">
        <v>2191</v>
      </c>
      <c r="C118" s="79">
        <v>590222850</v>
      </c>
      <c r="D118" s="79">
        <v>1</v>
      </c>
      <c r="E118" s="79" t="s">
        <v>373</v>
      </c>
      <c r="F118" s="79" t="s">
        <v>2192</v>
      </c>
      <c r="G118" s="79" t="s">
        <v>389</v>
      </c>
      <c r="H118" s="79"/>
      <c r="I118" s="79"/>
    </row>
    <row r="119" spans="1:9" ht="15">
      <c r="A119" s="79" t="s">
        <v>2193</v>
      </c>
      <c r="B119" s="79" t="s">
        <v>2194</v>
      </c>
      <c r="C119" s="79">
        <v>590222853</v>
      </c>
      <c r="D119" s="79">
        <v>1</v>
      </c>
      <c r="E119" s="79" t="s">
        <v>373</v>
      </c>
      <c r="F119" s="79" t="s">
        <v>2192</v>
      </c>
      <c r="G119" s="79" t="s">
        <v>395</v>
      </c>
      <c r="H119" s="79"/>
      <c r="I119" s="79"/>
    </row>
    <row r="120" spans="1:9" ht="15">
      <c r="A120" s="81" t="s">
        <v>2195</v>
      </c>
      <c r="B120" s="81" t="s">
        <v>2196</v>
      </c>
      <c r="C120" s="81">
        <v>590247716</v>
      </c>
      <c r="D120" s="81">
        <v>7</v>
      </c>
      <c r="E120" s="81" t="s">
        <v>373</v>
      </c>
      <c r="F120" s="81" t="s">
        <v>2197</v>
      </c>
      <c r="G120" s="81" t="s">
        <v>866</v>
      </c>
      <c r="H120" s="81" t="s">
        <v>867</v>
      </c>
      <c r="I120" s="81" t="s">
        <v>2198</v>
      </c>
    </row>
    <row r="121" spans="1:9" ht="15">
      <c r="A121" s="81" t="s">
        <v>2199</v>
      </c>
      <c r="B121" s="81" t="s">
        <v>2200</v>
      </c>
      <c r="C121" s="81">
        <v>590247726</v>
      </c>
      <c r="D121" s="81">
        <v>0</v>
      </c>
      <c r="E121" s="81" t="s">
        <v>1124</v>
      </c>
      <c r="F121" s="81" t="s">
        <v>2197</v>
      </c>
      <c r="G121" s="81" t="s">
        <v>2201</v>
      </c>
      <c r="H121" s="81"/>
      <c r="I121" s="81" t="s">
        <v>2198</v>
      </c>
    </row>
    <row r="122" spans="1:9" ht="15">
      <c r="A122" s="81" t="s">
        <v>2202</v>
      </c>
      <c r="B122" s="81" t="s">
        <v>2203</v>
      </c>
      <c r="C122" s="81">
        <v>590247731</v>
      </c>
      <c r="D122" s="81">
        <v>0</v>
      </c>
      <c r="E122" s="81" t="s">
        <v>1124</v>
      </c>
      <c r="F122" s="81" t="s">
        <v>2197</v>
      </c>
      <c r="G122" s="81" t="s">
        <v>2204</v>
      </c>
      <c r="H122" s="81"/>
      <c r="I122" s="81" t="s">
        <v>2198</v>
      </c>
    </row>
    <row r="123" spans="1:9" ht="15">
      <c r="A123" s="81" t="s">
        <v>2205</v>
      </c>
      <c r="B123" s="81" t="s">
        <v>2206</v>
      </c>
      <c r="C123" s="81">
        <v>590247741</v>
      </c>
      <c r="D123" s="81">
        <v>0</v>
      </c>
      <c r="E123" s="81" t="s">
        <v>1124</v>
      </c>
      <c r="F123" s="81" t="s">
        <v>2207</v>
      </c>
      <c r="G123" s="81" t="s">
        <v>2208</v>
      </c>
      <c r="H123" s="81"/>
      <c r="I123" s="81" t="s">
        <v>2198</v>
      </c>
    </row>
    <row r="124" spans="1:9" ht="15">
      <c r="A124" s="81" t="s">
        <v>2209</v>
      </c>
      <c r="B124" s="81" t="s">
        <v>2210</v>
      </c>
      <c r="C124" s="81">
        <v>590247751</v>
      </c>
      <c r="D124" s="81">
        <v>0</v>
      </c>
      <c r="E124" s="81" t="s">
        <v>1124</v>
      </c>
      <c r="F124" s="81" t="s">
        <v>2207</v>
      </c>
      <c r="G124" s="81" t="s">
        <v>2211</v>
      </c>
      <c r="H124" s="81"/>
      <c r="I124" s="81" t="s">
        <v>2198</v>
      </c>
    </row>
    <row r="125" spans="1:9" ht="15">
      <c r="A125" s="81" t="s">
        <v>2212</v>
      </c>
      <c r="B125" s="81" t="s">
        <v>2213</v>
      </c>
      <c r="C125" s="81">
        <v>590247761</v>
      </c>
      <c r="D125" s="81">
        <v>0</v>
      </c>
      <c r="E125" s="81" t="s">
        <v>1124</v>
      </c>
      <c r="F125" s="81" t="s">
        <v>2207</v>
      </c>
      <c r="G125" s="81" t="s">
        <v>2214</v>
      </c>
      <c r="H125" s="81"/>
      <c r="I125" s="81" t="s">
        <v>2198</v>
      </c>
    </row>
    <row r="126" spans="1:9" ht="15">
      <c r="A126" s="79" t="s">
        <v>2212</v>
      </c>
      <c r="B126" s="79" t="s">
        <v>2213</v>
      </c>
      <c r="C126" s="79">
        <v>590247761</v>
      </c>
      <c r="D126" s="79">
        <v>0</v>
      </c>
      <c r="E126" s="79" t="s">
        <v>1124</v>
      </c>
      <c r="F126" s="79" t="s">
        <v>2215</v>
      </c>
      <c r="G126" s="79" t="s">
        <v>2216</v>
      </c>
      <c r="H126" s="79"/>
      <c r="I126" s="79"/>
    </row>
    <row r="127" spans="1:9" ht="15">
      <c r="A127" s="79" t="s">
        <v>2212</v>
      </c>
      <c r="B127" s="79" t="s">
        <v>2213</v>
      </c>
      <c r="C127" s="79">
        <v>590247761</v>
      </c>
      <c r="D127" s="79">
        <v>0</v>
      </c>
      <c r="E127" s="79" t="s">
        <v>1124</v>
      </c>
      <c r="F127" s="79" t="s">
        <v>2215</v>
      </c>
      <c r="G127" s="79" t="s">
        <v>2104</v>
      </c>
      <c r="H127" s="79"/>
      <c r="I127" s="79"/>
    </row>
    <row r="128" spans="1:9" ht="15">
      <c r="A128" s="79" t="s">
        <v>2217</v>
      </c>
      <c r="B128" s="79" t="s">
        <v>2218</v>
      </c>
      <c r="C128" s="79">
        <v>590247762</v>
      </c>
      <c r="D128" s="79">
        <v>0</v>
      </c>
      <c r="E128" s="79" t="s">
        <v>1124</v>
      </c>
      <c r="F128" s="79" t="s">
        <v>2215</v>
      </c>
      <c r="G128" s="79" t="s">
        <v>2219</v>
      </c>
      <c r="H128" s="79"/>
      <c r="I128" s="79"/>
    </row>
    <row r="129" spans="1:9" ht="15">
      <c r="A129" s="79" t="s">
        <v>2217</v>
      </c>
      <c r="B129" s="79" t="s">
        <v>2218</v>
      </c>
      <c r="C129" s="79">
        <v>590247762</v>
      </c>
      <c r="D129" s="79">
        <v>0</v>
      </c>
      <c r="E129" s="79" t="s">
        <v>1124</v>
      </c>
      <c r="F129" s="79" t="s">
        <v>2215</v>
      </c>
      <c r="G129" s="79" t="s">
        <v>2104</v>
      </c>
      <c r="H129" s="79"/>
      <c r="I129" s="79"/>
    </row>
    <row r="130" spans="1:9" ht="15">
      <c r="A130" s="79" t="s">
        <v>2220</v>
      </c>
      <c r="B130" s="79" t="s">
        <v>2221</v>
      </c>
      <c r="C130" s="79">
        <v>590247763</v>
      </c>
      <c r="D130" s="79">
        <v>0</v>
      </c>
      <c r="E130" s="79" t="s">
        <v>1124</v>
      </c>
      <c r="F130" s="79" t="s">
        <v>2215</v>
      </c>
      <c r="G130" s="79" t="s">
        <v>2222</v>
      </c>
      <c r="H130" s="79"/>
      <c r="I130" s="79"/>
    </row>
    <row r="131" spans="1:9" ht="15">
      <c r="A131" s="79" t="s">
        <v>2220</v>
      </c>
      <c r="B131" s="79" t="s">
        <v>2221</v>
      </c>
      <c r="C131" s="79">
        <v>590247763</v>
      </c>
      <c r="D131" s="79">
        <v>0</v>
      </c>
      <c r="E131" s="79" t="s">
        <v>1124</v>
      </c>
      <c r="F131" s="79" t="s">
        <v>2215</v>
      </c>
      <c r="G131" s="79" t="s">
        <v>2104</v>
      </c>
      <c r="H131" s="79"/>
      <c r="I131" s="79"/>
    </row>
    <row r="132" spans="1:9" ht="15">
      <c r="A132" s="79" t="s">
        <v>2223</v>
      </c>
      <c r="B132" s="79" t="s">
        <v>2224</v>
      </c>
      <c r="C132" s="79">
        <v>590247764</v>
      </c>
      <c r="D132" s="79">
        <v>0</v>
      </c>
      <c r="E132" s="79" t="s">
        <v>1124</v>
      </c>
      <c r="F132" s="79" t="s">
        <v>2215</v>
      </c>
      <c r="G132" s="79" t="s">
        <v>2225</v>
      </c>
      <c r="H132" s="79"/>
      <c r="I132" s="79"/>
    </row>
    <row r="133" spans="1:9" ht="15">
      <c r="A133" s="79" t="s">
        <v>2223</v>
      </c>
      <c r="B133" s="79" t="s">
        <v>2224</v>
      </c>
      <c r="C133" s="79">
        <v>590247764</v>
      </c>
      <c r="D133" s="79">
        <v>0</v>
      </c>
      <c r="E133" s="79" t="s">
        <v>1124</v>
      </c>
      <c r="F133" s="79" t="s">
        <v>2215</v>
      </c>
      <c r="G133" s="79" t="s">
        <v>2226</v>
      </c>
      <c r="H133" s="79"/>
      <c r="I133" s="79"/>
    </row>
    <row r="134" spans="1:9" ht="15">
      <c r="A134" s="79" t="s">
        <v>2223</v>
      </c>
      <c r="B134" s="79" t="s">
        <v>2224</v>
      </c>
      <c r="C134" s="79">
        <v>590247764</v>
      </c>
      <c r="D134" s="79">
        <v>0</v>
      </c>
      <c r="E134" s="79" t="s">
        <v>1124</v>
      </c>
      <c r="F134" s="79" t="s">
        <v>2215</v>
      </c>
      <c r="G134" s="79" t="s">
        <v>2104</v>
      </c>
      <c r="H134" s="79"/>
      <c r="I134" s="79"/>
    </row>
    <row r="135" spans="1:9" ht="15">
      <c r="A135" s="79" t="s">
        <v>2227</v>
      </c>
      <c r="B135" s="79" t="s">
        <v>2228</v>
      </c>
      <c r="C135" s="79">
        <v>590247765</v>
      </c>
      <c r="D135" s="79">
        <v>0</v>
      </c>
      <c r="E135" s="79" t="s">
        <v>1124</v>
      </c>
      <c r="F135" s="79" t="s">
        <v>2215</v>
      </c>
      <c r="G135" s="79" t="s">
        <v>2229</v>
      </c>
      <c r="H135" s="79"/>
      <c r="I135" s="79"/>
    </row>
    <row r="136" spans="1:9" ht="15">
      <c r="A136" s="79" t="s">
        <v>2227</v>
      </c>
      <c r="B136" s="79" t="s">
        <v>2228</v>
      </c>
      <c r="C136" s="79">
        <v>590247765</v>
      </c>
      <c r="D136" s="79">
        <v>0</v>
      </c>
      <c r="E136" s="79" t="s">
        <v>1124</v>
      </c>
      <c r="F136" s="79" t="s">
        <v>2215</v>
      </c>
      <c r="G136" s="79" t="s">
        <v>2104</v>
      </c>
      <c r="H136" s="79"/>
      <c r="I136" s="79"/>
    </row>
    <row r="137" spans="1:9" ht="15">
      <c r="A137" s="79" t="s">
        <v>2230</v>
      </c>
      <c r="B137" s="79" t="s">
        <v>2231</v>
      </c>
      <c r="C137" s="79">
        <v>590247766</v>
      </c>
      <c r="D137" s="79">
        <v>0</v>
      </c>
      <c r="E137" s="79" t="s">
        <v>1124</v>
      </c>
      <c r="F137" s="79" t="s">
        <v>2215</v>
      </c>
      <c r="G137" s="79" t="s">
        <v>2232</v>
      </c>
      <c r="H137" s="79"/>
      <c r="I137" s="79"/>
    </row>
    <row r="138" spans="1:9" ht="15">
      <c r="A138" s="79" t="s">
        <v>2230</v>
      </c>
      <c r="B138" s="79" t="s">
        <v>2231</v>
      </c>
      <c r="C138" s="79">
        <v>590247766</v>
      </c>
      <c r="D138" s="79">
        <v>0</v>
      </c>
      <c r="E138" s="79" t="s">
        <v>1124</v>
      </c>
      <c r="F138" s="79" t="s">
        <v>2215</v>
      </c>
      <c r="G138" s="79" t="s">
        <v>2233</v>
      </c>
      <c r="H138" s="79"/>
      <c r="I138" s="79"/>
    </row>
    <row r="139" spans="1:9" ht="15">
      <c r="A139" s="79" t="s">
        <v>2230</v>
      </c>
      <c r="B139" s="79" t="s">
        <v>2231</v>
      </c>
      <c r="C139" s="79">
        <v>590247766</v>
      </c>
      <c r="D139" s="79">
        <v>0</v>
      </c>
      <c r="E139" s="79" t="s">
        <v>1124</v>
      </c>
      <c r="F139" s="79" t="s">
        <v>2215</v>
      </c>
      <c r="G139" s="79" t="s">
        <v>2234</v>
      </c>
      <c r="H139" s="79"/>
      <c r="I139" s="79"/>
    </row>
    <row r="140" spans="1:9" ht="15">
      <c r="A140" s="79" t="s">
        <v>2230</v>
      </c>
      <c r="B140" s="79" t="s">
        <v>2231</v>
      </c>
      <c r="C140" s="79">
        <v>590247766</v>
      </c>
      <c r="D140" s="79">
        <v>0</v>
      </c>
      <c r="E140" s="79" t="s">
        <v>1124</v>
      </c>
      <c r="F140" s="79" t="s">
        <v>2215</v>
      </c>
      <c r="G140" s="79" t="s">
        <v>2235</v>
      </c>
      <c r="H140" s="79"/>
      <c r="I140" s="79"/>
    </row>
    <row r="141" spans="1:9" ht="15">
      <c r="A141" s="79" t="s">
        <v>2230</v>
      </c>
      <c r="B141" s="79" t="s">
        <v>2231</v>
      </c>
      <c r="C141" s="79">
        <v>590247766</v>
      </c>
      <c r="D141" s="79">
        <v>0</v>
      </c>
      <c r="E141" s="79" t="s">
        <v>1124</v>
      </c>
      <c r="F141" s="79" t="s">
        <v>2215</v>
      </c>
      <c r="G141" s="79" t="s">
        <v>2236</v>
      </c>
      <c r="H141" s="79"/>
      <c r="I141" s="79"/>
    </row>
    <row r="142" spans="1:9" ht="15">
      <c r="A142" s="79" t="s">
        <v>2230</v>
      </c>
      <c r="B142" s="79" t="s">
        <v>2231</v>
      </c>
      <c r="C142" s="79">
        <v>590247766</v>
      </c>
      <c r="D142" s="79">
        <v>0</v>
      </c>
      <c r="E142" s="79" t="s">
        <v>1124</v>
      </c>
      <c r="F142" s="79" t="s">
        <v>2215</v>
      </c>
      <c r="G142" s="79" t="s">
        <v>2104</v>
      </c>
      <c r="H142" s="79"/>
      <c r="I142" s="79"/>
    </row>
    <row r="143" spans="1:9" ht="15">
      <c r="A143" s="79" t="s">
        <v>2237</v>
      </c>
      <c r="B143" s="79" t="s">
        <v>2238</v>
      </c>
      <c r="C143" s="79">
        <v>590247767</v>
      </c>
      <c r="D143" s="79">
        <v>0</v>
      </c>
      <c r="E143" s="79" t="s">
        <v>1124</v>
      </c>
      <c r="F143" s="79" t="s">
        <v>2215</v>
      </c>
      <c r="G143" s="79" t="s">
        <v>2239</v>
      </c>
      <c r="H143" s="79"/>
      <c r="I143" s="79"/>
    </row>
    <row r="144" spans="1:9" ht="15">
      <c r="A144" s="79" t="s">
        <v>2237</v>
      </c>
      <c r="B144" s="79" t="s">
        <v>2238</v>
      </c>
      <c r="C144" s="79">
        <v>590247767</v>
      </c>
      <c r="D144" s="79">
        <v>0</v>
      </c>
      <c r="E144" s="79" t="s">
        <v>1124</v>
      </c>
      <c r="F144" s="79" t="s">
        <v>2215</v>
      </c>
      <c r="G144" s="79" t="s">
        <v>2104</v>
      </c>
      <c r="H144" s="79"/>
      <c r="I144" s="79"/>
    </row>
    <row r="145" spans="1:9" ht="15">
      <c r="A145" s="79" t="s">
        <v>2240</v>
      </c>
      <c r="B145" s="79" t="s">
        <v>2241</v>
      </c>
      <c r="C145" s="79">
        <v>590247768</v>
      </c>
      <c r="D145" s="79">
        <v>0</v>
      </c>
      <c r="E145" s="79" t="s">
        <v>1124</v>
      </c>
      <c r="F145" s="79" t="s">
        <v>2215</v>
      </c>
      <c r="G145" s="79" t="s">
        <v>2242</v>
      </c>
      <c r="H145" s="79"/>
      <c r="I145" s="79"/>
    </row>
    <row r="146" spans="1:9" ht="15">
      <c r="A146" s="79" t="s">
        <v>2240</v>
      </c>
      <c r="B146" s="79" t="s">
        <v>2241</v>
      </c>
      <c r="C146" s="79">
        <v>590247768</v>
      </c>
      <c r="D146" s="79">
        <v>0</v>
      </c>
      <c r="E146" s="79" t="s">
        <v>1124</v>
      </c>
      <c r="F146" s="79" t="s">
        <v>2215</v>
      </c>
      <c r="G146" s="79" t="s">
        <v>2104</v>
      </c>
      <c r="H146" s="79"/>
      <c r="I146" s="79"/>
    </row>
    <row r="147" spans="1:9" ht="15">
      <c r="A147" s="79" t="s">
        <v>2243</v>
      </c>
      <c r="B147" s="79" t="s">
        <v>2244</v>
      </c>
      <c r="C147" s="79">
        <v>590247769</v>
      </c>
      <c r="D147" s="79">
        <v>0</v>
      </c>
      <c r="E147" s="79" t="s">
        <v>1124</v>
      </c>
      <c r="F147" s="79" t="s">
        <v>2215</v>
      </c>
      <c r="G147" s="79" t="s">
        <v>2245</v>
      </c>
      <c r="H147" s="79"/>
      <c r="I147" s="79"/>
    </row>
    <row r="148" spans="1:9" ht="15">
      <c r="A148" s="79" t="s">
        <v>2243</v>
      </c>
      <c r="B148" s="79" t="s">
        <v>2244</v>
      </c>
      <c r="C148" s="79">
        <v>590247769</v>
      </c>
      <c r="D148" s="79">
        <v>0</v>
      </c>
      <c r="E148" s="79" t="s">
        <v>1124</v>
      </c>
      <c r="F148" s="79" t="s">
        <v>2215</v>
      </c>
      <c r="G148" s="79" t="s">
        <v>2104</v>
      </c>
      <c r="H148" s="79"/>
      <c r="I148" s="79"/>
    </row>
    <row r="149" spans="1:9" ht="15">
      <c r="A149" s="79" t="s">
        <v>2246</v>
      </c>
      <c r="B149" s="79" t="s">
        <v>2247</v>
      </c>
      <c r="C149" s="79">
        <v>590247770</v>
      </c>
      <c r="D149" s="79">
        <v>0</v>
      </c>
      <c r="E149" s="79" t="s">
        <v>1124</v>
      </c>
      <c r="F149" s="79" t="s">
        <v>2215</v>
      </c>
      <c r="G149" s="79" t="s">
        <v>2160</v>
      </c>
      <c r="H149" s="79"/>
      <c r="I149" s="79"/>
    </row>
    <row r="150" spans="1:9" ht="15">
      <c r="A150" s="79" t="s">
        <v>2246</v>
      </c>
      <c r="B150" s="79" t="s">
        <v>2247</v>
      </c>
      <c r="C150" s="79">
        <v>590247770</v>
      </c>
      <c r="D150" s="79">
        <v>0</v>
      </c>
      <c r="E150" s="79" t="s">
        <v>1124</v>
      </c>
      <c r="F150" s="79" t="s">
        <v>2215</v>
      </c>
      <c r="G150" s="79" t="s">
        <v>2104</v>
      </c>
      <c r="H150" s="79"/>
      <c r="I150" s="79"/>
    </row>
    <row r="151" spans="1:9" ht="15">
      <c r="A151" s="79" t="s">
        <v>2248</v>
      </c>
      <c r="B151" s="79" t="s">
        <v>2249</v>
      </c>
      <c r="C151" s="79">
        <v>590247771</v>
      </c>
      <c r="D151" s="79">
        <v>0</v>
      </c>
      <c r="E151" s="79" t="s">
        <v>1124</v>
      </c>
      <c r="F151" s="79" t="s">
        <v>2215</v>
      </c>
      <c r="G151" s="79" t="s">
        <v>2250</v>
      </c>
      <c r="H151" s="79"/>
      <c r="I151" s="79"/>
    </row>
    <row r="152" spans="1:9" ht="15">
      <c r="A152" s="79" t="s">
        <v>2248</v>
      </c>
      <c r="B152" s="79" t="s">
        <v>2249</v>
      </c>
      <c r="C152" s="79">
        <v>590247771</v>
      </c>
      <c r="D152" s="79">
        <v>0</v>
      </c>
      <c r="E152" s="79" t="s">
        <v>1124</v>
      </c>
      <c r="F152" s="79" t="s">
        <v>2215</v>
      </c>
      <c r="G152" s="79" t="s">
        <v>2251</v>
      </c>
      <c r="H152" s="79"/>
      <c r="I152" s="79"/>
    </row>
    <row r="153" spans="1:9" ht="15">
      <c r="A153" s="79" t="s">
        <v>2248</v>
      </c>
      <c r="B153" s="79" t="s">
        <v>2249</v>
      </c>
      <c r="C153" s="79">
        <v>590247771</v>
      </c>
      <c r="D153" s="79">
        <v>0</v>
      </c>
      <c r="E153" s="79" t="s">
        <v>1124</v>
      </c>
      <c r="F153" s="79" t="s">
        <v>2215</v>
      </c>
      <c r="G153" s="79" t="s">
        <v>2252</v>
      </c>
      <c r="H153" s="79"/>
      <c r="I153" s="79"/>
    </row>
    <row r="154" spans="1:9" ht="15">
      <c r="A154" s="79" t="s">
        <v>2248</v>
      </c>
      <c r="B154" s="79" t="s">
        <v>2249</v>
      </c>
      <c r="C154" s="79">
        <v>590247771</v>
      </c>
      <c r="D154" s="79">
        <v>0</v>
      </c>
      <c r="E154" s="79" t="s">
        <v>1124</v>
      </c>
      <c r="F154" s="79" t="s">
        <v>2215</v>
      </c>
      <c r="G154" s="79" t="s">
        <v>2253</v>
      </c>
      <c r="H154" s="79"/>
      <c r="I154" s="79"/>
    </row>
    <row r="155" spans="1:9" ht="15">
      <c r="A155" s="79" t="s">
        <v>2248</v>
      </c>
      <c r="B155" s="79" t="s">
        <v>2249</v>
      </c>
      <c r="C155" s="79">
        <v>590247771</v>
      </c>
      <c r="D155" s="79">
        <v>0</v>
      </c>
      <c r="E155" s="79" t="s">
        <v>1124</v>
      </c>
      <c r="F155" s="79" t="s">
        <v>2215</v>
      </c>
      <c r="G155" s="79" t="s">
        <v>2254</v>
      </c>
      <c r="H155" s="79"/>
      <c r="I155" s="79"/>
    </row>
    <row r="156" spans="1:9" ht="15">
      <c r="A156" s="79" t="s">
        <v>2248</v>
      </c>
      <c r="B156" s="79" t="s">
        <v>2249</v>
      </c>
      <c r="C156" s="79">
        <v>590247771</v>
      </c>
      <c r="D156" s="79">
        <v>0</v>
      </c>
      <c r="E156" s="79" t="s">
        <v>1124</v>
      </c>
      <c r="F156" s="79" t="s">
        <v>2215</v>
      </c>
      <c r="G156" s="79" t="s">
        <v>2104</v>
      </c>
      <c r="H156" s="79"/>
      <c r="I156" s="79"/>
    </row>
    <row r="157" spans="1:9" ht="15">
      <c r="A157" s="79" t="s">
        <v>2255</v>
      </c>
      <c r="B157" s="79" t="s">
        <v>2256</v>
      </c>
      <c r="C157" s="79">
        <v>590247772</v>
      </c>
      <c r="D157" s="79">
        <v>0</v>
      </c>
      <c r="E157" s="79" t="s">
        <v>1124</v>
      </c>
      <c r="F157" s="79" t="s">
        <v>2215</v>
      </c>
      <c r="G157" s="79" t="s">
        <v>2257</v>
      </c>
      <c r="H157" s="79"/>
      <c r="I157" s="79"/>
    </row>
    <row r="158" spans="1:9" ht="15">
      <c r="A158" s="79" t="s">
        <v>2255</v>
      </c>
      <c r="B158" s="79" t="s">
        <v>2256</v>
      </c>
      <c r="C158" s="79">
        <v>590247772</v>
      </c>
      <c r="D158" s="79">
        <v>0</v>
      </c>
      <c r="E158" s="79" t="s">
        <v>1124</v>
      </c>
      <c r="F158" s="79" t="s">
        <v>2215</v>
      </c>
      <c r="G158" s="79" t="s">
        <v>2258</v>
      </c>
      <c r="H158" s="79"/>
      <c r="I158" s="79"/>
    </row>
    <row r="159" spans="1:9" ht="15">
      <c r="A159" s="79" t="s">
        <v>2255</v>
      </c>
      <c r="B159" s="79" t="s">
        <v>2256</v>
      </c>
      <c r="C159" s="79">
        <v>590247772</v>
      </c>
      <c r="D159" s="79">
        <v>0</v>
      </c>
      <c r="E159" s="79" t="s">
        <v>1124</v>
      </c>
      <c r="F159" s="79" t="s">
        <v>2215</v>
      </c>
      <c r="G159" s="79" t="s">
        <v>2259</v>
      </c>
      <c r="H159" s="79"/>
      <c r="I159" s="79"/>
    </row>
    <row r="160" spans="1:9" ht="15">
      <c r="A160" s="79" t="s">
        <v>2255</v>
      </c>
      <c r="B160" s="79" t="s">
        <v>2256</v>
      </c>
      <c r="C160" s="79">
        <v>590247772</v>
      </c>
      <c r="D160" s="79">
        <v>0</v>
      </c>
      <c r="E160" s="79" t="s">
        <v>1124</v>
      </c>
      <c r="F160" s="79" t="s">
        <v>2215</v>
      </c>
      <c r="G160" s="79" t="s">
        <v>2260</v>
      </c>
      <c r="H160" s="79"/>
      <c r="I160" s="79"/>
    </row>
    <row r="161" spans="1:9" ht="15">
      <c r="A161" s="79" t="s">
        <v>2255</v>
      </c>
      <c r="B161" s="79" t="s">
        <v>2256</v>
      </c>
      <c r="C161" s="79">
        <v>590247772</v>
      </c>
      <c r="D161" s="79">
        <v>0</v>
      </c>
      <c r="E161" s="79" t="s">
        <v>1124</v>
      </c>
      <c r="F161" s="79" t="s">
        <v>2215</v>
      </c>
      <c r="G161" s="79" t="s">
        <v>2261</v>
      </c>
      <c r="H161" s="79"/>
      <c r="I161" s="79"/>
    </row>
    <row r="162" spans="1:9" ht="15">
      <c r="A162" s="79" t="s">
        <v>2255</v>
      </c>
      <c r="B162" s="79" t="s">
        <v>2256</v>
      </c>
      <c r="C162" s="79">
        <v>590247772</v>
      </c>
      <c r="D162" s="79">
        <v>0</v>
      </c>
      <c r="E162" s="79" t="s">
        <v>1124</v>
      </c>
      <c r="F162" s="79" t="s">
        <v>2215</v>
      </c>
      <c r="G162" s="79" t="s">
        <v>2104</v>
      </c>
      <c r="H162" s="79"/>
      <c r="I162" s="79"/>
    </row>
    <row r="163" spans="1:9" ht="15">
      <c r="A163" s="79" t="s">
        <v>2262</v>
      </c>
      <c r="B163" s="79" t="s">
        <v>2263</v>
      </c>
      <c r="C163" s="79">
        <v>590247773</v>
      </c>
      <c r="D163" s="79">
        <v>0</v>
      </c>
      <c r="E163" s="79" t="s">
        <v>1124</v>
      </c>
      <c r="F163" s="79" t="s">
        <v>2215</v>
      </c>
      <c r="G163" s="79" t="s">
        <v>2264</v>
      </c>
      <c r="H163" s="79"/>
      <c r="I163" s="79"/>
    </row>
    <row r="164" spans="1:9" ht="15">
      <c r="A164" s="79" t="s">
        <v>2262</v>
      </c>
      <c r="B164" s="79" t="s">
        <v>2263</v>
      </c>
      <c r="C164" s="79">
        <v>590247773</v>
      </c>
      <c r="D164" s="79">
        <v>0</v>
      </c>
      <c r="E164" s="79" t="s">
        <v>1124</v>
      </c>
      <c r="F164" s="79" t="s">
        <v>2215</v>
      </c>
      <c r="G164" s="79" t="s">
        <v>2265</v>
      </c>
      <c r="H164" s="79"/>
      <c r="I164" s="79"/>
    </row>
    <row r="165" spans="1:9" ht="15">
      <c r="A165" s="79" t="s">
        <v>2262</v>
      </c>
      <c r="B165" s="79" t="s">
        <v>2263</v>
      </c>
      <c r="C165" s="79">
        <v>590247773</v>
      </c>
      <c r="D165" s="79">
        <v>0</v>
      </c>
      <c r="E165" s="79" t="s">
        <v>1124</v>
      </c>
      <c r="F165" s="79" t="s">
        <v>2215</v>
      </c>
      <c r="G165" s="79" t="s">
        <v>2266</v>
      </c>
      <c r="H165" s="79"/>
      <c r="I165" s="79"/>
    </row>
    <row r="166" spans="1:9" ht="15">
      <c r="A166" s="79" t="s">
        <v>2262</v>
      </c>
      <c r="B166" s="79" t="s">
        <v>2263</v>
      </c>
      <c r="C166" s="79">
        <v>590247773</v>
      </c>
      <c r="D166" s="79">
        <v>0</v>
      </c>
      <c r="E166" s="79" t="s">
        <v>1124</v>
      </c>
      <c r="F166" s="79" t="s">
        <v>2215</v>
      </c>
      <c r="G166" s="79" t="s">
        <v>2267</v>
      </c>
      <c r="H166" s="79"/>
      <c r="I166" s="79"/>
    </row>
    <row r="167" spans="1:9" ht="15">
      <c r="A167" s="79" t="s">
        <v>2262</v>
      </c>
      <c r="B167" s="79" t="s">
        <v>2263</v>
      </c>
      <c r="C167" s="79">
        <v>590247773</v>
      </c>
      <c r="D167" s="79">
        <v>0</v>
      </c>
      <c r="E167" s="79" t="s">
        <v>1124</v>
      </c>
      <c r="F167" s="79" t="s">
        <v>2215</v>
      </c>
      <c r="G167" s="79" t="s">
        <v>2104</v>
      </c>
      <c r="H167" s="79"/>
      <c r="I167" s="79"/>
    </row>
    <row r="168" spans="1:9" ht="15">
      <c r="A168" s="79" t="s">
        <v>2268</v>
      </c>
      <c r="B168" s="79" t="s">
        <v>2269</v>
      </c>
      <c r="C168" s="79">
        <v>590247774</v>
      </c>
      <c r="D168" s="79">
        <v>0</v>
      </c>
      <c r="E168" s="79" t="s">
        <v>1124</v>
      </c>
      <c r="F168" s="79" t="s">
        <v>2215</v>
      </c>
      <c r="G168" s="79" t="s">
        <v>2270</v>
      </c>
      <c r="H168" s="79"/>
      <c r="I168" s="79"/>
    </row>
    <row r="169" spans="1:9" ht="15">
      <c r="A169" s="79" t="s">
        <v>2268</v>
      </c>
      <c r="B169" s="79" t="s">
        <v>2269</v>
      </c>
      <c r="C169" s="79">
        <v>590247774</v>
      </c>
      <c r="D169" s="79">
        <v>0</v>
      </c>
      <c r="E169" s="79" t="s">
        <v>1124</v>
      </c>
      <c r="F169" s="79" t="s">
        <v>2215</v>
      </c>
      <c r="G169" s="79" t="s">
        <v>2271</v>
      </c>
      <c r="H169" s="79"/>
      <c r="I169" s="79"/>
    </row>
    <row r="170" spans="1:9" ht="15">
      <c r="A170" s="79" t="s">
        <v>2268</v>
      </c>
      <c r="B170" s="79" t="s">
        <v>2269</v>
      </c>
      <c r="C170" s="79">
        <v>590247774</v>
      </c>
      <c r="D170" s="79">
        <v>0</v>
      </c>
      <c r="E170" s="79" t="s">
        <v>1124</v>
      </c>
      <c r="F170" s="79" t="s">
        <v>2215</v>
      </c>
      <c r="G170" s="79" t="s">
        <v>2272</v>
      </c>
      <c r="H170" s="79"/>
      <c r="I170" s="79"/>
    </row>
    <row r="171" spans="1:9" ht="15">
      <c r="A171" s="79" t="s">
        <v>2268</v>
      </c>
      <c r="B171" s="79" t="s">
        <v>2269</v>
      </c>
      <c r="C171" s="79">
        <v>590247774</v>
      </c>
      <c r="D171" s="79">
        <v>0</v>
      </c>
      <c r="E171" s="79" t="s">
        <v>1124</v>
      </c>
      <c r="F171" s="79" t="s">
        <v>2215</v>
      </c>
      <c r="G171" s="79" t="s">
        <v>2273</v>
      </c>
      <c r="H171" s="79"/>
      <c r="I171" s="79"/>
    </row>
    <row r="172" spans="1:9" ht="15">
      <c r="A172" s="79" t="s">
        <v>2268</v>
      </c>
      <c r="B172" s="79" t="s">
        <v>2269</v>
      </c>
      <c r="C172" s="79">
        <v>590247774</v>
      </c>
      <c r="D172" s="79">
        <v>0</v>
      </c>
      <c r="E172" s="79" t="s">
        <v>1124</v>
      </c>
      <c r="F172" s="79" t="s">
        <v>2215</v>
      </c>
      <c r="G172" s="79" t="s">
        <v>2104</v>
      </c>
      <c r="H172" s="79"/>
      <c r="I172" s="79"/>
    </row>
    <row r="173" spans="1:9" ht="15">
      <c r="A173" s="79" t="s">
        <v>2274</v>
      </c>
      <c r="B173" s="79" t="s">
        <v>2275</v>
      </c>
      <c r="C173" s="79">
        <v>590247775</v>
      </c>
      <c r="D173" s="79">
        <v>0</v>
      </c>
      <c r="E173" s="79" t="s">
        <v>1124</v>
      </c>
      <c r="F173" s="79" t="s">
        <v>2215</v>
      </c>
      <c r="G173" s="79" t="s">
        <v>2276</v>
      </c>
      <c r="H173" s="79"/>
      <c r="I173" s="79"/>
    </row>
    <row r="174" spans="1:9" ht="15">
      <c r="A174" s="79" t="s">
        <v>2274</v>
      </c>
      <c r="B174" s="79" t="s">
        <v>2275</v>
      </c>
      <c r="C174" s="79">
        <v>590247775</v>
      </c>
      <c r="D174" s="79">
        <v>0</v>
      </c>
      <c r="E174" s="79" t="s">
        <v>1124</v>
      </c>
      <c r="F174" s="79" t="s">
        <v>2215</v>
      </c>
      <c r="G174" s="79" t="s">
        <v>2277</v>
      </c>
      <c r="H174" s="79"/>
      <c r="I174" s="79"/>
    </row>
    <row r="175" spans="1:9" ht="15">
      <c r="A175" s="79" t="s">
        <v>2274</v>
      </c>
      <c r="B175" s="79" t="s">
        <v>2275</v>
      </c>
      <c r="C175" s="79">
        <v>590247775</v>
      </c>
      <c r="D175" s="79">
        <v>0</v>
      </c>
      <c r="E175" s="79" t="s">
        <v>1124</v>
      </c>
      <c r="F175" s="79" t="s">
        <v>2215</v>
      </c>
      <c r="G175" s="79" t="s">
        <v>2278</v>
      </c>
      <c r="H175" s="79"/>
      <c r="I175" s="79"/>
    </row>
    <row r="176" spans="1:9" ht="15">
      <c r="A176" s="79" t="s">
        <v>2274</v>
      </c>
      <c r="B176" s="79" t="s">
        <v>2275</v>
      </c>
      <c r="C176" s="79">
        <v>590247775</v>
      </c>
      <c r="D176" s="79">
        <v>0</v>
      </c>
      <c r="E176" s="79" t="s">
        <v>1124</v>
      </c>
      <c r="F176" s="79" t="s">
        <v>2215</v>
      </c>
      <c r="G176" s="79" t="s">
        <v>2279</v>
      </c>
      <c r="H176" s="79"/>
      <c r="I176" s="79"/>
    </row>
    <row r="177" spans="1:9" ht="15">
      <c r="A177" s="79" t="s">
        <v>2274</v>
      </c>
      <c r="B177" s="79" t="s">
        <v>2275</v>
      </c>
      <c r="C177" s="79">
        <v>590247775</v>
      </c>
      <c r="D177" s="79">
        <v>0</v>
      </c>
      <c r="E177" s="79" t="s">
        <v>1124</v>
      </c>
      <c r="F177" s="79" t="s">
        <v>2215</v>
      </c>
      <c r="G177" s="79" t="s">
        <v>2104</v>
      </c>
      <c r="H177" s="79"/>
      <c r="I177" s="79"/>
    </row>
    <row r="178" spans="1:9" ht="15">
      <c r="A178" s="79" t="s">
        <v>2280</v>
      </c>
      <c r="B178" s="79" t="s">
        <v>2281</v>
      </c>
      <c r="C178" s="79">
        <v>590247776</v>
      </c>
      <c r="D178" s="79">
        <v>0</v>
      </c>
      <c r="E178" s="79" t="s">
        <v>1124</v>
      </c>
      <c r="F178" s="79" t="s">
        <v>2215</v>
      </c>
      <c r="G178" s="79" t="s">
        <v>2282</v>
      </c>
      <c r="H178" s="79"/>
      <c r="I178" s="79"/>
    </row>
    <row r="179" spans="1:9" ht="15">
      <c r="A179" s="79" t="s">
        <v>2280</v>
      </c>
      <c r="B179" s="79" t="s">
        <v>2281</v>
      </c>
      <c r="C179" s="79">
        <v>590247776</v>
      </c>
      <c r="D179" s="79">
        <v>0</v>
      </c>
      <c r="E179" s="79" t="s">
        <v>1124</v>
      </c>
      <c r="F179" s="79" t="s">
        <v>2215</v>
      </c>
      <c r="G179" s="79" t="s">
        <v>2283</v>
      </c>
      <c r="H179" s="79"/>
      <c r="I179" s="79"/>
    </row>
    <row r="180" spans="1:9" ht="15">
      <c r="A180" s="79" t="s">
        <v>2280</v>
      </c>
      <c r="B180" s="79" t="s">
        <v>2281</v>
      </c>
      <c r="C180" s="79">
        <v>590247776</v>
      </c>
      <c r="D180" s="79">
        <v>0</v>
      </c>
      <c r="E180" s="79" t="s">
        <v>1124</v>
      </c>
      <c r="F180" s="79" t="s">
        <v>2215</v>
      </c>
      <c r="G180" s="79" t="s">
        <v>2104</v>
      </c>
      <c r="H180" s="79"/>
      <c r="I180" s="79"/>
    </row>
    <row r="181" spans="1:9" ht="15">
      <c r="A181" s="79" t="s">
        <v>2284</v>
      </c>
      <c r="B181" s="79" t="s">
        <v>2285</v>
      </c>
      <c r="C181" s="79">
        <v>590247777</v>
      </c>
      <c r="D181" s="79">
        <v>0</v>
      </c>
      <c r="E181" s="79" t="s">
        <v>1124</v>
      </c>
      <c r="F181" s="79" t="s">
        <v>2215</v>
      </c>
      <c r="G181" s="79" t="s">
        <v>2286</v>
      </c>
      <c r="H181" s="79"/>
      <c r="I181" s="79"/>
    </row>
    <row r="182" spans="1:9" ht="15">
      <c r="A182" s="79" t="s">
        <v>2284</v>
      </c>
      <c r="B182" s="79" t="s">
        <v>2285</v>
      </c>
      <c r="C182" s="79">
        <v>590247777</v>
      </c>
      <c r="D182" s="79">
        <v>0</v>
      </c>
      <c r="E182" s="79" t="s">
        <v>1124</v>
      </c>
      <c r="F182" s="79" t="s">
        <v>2215</v>
      </c>
      <c r="G182" s="79" t="s">
        <v>2287</v>
      </c>
      <c r="H182" s="79"/>
      <c r="I182" s="79"/>
    </row>
    <row r="183" spans="1:9" ht="15">
      <c r="A183" s="79" t="s">
        <v>2284</v>
      </c>
      <c r="B183" s="79" t="s">
        <v>2285</v>
      </c>
      <c r="C183" s="79">
        <v>590247777</v>
      </c>
      <c r="D183" s="79">
        <v>0</v>
      </c>
      <c r="E183" s="79" t="s">
        <v>1124</v>
      </c>
      <c r="F183" s="79" t="s">
        <v>2215</v>
      </c>
      <c r="G183" s="79" t="s">
        <v>2288</v>
      </c>
      <c r="H183" s="79"/>
      <c r="I183" s="79"/>
    </row>
    <row r="184" spans="1:9" ht="15">
      <c r="A184" s="79" t="s">
        <v>2284</v>
      </c>
      <c r="B184" s="79" t="s">
        <v>2285</v>
      </c>
      <c r="C184" s="79">
        <v>590247777</v>
      </c>
      <c r="D184" s="79">
        <v>0</v>
      </c>
      <c r="E184" s="79" t="s">
        <v>1124</v>
      </c>
      <c r="F184" s="79" t="s">
        <v>2215</v>
      </c>
      <c r="G184" s="79" t="s">
        <v>2289</v>
      </c>
      <c r="H184" s="79"/>
      <c r="I184" s="79"/>
    </row>
    <row r="185" spans="1:9" ht="15">
      <c r="A185" s="79" t="s">
        <v>2284</v>
      </c>
      <c r="B185" s="79" t="s">
        <v>2285</v>
      </c>
      <c r="C185" s="79">
        <v>590247777</v>
      </c>
      <c r="D185" s="79">
        <v>0</v>
      </c>
      <c r="E185" s="79" t="s">
        <v>1124</v>
      </c>
      <c r="F185" s="79" t="s">
        <v>2290</v>
      </c>
      <c r="G185" s="79" t="s">
        <v>2291</v>
      </c>
      <c r="H185" s="79"/>
      <c r="I185" s="79"/>
    </row>
    <row r="186" spans="1:9" ht="15">
      <c r="A186" s="79" t="s">
        <v>2284</v>
      </c>
      <c r="B186" s="79" t="s">
        <v>2285</v>
      </c>
      <c r="C186" s="79">
        <v>590247777</v>
      </c>
      <c r="D186" s="79">
        <v>0</v>
      </c>
      <c r="E186" s="79" t="s">
        <v>1124</v>
      </c>
      <c r="F186" s="79" t="s">
        <v>2290</v>
      </c>
      <c r="G186" s="79" t="s">
        <v>2109</v>
      </c>
      <c r="H186" s="79"/>
      <c r="I186" s="79"/>
    </row>
    <row r="187" spans="1:9" ht="15">
      <c r="A187" s="79" t="s">
        <v>2284</v>
      </c>
      <c r="B187" s="79" t="s">
        <v>2285</v>
      </c>
      <c r="C187" s="79">
        <v>590247777</v>
      </c>
      <c r="D187" s="79">
        <v>0</v>
      </c>
      <c r="E187" s="79" t="s">
        <v>1124</v>
      </c>
      <c r="F187" s="79" t="s">
        <v>2292</v>
      </c>
      <c r="G187" s="79" t="s">
        <v>2293</v>
      </c>
      <c r="H187" s="79"/>
      <c r="I187" s="79"/>
    </row>
    <row r="188" spans="1:9" ht="15">
      <c r="A188" s="79" t="s">
        <v>2284</v>
      </c>
      <c r="B188" s="79" t="s">
        <v>2285</v>
      </c>
      <c r="C188" s="79">
        <v>590247777</v>
      </c>
      <c r="D188" s="79">
        <v>0</v>
      </c>
      <c r="E188" s="79" t="s">
        <v>1124</v>
      </c>
      <c r="F188" s="79" t="s">
        <v>2292</v>
      </c>
      <c r="G188" s="79" t="s">
        <v>2103</v>
      </c>
      <c r="H188" s="79"/>
      <c r="I188" s="79"/>
    </row>
    <row r="189" spans="1:9" ht="15">
      <c r="A189" s="79" t="s">
        <v>2284</v>
      </c>
      <c r="B189" s="79" t="s">
        <v>2285</v>
      </c>
      <c r="C189" s="79">
        <v>590247777</v>
      </c>
      <c r="D189" s="79">
        <v>0</v>
      </c>
      <c r="E189" s="79" t="s">
        <v>1124</v>
      </c>
      <c r="F189" s="79" t="s">
        <v>2292</v>
      </c>
      <c r="G189" s="79" t="s">
        <v>2294</v>
      </c>
      <c r="H189" s="79"/>
      <c r="I189" s="79"/>
    </row>
    <row r="190" spans="1:9" ht="15">
      <c r="A190" s="79" t="s">
        <v>2284</v>
      </c>
      <c r="B190" s="79" t="s">
        <v>2285</v>
      </c>
      <c r="C190" s="79">
        <v>590247777</v>
      </c>
      <c r="D190" s="79">
        <v>0</v>
      </c>
      <c r="E190" s="79" t="s">
        <v>1124</v>
      </c>
      <c r="F190" s="79" t="s">
        <v>2292</v>
      </c>
      <c r="G190" s="79" t="s">
        <v>2295</v>
      </c>
      <c r="H190" s="79"/>
      <c r="I190" s="79"/>
    </row>
    <row r="191" spans="1:9" ht="15">
      <c r="A191" s="79" t="s">
        <v>2296</v>
      </c>
      <c r="B191" s="79" t="s">
        <v>2297</v>
      </c>
      <c r="C191" s="79">
        <v>590247779</v>
      </c>
      <c r="D191" s="79">
        <v>0</v>
      </c>
      <c r="E191" s="79" t="s">
        <v>1124</v>
      </c>
      <c r="F191" s="79" t="s">
        <v>2292</v>
      </c>
      <c r="G191" s="79" t="s">
        <v>2298</v>
      </c>
      <c r="H191" s="79"/>
      <c r="I191" s="79"/>
    </row>
    <row r="192" spans="1:9" ht="15">
      <c r="A192" s="79" t="s">
        <v>2296</v>
      </c>
      <c r="B192" s="79" t="s">
        <v>2297</v>
      </c>
      <c r="C192" s="79">
        <v>590247779</v>
      </c>
      <c r="D192" s="79">
        <v>0</v>
      </c>
      <c r="E192" s="79" t="s">
        <v>1124</v>
      </c>
      <c r="F192" s="79" t="s">
        <v>2292</v>
      </c>
      <c r="G192" s="79" t="s">
        <v>1294</v>
      </c>
      <c r="H192" s="79"/>
      <c r="I192" s="79"/>
    </row>
    <row r="193" spans="1:9" ht="15">
      <c r="A193" s="79" t="s">
        <v>2299</v>
      </c>
      <c r="B193" s="79" t="s">
        <v>2300</v>
      </c>
      <c r="C193" s="79">
        <v>590247780</v>
      </c>
      <c r="D193" s="79">
        <v>0</v>
      </c>
      <c r="E193" s="79" t="s">
        <v>1124</v>
      </c>
      <c r="F193" s="79" t="s">
        <v>2290</v>
      </c>
      <c r="G193" s="79" t="s">
        <v>2301</v>
      </c>
      <c r="H193" s="79"/>
      <c r="I193" s="79"/>
    </row>
    <row r="194" spans="1:9" ht="15">
      <c r="A194" s="79" t="s">
        <v>2299</v>
      </c>
      <c r="B194" s="79" t="s">
        <v>2300</v>
      </c>
      <c r="C194" s="79">
        <v>590247780</v>
      </c>
      <c r="D194" s="79">
        <v>0</v>
      </c>
      <c r="E194" s="79" t="s">
        <v>1124</v>
      </c>
      <c r="F194" s="79" t="s">
        <v>2290</v>
      </c>
      <c r="G194" s="79" t="s">
        <v>2302</v>
      </c>
      <c r="H194" s="79"/>
      <c r="I194" s="79"/>
    </row>
    <row r="195" spans="1:9" ht="15">
      <c r="A195" s="79" t="s">
        <v>2299</v>
      </c>
      <c r="B195" s="79" t="s">
        <v>2300</v>
      </c>
      <c r="C195" s="79">
        <v>590247780</v>
      </c>
      <c r="D195" s="79">
        <v>0</v>
      </c>
      <c r="E195" s="79" t="s">
        <v>1124</v>
      </c>
      <c r="F195" s="79" t="s">
        <v>2290</v>
      </c>
      <c r="G195" s="79" t="s">
        <v>2109</v>
      </c>
      <c r="H195" s="79"/>
      <c r="I195" s="79"/>
    </row>
    <row r="196" spans="1:9" ht="15">
      <c r="A196" s="79" t="s">
        <v>2303</v>
      </c>
      <c r="B196" s="79" t="s">
        <v>2304</v>
      </c>
      <c r="C196" s="79">
        <v>590247783</v>
      </c>
      <c r="D196" s="79">
        <v>0</v>
      </c>
      <c r="E196" s="79" t="s">
        <v>1124</v>
      </c>
      <c r="F196" s="79" t="s">
        <v>2290</v>
      </c>
      <c r="G196" s="79" t="s">
        <v>2305</v>
      </c>
      <c r="H196" s="79"/>
      <c r="I196" s="79"/>
    </row>
    <row r="197" spans="1:9" ht="15">
      <c r="A197" s="79" t="s">
        <v>2303</v>
      </c>
      <c r="B197" s="79" t="s">
        <v>2304</v>
      </c>
      <c r="C197" s="79">
        <v>590247783</v>
      </c>
      <c r="D197" s="79">
        <v>0</v>
      </c>
      <c r="E197" s="79" t="s">
        <v>1124</v>
      </c>
      <c r="F197" s="79" t="s">
        <v>2290</v>
      </c>
      <c r="G197" s="79" t="s">
        <v>2306</v>
      </c>
      <c r="H197" s="79"/>
      <c r="I197" s="79"/>
    </row>
    <row r="198" spans="1:9" ht="15">
      <c r="A198" s="79" t="s">
        <v>2303</v>
      </c>
      <c r="B198" s="79" t="s">
        <v>2304</v>
      </c>
      <c r="C198" s="79">
        <v>590247783</v>
      </c>
      <c r="D198" s="79">
        <v>0</v>
      </c>
      <c r="E198" s="79" t="s">
        <v>1124</v>
      </c>
      <c r="F198" s="79" t="s">
        <v>2290</v>
      </c>
      <c r="G198" s="79" t="s">
        <v>2109</v>
      </c>
      <c r="H198" s="79"/>
      <c r="I198" s="79"/>
    </row>
    <row r="199" spans="1:9" ht="15">
      <c r="A199" s="79" t="s">
        <v>2307</v>
      </c>
      <c r="B199" s="79" t="s">
        <v>2308</v>
      </c>
      <c r="C199" s="79">
        <v>590247786</v>
      </c>
      <c r="D199" s="79">
        <v>0</v>
      </c>
      <c r="E199" s="79" t="s">
        <v>1124</v>
      </c>
      <c r="F199" s="79" t="s">
        <v>2290</v>
      </c>
      <c r="G199" s="79" t="s">
        <v>2309</v>
      </c>
      <c r="H199" s="79"/>
      <c r="I199" s="79"/>
    </row>
    <row r="200" spans="1:9" ht="15">
      <c r="A200" s="79" t="s">
        <v>2307</v>
      </c>
      <c r="B200" s="79" t="s">
        <v>2308</v>
      </c>
      <c r="C200" s="79">
        <v>590247786</v>
      </c>
      <c r="D200" s="79">
        <v>0</v>
      </c>
      <c r="E200" s="79" t="s">
        <v>1124</v>
      </c>
      <c r="F200" s="79" t="s">
        <v>2290</v>
      </c>
      <c r="G200" s="79" t="s">
        <v>2310</v>
      </c>
      <c r="H200" s="79"/>
      <c r="I200" s="79"/>
    </row>
    <row r="201" spans="1:9" ht="15">
      <c r="A201" s="79" t="s">
        <v>2307</v>
      </c>
      <c r="B201" s="79" t="s">
        <v>2308</v>
      </c>
      <c r="C201" s="79">
        <v>590247786</v>
      </c>
      <c r="D201" s="79">
        <v>0</v>
      </c>
      <c r="E201" s="79" t="s">
        <v>1124</v>
      </c>
      <c r="F201" s="79" t="s">
        <v>2290</v>
      </c>
      <c r="G201" s="79" t="s">
        <v>2109</v>
      </c>
      <c r="H201" s="79"/>
      <c r="I201" s="79"/>
    </row>
    <row r="202" spans="1:9" ht="15">
      <c r="A202" s="79" t="s">
        <v>2311</v>
      </c>
      <c r="B202" s="79" t="s">
        <v>2312</v>
      </c>
      <c r="C202" s="79">
        <v>590247789</v>
      </c>
      <c r="D202" s="79">
        <v>0</v>
      </c>
      <c r="E202" s="79" t="s">
        <v>1124</v>
      </c>
      <c r="F202" s="79" t="s">
        <v>2290</v>
      </c>
      <c r="G202" s="79" t="s">
        <v>2313</v>
      </c>
      <c r="H202" s="79"/>
      <c r="I202" s="79"/>
    </row>
    <row r="203" spans="1:9" ht="15">
      <c r="A203" s="79" t="s">
        <v>2311</v>
      </c>
      <c r="B203" s="79" t="s">
        <v>2312</v>
      </c>
      <c r="C203" s="79">
        <v>590247789</v>
      </c>
      <c r="D203" s="79">
        <v>0</v>
      </c>
      <c r="E203" s="79" t="s">
        <v>1124</v>
      </c>
      <c r="F203" s="79" t="s">
        <v>2290</v>
      </c>
      <c r="G203" s="79" t="s">
        <v>2314</v>
      </c>
      <c r="H203" s="79"/>
      <c r="I203" s="79"/>
    </row>
    <row r="204" spans="1:9" ht="15">
      <c r="A204" s="79" t="s">
        <v>2311</v>
      </c>
      <c r="B204" s="79" t="s">
        <v>2312</v>
      </c>
      <c r="C204" s="79">
        <v>590247789</v>
      </c>
      <c r="D204" s="79">
        <v>0</v>
      </c>
      <c r="E204" s="79" t="s">
        <v>1124</v>
      </c>
      <c r="F204" s="79" t="s">
        <v>2290</v>
      </c>
      <c r="G204" s="79" t="s">
        <v>2109</v>
      </c>
      <c r="H204" s="79"/>
      <c r="I204" s="79"/>
    </row>
    <row r="205" spans="1:9" ht="15">
      <c r="A205" s="79" t="s">
        <v>2315</v>
      </c>
      <c r="B205" s="79" t="s">
        <v>2316</v>
      </c>
      <c r="C205" s="79">
        <v>590247792</v>
      </c>
      <c r="D205" s="79">
        <v>0</v>
      </c>
      <c r="E205" s="79" t="s">
        <v>1124</v>
      </c>
      <c r="F205" s="79" t="s">
        <v>2290</v>
      </c>
      <c r="G205" s="79" t="s">
        <v>2158</v>
      </c>
      <c r="H205" s="79"/>
      <c r="I205" s="79"/>
    </row>
    <row r="206" spans="1:9" ht="15">
      <c r="A206" s="79" t="s">
        <v>2315</v>
      </c>
      <c r="B206" s="79" t="s">
        <v>2316</v>
      </c>
      <c r="C206" s="79">
        <v>590247792</v>
      </c>
      <c r="D206" s="79">
        <v>0</v>
      </c>
      <c r="E206" s="79" t="s">
        <v>1124</v>
      </c>
      <c r="F206" s="79" t="s">
        <v>2290</v>
      </c>
      <c r="G206" s="79" t="s">
        <v>2149</v>
      </c>
      <c r="H206" s="79"/>
      <c r="I206" s="79"/>
    </row>
    <row r="207" spans="1:9" ht="15">
      <c r="A207" s="79" t="s">
        <v>2315</v>
      </c>
      <c r="B207" s="79" t="s">
        <v>2316</v>
      </c>
      <c r="C207" s="79">
        <v>590247792</v>
      </c>
      <c r="D207" s="79">
        <v>0</v>
      </c>
      <c r="E207" s="79" t="s">
        <v>1124</v>
      </c>
      <c r="F207" s="79" t="s">
        <v>2290</v>
      </c>
      <c r="G207" s="79" t="s">
        <v>2109</v>
      </c>
      <c r="H207" s="79"/>
      <c r="I207" s="79"/>
    </row>
    <row r="208" spans="1:9" ht="15">
      <c r="A208" s="79" t="s">
        <v>2317</v>
      </c>
      <c r="B208" s="79" t="s">
        <v>2318</v>
      </c>
      <c r="C208" s="79">
        <v>590247795</v>
      </c>
      <c r="D208" s="79">
        <v>0</v>
      </c>
      <c r="E208" s="79" t="s">
        <v>1124</v>
      </c>
      <c r="F208" s="79" t="s">
        <v>2290</v>
      </c>
      <c r="G208" s="79" t="s">
        <v>2319</v>
      </c>
      <c r="H208" s="79"/>
      <c r="I208" s="79"/>
    </row>
    <row r="209" spans="1:9" ht="15">
      <c r="A209" s="79" t="s">
        <v>2317</v>
      </c>
      <c r="B209" s="79" t="s">
        <v>2318</v>
      </c>
      <c r="C209" s="79">
        <v>590247795</v>
      </c>
      <c r="D209" s="79">
        <v>0</v>
      </c>
      <c r="E209" s="79" t="s">
        <v>1124</v>
      </c>
      <c r="F209" s="79" t="s">
        <v>2290</v>
      </c>
      <c r="G209" s="79" t="s">
        <v>2145</v>
      </c>
      <c r="H209" s="79"/>
      <c r="I209" s="79"/>
    </row>
    <row r="210" spans="1:9" ht="15">
      <c r="A210" s="79" t="s">
        <v>2317</v>
      </c>
      <c r="B210" s="79" t="s">
        <v>2318</v>
      </c>
      <c r="C210" s="79">
        <v>590247795</v>
      </c>
      <c r="D210" s="79">
        <v>0</v>
      </c>
      <c r="E210" s="79" t="s">
        <v>1124</v>
      </c>
      <c r="F210" s="79" t="s">
        <v>2290</v>
      </c>
      <c r="G210" s="79" t="s">
        <v>2109</v>
      </c>
      <c r="H210" s="79"/>
      <c r="I210" s="79"/>
    </row>
    <row r="211" spans="1:9" ht="15">
      <c r="A211" s="79" t="s">
        <v>2320</v>
      </c>
      <c r="B211" s="79" t="s">
        <v>2321</v>
      </c>
      <c r="C211" s="79">
        <v>590247798</v>
      </c>
      <c r="D211" s="79">
        <v>0</v>
      </c>
      <c r="E211" s="79" t="s">
        <v>1124</v>
      </c>
      <c r="F211" s="79" t="s">
        <v>2290</v>
      </c>
      <c r="G211" s="79" t="s">
        <v>2322</v>
      </c>
      <c r="H211" s="79"/>
      <c r="I211" s="79"/>
    </row>
    <row r="212" spans="1:9" ht="15">
      <c r="A212" s="79" t="s">
        <v>2320</v>
      </c>
      <c r="B212" s="79" t="s">
        <v>2321</v>
      </c>
      <c r="C212" s="79">
        <v>590247798</v>
      </c>
      <c r="D212" s="79">
        <v>0</v>
      </c>
      <c r="E212" s="79" t="s">
        <v>1124</v>
      </c>
      <c r="F212" s="79" t="s">
        <v>2290</v>
      </c>
      <c r="G212" s="79" t="s">
        <v>2141</v>
      </c>
      <c r="H212" s="79"/>
      <c r="I212" s="79"/>
    </row>
    <row r="213" spans="1:9" ht="15">
      <c r="A213" s="79" t="s">
        <v>2320</v>
      </c>
      <c r="B213" s="79" t="s">
        <v>2321</v>
      </c>
      <c r="C213" s="79">
        <v>590247798</v>
      </c>
      <c r="D213" s="79">
        <v>0</v>
      </c>
      <c r="E213" s="79" t="s">
        <v>1124</v>
      </c>
      <c r="F213" s="79" t="s">
        <v>2290</v>
      </c>
      <c r="G213" s="79" t="s">
        <v>2109</v>
      </c>
      <c r="H213" s="79"/>
      <c r="I213" s="79"/>
    </row>
    <row r="214" spans="1:9" ht="15">
      <c r="A214" s="79" t="s">
        <v>2323</v>
      </c>
      <c r="B214" s="79" t="s">
        <v>2324</v>
      </c>
      <c r="C214" s="79">
        <v>590247801</v>
      </c>
      <c r="D214" s="79">
        <v>0</v>
      </c>
      <c r="E214" s="79" t="s">
        <v>1124</v>
      </c>
      <c r="F214" s="79" t="s">
        <v>2290</v>
      </c>
      <c r="G214" s="79" t="s">
        <v>2325</v>
      </c>
      <c r="H214" s="79"/>
      <c r="I214" s="79"/>
    </row>
    <row r="215" spans="1:9" ht="15">
      <c r="A215" s="79" t="s">
        <v>2323</v>
      </c>
      <c r="B215" s="79" t="s">
        <v>2324</v>
      </c>
      <c r="C215" s="79">
        <v>590247801</v>
      </c>
      <c r="D215" s="79">
        <v>0</v>
      </c>
      <c r="E215" s="79" t="s">
        <v>1124</v>
      </c>
      <c r="F215" s="79" t="s">
        <v>2290</v>
      </c>
      <c r="G215" s="79" t="s">
        <v>2137</v>
      </c>
      <c r="H215" s="79"/>
      <c r="I215" s="79"/>
    </row>
    <row r="216" spans="1:9" ht="15">
      <c r="A216" s="79" t="s">
        <v>2323</v>
      </c>
      <c r="B216" s="79" t="s">
        <v>2324</v>
      </c>
      <c r="C216" s="79">
        <v>590247801</v>
      </c>
      <c r="D216" s="79">
        <v>0</v>
      </c>
      <c r="E216" s="79" t="s">
        <v>1124</v>
      </c>
      <c r="F216" s="79" t="s">
        <v>2290</v>
      </c>
      <c r="G216" s="79" t="s">
        <v>2109</v>
      </c>
      <c r="H216" s="79"/>
      <c r="I216" s="79"/>
    </row>
    <row r="217" spans="1:9" ht="15">
      <c r="A217" s="79" t="s">
        <v>2326</v>
      </c>
      <c r="B217" s="79" t="s">
        <v>2327</v>
      </c>
      <c r="C217" s="79">
        <v>590247804</v>
      </c>
      <c r="D217" s="79">
        <v>0</v>
      </c>
      <c r="E217" s="79" t="s">
        <v>1124</v>
      </c>
      <c r="F217" s="79" t="s">
        <v>2290</v>
      </c>
      <c r="G217" s="79" t="s">
        <v>2328</v>
      </c>
      <c r="H217" s="79"/>
      <c r="I217" s="79"/>
    </row>
    <row r="218" spans="1:9" ht="15">
      <c r="A218" s="79" t="s">
        <v>2326</v>
      </c>
      <c r="B218" s="79" t="s">
        <v>2327</v>
      </c>
      <c r="C218" s="79">
        <v>590247804</v>
      </c>
      <c r="D218" s="79">
        <v>0</v>
      </c>
      <c r="E218" s="79" t="s">
        <v>1124</v>
      </c>
      <c r="F218" s="79" t="s">
        <v>2290</v>
      </c>
      <c r="G218" s="79" t="s">
        <v>2133</v>
      </c>
      <c r="H218" s="79"/>
      <c r="I218" s="79"/>
    </row>
    <row r="219" spans="1:9" ht="15">
      <c r="A219" s="79" t="s">
        <v>2326</v>
      </c>
      <c r="B219" s="79" t="s">
        <v>2327</v>
      </c>
      <c r="C219" s="79">
        <v>590247804</v>
      </c>
      <c r="D219" s="79">
        <v>0</v>
      </c>
      <c r="E219" s="79" t="s">
        <v>1124</v>
      </c>
      <c r="F219" s="79" t="s">
        <v>2290</v>
      </c>
      <c r="G219" s="79" t="s">
        <v>2109</v>
      </c>
      <c r="H219" s="79"/>
      <c r="I219" s="79"/>
    </row>
    <row r="220" spans="1:9" ht="15">
      <c r="A220" s="79" t="s">
        <v>2329</v>
      </c>
      <c r="B220" s="79" t="s">
        <v>2330</v>
      </c>
      <c r="C220" s="79">
        <v>590247807</v>
      </c>
      <c r="D220" s="79">
        <v>0</v>
      </c>
      <c r="E220" s="79" t="s">
        <v>1124</v>
      </c>
      <c r="F220" s="79" t="s">
        <v>2215</v>
      </c>
      <c r="G220" s="79" t="s">
        <v>2331</v>
      </c>
      <c r="H220" s="79"/>
      <c r="I220" s="79"/>
    </row>
    <row r="221" spans="1:9" ht="15">
      <c r="A221" s="79" t="s">
        <v>2329</v>
      </c>
      <c r="B221" s="79" t="s">
        <v>2330</v>
      </c>
      <c r="C221" s="79">
        <v>590247807</v>
      </c>
      <c r="D221" s="79">
        <v>0</v>
      </c>
      <c r="E221" s="79" t="s">
        <v>1124</v>
      </c>
      <c r="F221" s="79" t="s">
        <v>2215</v>
      </c>
      <c r="G221" s="79" t="s">
        <v>2289</v>
      </c>
      <c r="H221" s="79"/>
      <c r="I221" s="79"/>
    </row>
    <row r="222" spans="1:9" ht="15">
      <c r="A222" s="79" t="s">
        <v>2329</v>
      </c>
      <c r="B222" s="79" t="s">
        <v>2330</v>
      </c>
      <c r="C222" s="79">
        <v>590247807</v>
      </c>
      <c r="D222" s="79">
        <v>0</v>
      </c>
      <c r="E222" s="79" t="s">
        <v>1124</v>
      </c>
      <c r="F222" s="79" t="s">
        <v>2290</v>
      </c>
      <c r="G222" s="79" t="s">
        <v>2332</v>
      </c>
      <c r="H222" s="79"/>
      <c r="I222" s="79"/>
    </row>
    <row r="223" spans="1:9" ht="15">
      <c r="A223" s="79" t="s">
        <v>2329</v>
      </c>
      <c r="B223" s="79" t="s">
        <v>2330</v>
      </c>
      <c r="C223" s="79">
        <v>590247807</v>
      </c>
      <c r="D223" s="79">
        <v>0</v>
      </c>
      <c r="E223" s="79" t="s">
        <v>1124</v>
      </c>
      <c r="F223" s="79" t="s">
        <v>2290</v>
      </c>
      <c r="G223" s="79" t="s">
        <v>2129</v>
      </c>
      <c r="H223" s="79"/>
      <c r="I223" s="79"/>
    </row>
    <row r="224" spans="1:9" ht="15">
      <c r="A224" s="79" t="s">
        <v>2329</v>
      </c>
      <c r="B224" s="79" t="s">
        <v>2330</v>
      </c>
      <c r="C224" s="79">
        <v>590247807</v>
      </c>
      <c r="D224" s="79">
        <v>0</v>
      </c>
      <c r="E224" s="79" t="s">
        <v>1124</v>
      </c>
      <c r="F224" s="79" t="s">
        <v>2290</v>
      </c>
      <c r="G224" s="79" t="s">
        <v>2109</v>
      </c>
      <c r="H224" s="79"/>
      <c r="I224" s="79"/>
    </row>
    <row r="225" spans="1:9" ht="15">
      <c r="A225" s="79" t="s">
        <v>2329</v>
      </c>
      <c r="B225" s="79" t="s">
        <v>2330</v>
      </c>
      <c r="C225" s="79">
        <v>590247807</v>
      </c>
      <c r="D225" s="79">
        <v>0</v>
      </c>
      <c r="E225" s="79" t="s">
        <v>1124</v>
      </c>
      <c r="F225" s="79" t="s">
        <v>2333</v>
      </c>
      <c r="G225" s="79" t="s">
        <v>2334</v>
      </c>
      <c r="H225" s="79"/>
      <c r="I225" s="79"/>
    </row>
    <row r="226" spans="1:9" ht="15">
      <c r="A226" s="79" t="s">
        <v>2329</v>
      </c>
      <c r="B226" s="79" t="s">
        <v>2330</v>
      </c>
      <c r="C226" s="79">
        <v>590247807</v>
      </c>
      <c r="D226" s="79">
        <v>0</v>
      </c>
      <c r="E226" s="79" t="s">
        <v>1124</v>
      </c>
      <c r="F226" s="79" t="s">
        <v>2333</v>
      </c>
      <c r="G226" s="79" t="s">
        <v>2103</v>
      </c>
      <c r="H226" s="79"/>
      <c r="I226" s="79"/>
    </row>
    <row r="227" spans="1:9" ht="15">
      <c r="A227" s="79" t="s">
        <v>2329</v>
      </c>
      <c r="B227" s="79" t="s">
        <v>2330</v>
      </c>
      <c r="C227" s="79">
        <v>590247807</v>
      </c>
      <c r="D227" s="79">
        <v>0</v>
      </c>
      <c r="E227" s="79" t="s">
        <v>1124</v>
      </c>
      <c r="F227" s="79" t="s">
        <v>2333</v>
      </c>
      <c r="G227" s="79" t="s">
        <v>2335</v>
      </c>
      <c r="H227" s="79"/>
      <c r="I227" s="79"/>
    </row>
    <row r="228" spans="1:9" ht="15">
      <c r="A228" s="79" t="s">
        <v>2329</v>
      </c>
      <c r="B228" s="79" t="s">
        <v>2330</v>
      </c>
      <c r="C228" s="79">
        <v>590247807</v>
      </c>
      <c r="D228" s="79">
        <v>0</v>
      </c>
      <c r="E228" s="79" t="s">
        <v>1124</v>
      </c>
      <c r="F228" s="79" t="s">
        <v>2333</v>
      </c>
      <c r="G228" s="79" t="s">
        <v>2295</v>
      </c>
      <c r="H228" s="79"/>
      <c r="I228" s="79"/>
    </row>
    <row r="229" spans="1:9" ht="15">
      <c r="A229" s="79" t="s">
        <v>2336</v>
      </c>
      <c r="B229" s="79" t="s">
        <v>2337</v>
      </c>
      <c r="C229" s="79">
        <v>590247809</v>
      </c>
      <c r="D229" s="79">
        <v>0</v>
      </c>
      <c r="E229" s="79" t="s">
        <v>1124</v>
      </c>
      <c r="F229" s="79" t="s">
        <v>2333</v>
      </c>
      <c r="G229" s="79" t="s">
        <v>2298</v>
      </c>
      <c r="H229" s="79"/>
      <c r="I229" s="79"/>
    </row>
    <row r="230" spans="1:9" ht="15">
      <c r="A230" s="79" t="s">
        <v>2336</v>
      </c>
      <c r="B230" s="79" t="s">
        <v>2337</v>
      </c>
      <c r="C230" s="79">
        <v>590247809</v>
      </c>
      <c r="D230" s="79">
        <v>0</v>
      </c>
      <c r="E230" s="79" t="s">
        <v>1124</v>
      </c>
      <c r="F230" s="79" t="s">
        <v>2333</v>
      </c>
      <c r="G230" s="79" t="s">
        <v>1294</v>
      </c>
      <c r="H230" s="79"/>
      <c r="I230" s="79"/>
    </row>
    <row r="231" spans="1:9" ht="15">
      <c r="A231" s="79" t="s">
        <v>2338</v>
      </c>
      <c r="B231" s="79" t="s">
        <v>2339</v>
      </c>
      <c r="C231" s="79">
        <v>590247810</v>
      </c>
      <c r="D231" s="79">
        <v>0</v>
      </c>
      <c r="E231" s="79" t="s">
        <v>1124</v>
      </c>
      <c r="F231" s="79" t="s">
        <v>2290</v>
      </c>
      <c r="G231" s="79" t="s">
        <v>2340</v>
      </c>
      <c r="H231" s="79"/>
      <c r="I231" s="79"/>
    </row>
    <row r="232" spans="1:9" ht="15">
      <c r="A232" s="79" t="s">
        <v>2338</v>
      </c>
      <c r="B232" s="79" t="s">
        <v>2339</v>
      </c>
      <c r="C232" s="79">
        <v>590247810</v>
      </c>
      <c r="D232" s="79">
        <v>0</v>
      </c>
      <c r="E232" s="79" t="s">
        <v>1124</v>
      </c>
      <c r="F232" s="79" t="s">
        <v>2290</v>
      </c>
      <c r="G232" s="79" t="s">
        <v>2125</v>
      </c>
      <c r="H232" s="79"/>
      <c r="I232" s="79"/>
    </row>
    <row r="233" spans="1:9" ht="15">
      <c r="A233" s="79" t="s">
        <v>2338</v>
      </c>
      <c r="B233" s="79" t="s">
        <v>2339</v>
      </c>
      <c r="C233" s="79">
        <v>590247810</v>
      </c>
      <c r="D233" s="79">
        <v>0</v>
      </c>
      <c r="E233" s="79" t="s">
        <v>1124</v>
      </c>
      <c r="F233" s="79" t="s">
        <v>2290</v>
      </c>
      <c r="G233" s="79" t="s">
        <v>2109</v>
      </c>
      <c r="H233" s="79"/>
      <c r="I233" s="79"/>
    </row>
    <row r="234" spans="1:9" ht="15">
      <c r="A234" s="79" t="s">
        <v>2341</v>
      </c>
      <c r="B234" s="79" t="s">
        <v>2342</v>
      </c>
      <c r="C234" s="79">
        <v>590247813</v>
      </c>
      <c r="D234" s="79">
        <v>0</v>
      </c>
      <c r="E234" s="79" t="s">
        <v>1124</v>
      </c>
      <c r="F234" s="79" t="s">
        <v>2290</v>
      </c>
      <c r="G234" s="79" t="s">
        <v>2343</v>
      </c>
      <c r="H234" s="79"/>
      <c r="I234" s="79"/>
    </row>
    <row r="235" spans="1:9" ht="15">
      <c r="A235" s="79" t="s">
        <v>2341</v>
      </c>
      <c r="B235" s="79" t="s">
        <v>2342</v>
      </c>
      <c r="C235" s="79">
        <v>590247813</v>
      </c>
      <c r="D235" s="79">
        <v>0</v>
      </c>
      <c r="E235" s="79" t="s">
        <v>1124</v>
      </c>
      <c r="F235" s="79" t="s">
        <v>2290</v>
      </c>
      <c r="G235" s="79" t="s">
        <v>2121</v>
      </c>
      <c r="H235" s="79"/>
      <c r="I235" s="79"/>
    </row>
    <row r="236" spans="1:9" ht="15">
      <c r="A236" s="79" t="s">
        <v>2341</v>
      </c>
      <c r="B236" s="79" t="s">
        <v>2342</v>
      </c>
      <c r="C236" s="79">
        <v>590247813</v>
      </c>
      <c r="D236" s="79">
        <v>0</v>
      </c>
      <c r="E236" s="79" t="s">
        <v>1124</v>
      </c>
      <c r="F236" s="79" t="s">
        <v>2290</v>
      </c>
      <c r="G236" s="79" t="s">
        <v>2109</v>
      </c>
      <c r="H236" s="79"/>
      <c r="I236" s="79"/>
    </row>
    <row r="237" spans="1:9" ht="15">
      <c r="A237" s="79" t="s">
        <v>2344</v>
      </c>
      <c r="B237" s="79" t="s">
        <v>2345</v>
      </c>
      <c r="C237" s="79">
        <v>590247816</v>
      </c>
      <c r="D237" s="79">
        <v>0</v>
      </c>
      <c r="E237" s="79" t="s">
        <v>1124</v>
      </c>
      <c r="F237" s="79" t="s">
        <v>2290</v>
      </c>
      <c r="G237" s="79" t="s">
        <v>2346</v>
      </c>
      <c r="H237" s="79"/>
      <c r="I237" s="79"/>
    </row>
    <row r="238" spans="1:9" ht="15">
      <c r="A238" s="79" t="s">
        <v>2344</v>
      </c>
      <c r="B238" s="79" t="s">
        <v>2345</v>
      </c>
      <c r="C238" s="79">
        <v>590247816</v>
      </c>
      <c r="D238" s="79">
        <v>0</v>
      </c>
      <c r="E238" s="79" t="s">
        <v>1124</v>
      </c>
      <c r="F238" s="79" t="s">
        <v>2290</v>
      </c>
      <c r="G238" s="79" t="s">
        <v>2117</v>
      </c>
      <c r="H238" s="79"/>
      <c r="I238" s="79"/>
    </row>
    <row r="239" spans="1:9" ht="15">
      <c r="A239" s="79" t="s">
        <v>2344</v>
      </c>
      <c r="B239" s="79" t="s">
        <v>2345</v>
      </c>
      <c r="C239" s="79">
        <v>590247816</v>
      </c>
      <c r="D239" s="79">
        <v>0</v>
      </c>
      <c r="E239" s="79" t="s">
        <v>1124</v>
      </c>
      <c r="F239" s="79" t="s">
        <v>2290</v>
      </c>
      <c r="G239" s="79" t="s">
        <v>2109</v>
      </c>
      <c r="H239" s="79"/>
      <c r="I239" s="79"/>
    </row>
    <row r="240" spans="1:9" ht="15">
      <c r="A240" s="79" t="s">
        <v>2347</v>
      </c>
      <c r="B240" s="79" t="s">
        <v>2348</v>
      </c>
      <c r="C240" s="79">
        <v>590247819</v>
      </c>
      <c r="D240" s="79">
        <v>0</v>
      </c>
      <c r="E240" s="79" t="s">
        <v>1124</v>
      </c>
      <c r="F240" s="79" t="s">
        <v>2290</v>
      </c>
      <c r="G240" s="79" t="s">
        <v>2349</v>
      </c>
      <c r="H240" s="79"/>
      <c r="I240" s="79"/>
    </row>
    <row r="241" spans="1:9" ht="15">
      <c r="A241" s="79" t="s">
        <v>2347</v>
      </c>
      <c r="B241" s="79" t="s">
        <v>2348</v>
      </c>
      <c r="C241" s="79">
        <v>590247819</v>
      </c>
      <c r="D241" s="79">
        <v>0</v>
      </c>
      <c r="E241" s="79" t="s">
        <v>1124</v>
      </c>
      <c r="F241" s="79" t="s">
        <v>2290</v>
      </c>
      <c r="G241" s="79" t="s">
        <v>2113</v>
      </c>
      <c r="H241" s="79"/>
      <c r="I241" s="79"/>
    </row>
    <row r="242" spans="1:9" ht="15">
      <c r="A242" s="79" t="s">
        <v>2347</v>
      </c>
      <c r="B242" s="79" t="s">
        <v>2348</v>
      </c>
      <c r="C242" s="79">
        <v>590247819</v>
      </c>
      <c r="D242" s="79">
        <v>0</v>
      </c>
      <c r="E242" s="79" t="s">
        <v>1124</v>
      </c>
      <c r="F242" s="79" t="s">
        <v>2290</v>
      </c>
      <c r="G242" s="79" t="s">
        <v>2109</v>
      </c>
      <c r="H242" s="79"/>
      <c r="I242" s="79"/>
    </row>
    <row r="243" spans="1:9" ht="15">
      <c r="A243" s="79" t="s">
        <v>2350</v>
      </c>
      <c r="B243" s="79" t="s">
        <v>2351</v>
      </c>
      <c r="C243" s="79">
        <v>590247822</v>
      </c>
      <c r="D243" s="79">
        <v>0</v>
      </c>
      <c r="E243" s="79" t="s">
        <v>1124</v>
      </c>
      <c r="F243" s="79" t="s">
        <v>2290</v>
      </c>
      <c r="G243" s="79" t="s">
        <v>2352</v>
      </c>
      <c r="H243" s="79"/>
      <c r="I243" s="79"/>
    </row>
    <row r="244" spans="1:9" ht="15">
      <c r="A244" s="79" t="s">
        <v>2350</v>
      </c>
      <c r="B244" s="79" t="s">
        <v>2351</v>
      </c>
      <c r="C244" s="79">
        <v>590247822</v>
      </c>
      <c r="D244" s="79">
        <v>0</v>
      </c>
      <c r="E244" s="79" t="s">
        <v>1124</v>
      </c>
      <c r="F244" s="79" t="s">
        <v>2290</v>
      </c>
      <c r="G244" s="79" t="s">
        <v>2108</v>
      </c>
      <c r="H244" s="79"/>
      <c r="I244" s="79"/>
    </row>
    <row r="245" spans="1:9" ht="15">
      <c r="A245" s="79" t="s">
        <v>2350</v>
      </c>
      <c r="B245" s="79" t="s">
        <v>2351</v>
      </c>
      <c r="C245" s="79">
        <v>590247822</v>
      </c>
      <c r="D245" s="79">
        <v>0</v>
      </c>
      <c r="E245" s="79" t="s">
        <v>1124</v>
      </c>
      <c r="F245" s="79" t="s">
        <v>2290</v>
      </c>
      <c r="G245" s="79" t="s">
        <v>2109</v>
      </c>
      <c r="H245" s="79"/>
      <c r="I245" s="79"/>
    </row>
    <row r="246" spans="1:9" ht="15">
      <c r="A246" s="79" t="s">
        <v>2353</v>
      </c>
      <c r="B246" s="79" t="s">
        <v>2354</v>
      </c>
      <c r="C246" s="79">
        <v>590247825</v>
      </c>
      <c r="D246" s="79">
        <v>0</v>
      </c>
      <c r="E246" s="79" t="s">
        <v>1124</v>
      </c>
      <c r="F246" s="79" t="s">
        <v>2290</v>
      </c>
      <c r="G246" s="79" t="s">
        <v>2355</v>
      </c>
      <c r="H246" s="79"/>
      <c r="I246" s="79"/>
    </row>
    <row r="247" spans="1:9" ht="15">
      <c r="A247" s="79" t="s">
        <v>2353</v>
      </c>
      <c r="B247" s="79" t="s">
        <v>2354</v>
      </c>
      <c r="C247" s="79">
        <v>590247825</v>
      </c>
      <c r="D247" s="79">
        <v>0</v>
      </c>
      <c r="E247" s="79" t="s">
        <v>1124</v>
      </c>
      <c r="F247" s="79" t="s">
        <v>2290</v>
      </c>
      <c r="G247" s="79" t="s">
        <v>2356</v>
      </c>
      <c r="H247" s="79"/>
      <c r="I247" s="79"/>
    </row>
    <row r="248" spans="1:9" ht="15">
      <c r="A248" s="79" t="s">
        <v>2353</v>
      </c>
      <c r="B248" s="79" t="s">
        <v>2354</v>
      </c>
      <c r="C248" s="79">
        <v>590247825</v>
      </c>
      <c r="D248" s="79">
        <v>0</v>
      </c>
      <c r="E248" s="79" t="s">
        <v>1124</v>
      </c>
      <c r="F248" s="79" t="s">
        <v>2290</v>
      </c>
      <c r="G248" s="79" t="s">
        <v>2109</v>
      </c>
      <c r="H248" s="79"/>
      <c r="I248" s="79"/>
    </row>
    <row r="249" spans="1:9" ht="15">
      <c r="A249" s="79" t="s">
        <v>2357</v>
      </c>
      <c r="B249" s="79" t="s">
        <v>2358</v>
      </c>
      <c r="C249" s="79">
        <v>590247828</v>
      </c>
      <c r="D249" s="79">
        <v>0</v>
      </c>
      <c r="E249" s="79" t="s">
        <v>1124</v>
      </c>
      <c r="F249" s="79" t="s">
        <v>2290</v>
      </c>
      <c r="G249" s="79" t="s">
        <v>2359</v>
      </c>
      <c r="H249" s="79"/>
      <c r="I249" s="79"/>
    </row>
    <row r="250" spans="1:9" ht="15">
      <c r="A250" s="79" t="s">
        <v>2357</v>
      </c>
      <c r="B250" s="79" t="s">
        <v>2358</v>
      </c>
      <c r="C250" s="79">
        <v>590247828</v>
      </c>
      <c r="D250" s="79">
        <v>0</v>
      </c>
      <c r="E250" s="79" t="s">
        <v>1124</v>
      </c>
      <c r="F250" s="79" t="s">
        <v>2290</v>
      </c>
      <c r="G250" s="79" t="s">
        <v>2360</v>
      </c>
      <c r="H250" s="79"/>
      <c r="I250" s="79"/>
    </row>
    <row r="251" spans="1:9" ht="15">
      <c r="A251" s="79" t="s">
        <v>2357</v>
      </c>
      <c r="B251" s="79" t="s">
        <v>2358</v>
      </c>
      <c r="C251" s="79">
        <v>590247828</v>
      </c>
      <c r="D251" s="79">
        <v>0</v>
      </c>
      <c r="E251" s="79" t="s">
        <v>1124</v>
      </c>
      <c r="F251" s="79" t="s">
        <v>2290</v>
      </c>
      <c r="G251" s="79" t="s">
        <v>1294</v>
      </c>
      <c r="H251" s="79"/>
      <c r="I251" s="79"/>
    </row>
    <row r="252" spans="1:9" ht="15">
      <c r="A252" s="79" t="s">
        <v>2361</v>
      </c>
      <c r="B252" s="79" t="s">
        <v>2362</v>
      </c>
      <c r="C252" s="79">
        <v>590247837</v>
      </c>
      <c r="D252" s="79">
        <v>0</v>
      </c>
      <c r="E252" s="79" t="s">
        <v>1124</v>
      </c>
      <c r="F252" s="79" t="s">
        <v>2215</v>
      </c>
      <c r="G252" s="79" t="s">
        <v>2363</v>
      </c>
      <c r="H252" s="79"/>
      <c r="I252" s="79"/>
    </row>
    <row r="253" spans="1:9" ht="15">
      <c r="A253" s="79" t="s">
        <v>2361</v>
      </c>
      <c r="B253" s="79" t="s">
        <v>2362</v>
      </c>
      <c r="C253" s="79">
        <v>590247837</v>
      </c>
      <c r="D253" s="79">
        <v>0</v>
      </c>
      <c r="E253" s="79" t="s">
        <v>1124</v>
      </c>
      <c r="F253" s="79" t="s">
        <v>2215</v>
      </c>
      <c r="G253" s="79" t="s">
        <v>2289</v>
      </c>
      <c r="H253" s="79"/>
      <c r="I253" s="79"/>
    </row>
    <row r="254" spans="1:9" ht="15">
      <c r="A254" s="79" t="s">
        <v>2361</v>
      </c>
      <c r="B254" s="79" t="s">
        <v>2362</v>
      </c>
      <c r="C254" s="79">
        <v>590247837</v>
      </c>
      <c r="D254" s="79">
        <v>0</v>
      </c>
      <c r="E254" s="79" t="s">
        <v>1124</v>
      </c>
      <c r="F254" s="79" t="s">
        <v>2364</v>
      </c>
      <c r="G254" s="79" t="s">
        <v>2365</v>
      </c>
      <c r="H254" s="79"/>
      <c r="I254" s="79"/>
    </row>
    <row r="255" spans="1:9" ht="15">
      <c r="A255" s="79" t="s">
        <v>2361</v>
      </c>
      <c r="B255" s="79" t="s">
        <v>2362</v>
      </c>
      <c r="C255" s="79">
        <v>590247837</v>
      </c>
      <c r="D255" s="79">
        <v>0</v>
      </c>
      <c r="E255" s="79" t="s">
        <v>1124</v>
      </c>
      <c r="F255" s="79" t="s">
        <v>2364</v>
      </c>
      <c r="G255" s="79" t="s">
        <v>2103</v>
      </c>
      <c r="H255" s="79"/>
      <c r="I255" s="79"/>
    </row>
    <row r="256" spans="1:9" ht="15">
      <c r="A256" s="79" t="s">
        <v>2361</v>
      </c>
      <c r="B256" s="79" t="s">
        <v>2362</v>
      </c>
      <c r="C256" s="79">
        <v>590247837</v>
      </c>
      <c r="D256" s="79">
        <v>0</v>
      </c>
      <c r="E256" s="79" t="s">
        <v>1124</v>
      </c>
      <c r="F256" s="79" t="s">
        <v>2364</v>
      </c>
      <c r="G256" s="79" t="s">
        <v>2366</v>
      </c>
      <c r="H256" s="79"/>
      <c r="I256" s="79"/>
    </row>
    <row r="257" spans="1:9" ht="15">
      <c r="A257" s="79" t="s">
        <v>2361</v>
      </c>
      <c r="B257" s="79" t="s">
        <v>2362</v>
      </c>
      <c r="C257" s="79">
        <v>590247837</v>
      </c>
      <c r="D257" s="79">
        <v>0</v>
      </c>
      <c r="E257" s="79" t="s">
        <v>1124</v>
      </c>
      <c r="F257" s="79" t="s">
        <v>2364</v>
      </c>
      <c r="G257" s="79" t="s">
        <v>2295</v>
      </c>
      <c r="H257" s="79"/>
      <c r="I257" s="79"/>
    </row>
    <row r="258" spans="1:9" ht="15">
      <c r="A258" s="79" t="s">
        <v>2367</v>
      </c>
      <c r="B258" s="79" t="s">
        <v>2368</v>
      </c>
      <c r="C258" s="79">
        <v>590247839</v>
      </c>
      <c r="D258" s="79">
        <v>0</v>
      </c>
      <c r="E258" s="79" t="s">
        <v>1124</v>
      </c>
      <c r="F258" s="79" t="s">
        <v>2364</v>
      </c>
      <c r="G258" s="79" t="s">
        <v>2298</v>
      </c>
      <c r="H258" s="79"/>
      <c r="I258" s="79"/>
    </row>
    <row r="259" spans="1:9" ht="15">
      <c r="A259" s="79" t="s">
        <v>2367</v>
      </c>
      <c r="B259" s="79" t="s">
        <v>2368</v>
      </c>
      <c r="C259" s="79">
        <v>590247839</v>
      </c>
      <c r="D259" s="79">
        <v>0</v>
      </c>
      <c r="E259" s="79" t="s">
        <v>1124</v>
      </c>
      <c r="F259" s="79" t="s">
        <v>2364</v>
      </c>
      <c r="G259" s="79" t="s">
        <v>1294</v>
      </c>
      <c r="H259" s="79"/>
      <c r="I259" s="79"/>
    </row>
    <row r="260" spans="1:9" ht="15">
      <c r="A260" s="79" t="s">
        <v>2369</v>
      </c>
      <c r="B260" s="79" t="s">
        <v>2370</v>
      </c>
      <c r="C260" s="79">
        <v>590247867</v>
      </c>
      <c r="D260" s="79">
        <v>0</v>
      </c>
      <c r="E260" s="79" t="s">
        <v>1124</v>
      </c>
      <c r="F260" s="79" t="s">
        <v>2215</v>
      </c>
      <c r="G260" s="79" t="s">
        <v>2371</v>
      </c>
      <c r="H260" s="79"/>
      <c r="I260" s="79"/>
    </row>
    <row r="261" spans="1:9" ht="15">
      <c r="A261" s="79" t="s">
        <v>2369</v>
      </c>
      <c r="B261" s="79" t="s">
        <v>2370</v>
      </c>
      <c r="C261" s="79">
        <v>590247867</v>
      </c>
      <c r="D261" s="79">
        <v>0</v>
      </c>
      <c r="E261" s="79" t="s">
        <v>1124</v>
      </c>
      <c r="F261" s="79" t="s">
        <v>2215</v>
      </c>
      <c r="G261" s="79" t="s">
        <v>2289</v>
      </c>
      <c r="H261" s="79"/>
      <c r="I261" s="79"/>
    </row>
    <row r="262" spans="1:9" ht="15">
      <c r="A262" s="79" t="s">
        <v>2369</v>
      </c>
      <c r="B262" s="79" t="s">
        <v>2370</v>
      </c>
      <c r="C262" s="79">
        <v>590247867</v>
      </c>
      <c r="D262" s="79">
        <v>0</v>
      </c>
      <c r="E262" s="79" t="s">
        <v>1124</v>
      </c>
      <c r="F262" s="79" t="s">
        <v>2372</v>
      </c>
      <c r="G262" s="79" t="s">
        <v>2373</v>
      </c>
      <c r="H262" s="79"/>
      <c r="I262" s="79"/>
    </row>
    <row r="263" spans="1:9" ht="15">
      <c r="A263" s="79" t="s">
        <v>2369</v>
      </c>
      <c r="B263" s="79" t="s">
        <v>2370</v>
      </c>
      <c r="C263" s="79">
        <v>590247867</v>
      </c>
      <c r="D263" s="79">
        <v>0</v>
      </c>
      <c r="E263" s="79" t="s">
        <v>1124</v>
      </c>
      <c r="F263" s="79" t="s">
        <v>2372</v>
      </c>
      <c r="G263" s="79" t="s">
        <v>2103</v>
      </c>
      <c r="H263" s="79"/>
      <c r="I263" s="79"/>
    </row>
    <row r="264" spans="1:9" ht="15">
      <c r="A264" s="79" t="s">
        <v>2369</v>
      </c>
      <c r="B264" s="79" t="s">
        <v>2370</v>
      </c>
      <c r="C264" s="79">
        <v>590247867</v>
      </c>
      <c r="D264" s="79">
        <v>0</v>
      </c>
      <c r="E264" s="79" t="s">
        <v>1124</v>
      </c>
      <c r="F264" s="79" t="s">
        <v>2372</v>
      </c>
      <c r="G264" s="79" t="s">
        <v>2152</v>
      </c>
      <c r="H264" s="79"/>
      <c r="I264" s="79"/>
    </row>
    <row r="265" spans="1:9" ht="15">
      <c r="A265" s="79" t="s">
        <v>2369</v>
      </c>
      <c r="B265" s="79" t="s">
        <v>2370</v>
      </c>
      <c r="C265" s="79">
        <v>590247867</v>
      </c>
      <c r="D265" s="79">
        <v>0</v>
      </c>
      <c r="E265" s="79" t="s">
        <v>1124</v>
      </c>
      <c r="F265" s="79" t="s">
        <v>2372</v>
      </c>
      <c r="G265" s="79" t="s">
        <v>2295</v>
      </c>
      <c r="H265" s="79"/>
      <c r="I265" s="79"/>
    </row>
    <row r="266" spans="1:9" ht="15">
      <c r="A266" s="79" t="s">
        <v>2374</v>
      </c>
      <c r="B266" s="79" t="s">
        <v>2375</v>
      </c>
      <c r="C266" s="79">
        <v>590247869</v>
      </c>
      <c r="D266" s="79">
        <v>0</v>
      </c>
      <c r="E266" s="79" t="s">
        <v>1124</v>
      </c>
      <c r="F266" s="79" t="s">
        <v>2372</v>
      </c>
      <c r="G266" s="79" t="s">
        <v>2298</v>
      </c>
      <c r="H266" s="79"/>
      <c r="I266" s="79"/>
    </row>
    <row r="267" spans="1:9" ht="15">
      <c r="A267" s="79" t="s">
        <v>2374</v>
      </c>
      <c r="B267" s="79" t="s">
        <v>2375</v>
      </c>
      <c r="C267" s="79">
        <v>590247869</v>
      </c>
      <c r="D267" s="79">
        <v>0</v>
      </c>
      <c r="E267" s="79" t="s">
        <v>1124</v>
      </c>
      <c r="F267" s="79" t="s">
        <v>2372</v>
      </c>
      <c r="G267" s="79" t="s">
        <v>1294</v>
      </c>
      <c r="H267" s="79"/>
      <c r="I267" s="79"/>
    </row>
    <row r="268" spans="1:9" ht="15">
      <c r="A268" s="79" t="s">
        <v>2376</v>
      </c>
      <c r="B268" s="79" t="s">
        <v>2377</v>
      </c>
      <c r="C268" s="79">
        <v>590247897</v>
      </c>
      <c r="D268" s="79">
        <v>0</v>
      </c>
      <c r="E268" s="79" t="s">
        <v>1124</v>
      </c>
      <c r="F268" s="79" t="s">
        <v>2215</v>
      </c>
      <c r="G268" s="79" t="s">
        <v>2378</v>
      </c>
      <c r="H268" s="79"/>
      <c r="I268" s="79"/>
    </row>
    <row r="269" spans="1:9" ht="15">
      <c r="A269" s="79" t="s">
        <v>2376</v>
      </c>
      <c r="B269" s="79" t="s">
        <v>2377</v>
      </c>
      <c r="C269" s="79">
        <v>590247897</v>
      </c>
      <c r="D269" s="79">
        <v>0</v>
      </c>
      <c r="E269" s="79" t="s">
        <v>1124</v>
      </c>
      <c r="F269" s="79" t="s">
        <v>2215</v>
      </c>
      <c r="G269" s="79" t="s">
        <v>2289</v>
      </c>
      <c r="H269" s="79"/>
      <c r="I269" s="79"/>
    </row>
    <row r="270" spans="1:9" ht="15">
      <c r="A270" s="79" t="s">
        <v>2376</v>
      </c>
      <c r="B270" s="79" t="s">
        <v>2377</v>
      </c>
      <c r="C270" s="79">
        <v>590247897</v>
      </c>
      <c r="D270" s="79">
        <v>0</v>
      </c>
      <c r="E270" s="79" t="s">
        <v>1124</v>
      </c>
      <c r="F270" s="79" t="s">
        <v>2379</v>
      </c>
      <c r="G270" s="79" t="s">
        <v>2380</v>
      </c>
      <c r="H270" s="79"/>
      <c r="I270" s="79"/>
    </row>
    <row r="271" spans="1:9" ht="15">
      <c r="A271" s="79" t="s">
        <v>2376</v>
      </c>
      <c r="B271" s="79" t="s">
        <v>2377</v>
      </c>
      <c r="C271" s="79">
        <v>590247897</v>
      </c>
      <c r="D271" s="79">
        <v>0</v>
      </c>
      <c r="E271" s="79" t="s">
        <v>1124</v>
      </c>
      <c r="F271" s="79" t="s">
        <v>2379</v>
      </c>
      <c r="G271" s="79" t="s">
        <v>2103</v>
      </c>
      <c r="H271" s="79"/>
      <c r="I271" s="79"/>
    </row>
    <row r="272" spans="1:9" ht="15">
      <c r="A272" s="79" t="s">
        <v>2376</v>
      </c>
      <c r="B272" s="79" t="s">
        <v>2377</v>
      </c>
      <c r="C272" s="79">
        <v>590247897</v>
      </c>
      <c r="D272" s="79">
        <v>0</v>
      </c>
      <c r="E272" s="79" t="s">
        <v>1124</v>
      </c>
      <c r="F272" s="79" t="s">
        <v>2379</v>
      </c>
      <c r="G272" s="79" t="s">
        <v>2381</v>
      </c>
      <c r="H272" s="79"/>
      <c r="I272" s="79"/>
    </row>
    <row r="273" spans="1:9" ht="15">
      <c r="A273" s="79" t="s">
        <v>2376</v>
      </c>
      <c r="B273" s="79" t="s">
        <v>2377</v>
      </c>
      <c r="C273" s="79">
        <v>590247897</v>
      </c>
      <c r="D273" s="79">
        <v>0</v>
      </c>
      <c r="E273" s="79" t="s">
        <v>1124</v>
      </c>
      <c r="F273" s="79" t="s">
        <v>2379</v>
      </c>
      <c r="G273" s="79" t="s">
        <v>2295</v>
      </c>
      <c r="H273" s="79"/>
      <c r="I273" s="79"/>
    </row>
    <row r="274" spans="1:9" ht="15">
      <c r="A274" s="79" t="s">
        <v>2382</v>
      </c>
      <c r="B274" s="79" t="s">
        <v>2383</v>
      </c>
      <c r="C274" s="79">
        <v>590247899</v>
      </c>
      <c r="D274" s="79">
        <v>0</v>
      </c>
      <c r="E274" s="79" t="s">
        <v>1124</v>
      </c>
      <c r="F274" s="79" t="s">
        <v>2379</v>
      </c>
      <c r="G274" s="79" t="s">
        <v>2298</v>
      </c>
      <c r="H274" s="79"/>
      <c r="I274" s="79"/>
    </row>
    <row r="275" spans="1:9" ht="15">
      <c r="A275" s="79" t="s">
        <v>2382</v>
      </c>
      <c r="B275" s="79" t="s">
        <v>2383</v>
      </c>
      <c r="C275" s="79">
        <v>590247899</v>
      </c>
      <c r="D275" s="79">
        <v>0</v>
      </c>
      <c r="E275" s="79" t="s">
        <v>1124</v>
      </c>
      <c r="F275" s="79" t="s">
        <v>2379</v>
      </c>
      <c r="G275" s="79" t="s">
        <v>1294</v>
      </c>
      <c r="H275" s="79"/>
      <c r="I275" s="79"/>
    </row>
    <row r="276" spans="1:9" ht="15">
      <c r="A276" s="79" t="s">
        <v>2384</v>
      </c>
      <c r="B276" s="79" t="s">
        <v>2385</v>
      </c>
      <c r="C276" s="79">
        <v>590247927</v>
      </c>
      <c r="D276" s="79">
        <v>0</v>
      </c>
      <c r="E276" s="79" t="s">
        <v>1124</v>
      </c>
      <c r="F276" s="79" t="s">
        <v>2215</v>
      </c>
      <c r="G276" s="79" t="s">
        <v>2386</v>
      </c>
      <c r="H276" s="79"/>
      <c r="I276" s="79"/>
    </row>
    <row r="277" spans="1:9" ht="15">
      <c r="A277" s="79" t="s">
        <v>2384</v>
      </c>
      <c r="B277" s="79" t="s">
        <v>2385</v>
      </c>
      <c r="C277" s="79">
        <v>590247927</v>
      </c>
      <c r="D277" s="79">
        <v>0</v>
      </c>
      <c r="E277" s="79" t="s">
        <v>1124</v>
      </c>
      <c r="F277" s="79" t="s">
        <v>2215</v>
      </c>
      <c r="G277" s="79" t="s">
        <v>2289</v>
      </c>
      <c r="H277" s="79"/>
      <c r="I277" s="79"/>
    </row>
    <row r="278" spans="1:9" ht="15">
      <c r="A278" s="79" t="s">
        <v>2384</v>
      </c>
      <c r="B278" s="79" t="s">
        <v>2385</v>
      </c>
      <c r="C278" s="79">
        <v>590247927</v>
      </c>
      <c r="D278" s="79">
        <v>0</v>
      </c>
      <c r="E278" s="79" t="s">
        <v>1124</v>
      </c>
      <c r="F278" s="79" t="s">
        <v>2387</v>
      </c>
      <c r="G278" s="79" t="s">
        <v>2388</v>
      </c>
      <c r="H278" s="79"/>
      <c r="I278" s="79"/>
    </row>
    <row r="279" spans="1:9" ht="15">
      <c r="A279" s="79" t="s">
        <v>2384</v>
      </c>
      <c r="B279" s="79" t="s">
        <v>2385</v>
      </c>
      <c r="C279" s="79">
        <v>590247927</v>
      </c>
      <c r="D279" s="79">
        <v>0</v>
      </c>
      <c r="E279" s="79" t="s">
        <v>1124</v>
      </c>
      <c r="F279" s="79" t="s">
        <v>2387</v>
      </c>
      <c r="G279" s="79" t="s">
        <v>2103</v>
      </c>
      <c r="H279" s="79"/>
      <c r="I279" s="79"/>
    </row>
    <row r="280" spans="1:9" ht="15">
      <c r="A280" s="79" t="s">
        <v>2384</v>
      </c>
      <c r="B280" s="79" t="s">
        <v>2385</v>
      </c>
      <c r="C280" s="79">
        <v>590247927</v>
      </c>
      <c r="D280" s="79">
        <v>0</v>
      </c>
      <c r="E280" s="79" t="s">
        <v>1124</v>
      </c>
      <c r="F280" s="79" t="s">
        <v>2387</v>
      </c>
      <c r="G280" s="79" t="s">
        <v>2389</v>
      </c>
      <c r="H280" s="79"/>
      <c r="I280" s="79"/>
    </row>
    <row r="281" spans="1:9" ht="15">
      <c r="A281" s="79" t="s">
        <v>2384</v>
      </c>
      <c r="B281" s="79" t="s">
        <v>2385</v>
      </c>
      <c r="C281" s="79">
        <v>590247927</v>
      </c>
      <c r="D281" s="79">
        <v>0</v>
      </c>
      <c r="E281" s="79" t="s">
        <v>1124</v>
      </c>
      <c r="F281" s="79" t="s">
        <v>2387</v>
      </c>
      <c r="G281" s="79" t="s">
        <v>2295</v>
      </c>
      <c r="H281" s="79"/>
      <c r="I281" s="79"/>
    </row>
    <row r="282" spans="1:9" ht="15">
      <c r="A282" s="79" t="s">
        <v>2390</v>
      </c>
      <c r="B282" s="79" t="s">
        <v>2391</v>
      </c>
      <c r="C282" s="79">
        <v>590247929</v>
      </c>
      <c r="D282" s="79">
        <v>0</v>
      </c>
      <c r="E282" s="79" t="s">
        <v>1124</v>
      </c>
      <c r="F282" s="79" t="s">
        <v>2387</v>
      </c>
      <c r="G282" s="79" t="s">
        <v>2298</v>
      </c>
      <c r="H282" s="79"/>
      <c r="I282" s="79"/>
    </row>
    <row r="283" spans="1:9" ht="15">
      <c r="A283" s="79" t="s">
        <v>2390</v>
      </c>
      <c r="B283" s="79" t="s">
        <v>2391</v>
      </c>
      <c r="C283" s="79">
        <v>590247929</v>
      </c>
      <c r="D283" s="79">
        <v>0</v>
      </c>
      <c r="E283" s="79" t="s">
        <v>1124</v>
      </c>
      <c r="F283" s="79" t="s">
        <v>2387</v>
      </c>
      <c r="G283" s="79" t="s">
        <v>1294</v>
      </c>
      <c r="H283" s="79"/>
      <c r="I283" s="79"/>
    </row>
    <row r="284" spans="1:9" ht="15">
      <c r="A284" s="79" t="s">
        <v>2392</v>
      </c>
      <c r="B284" s="79" t="s">
        <v>2393</v>
      </c>
      <c r="C284" s="79">
        <v>590247957</v>
      </c>
      <c r="D284" s="79">
        <v>0</v>
      </c>
      <c r="E284" s="79" t="s">
        <v>1124</v>
      </c>
      <c r="F284" s="79" t="s">
        <v>2215</v>
      </c>
      <c r="G284" s="79" t="s">
        <v>2394</v>
      </c>
      <c r="H284" s="79"/>
      <c r="I284" s="79"/>
    </row>
    <row r="285" spans="1:9" ht="15">
      <c r="A285" s="79" t="s">
        <v>2392</v>
      </c>
      <c r="B285" s="79" t="s">
        <v>2393</v>
      </c>
      <c r="C285" s="79">
        <v>590247957</v>
      </c>
      <c r="D285" s="79">
        <v>0</v>
      </c>
      <c r="E285" s="79" t="s">
        <v>1124</v>
      </c>
      <c r="F285" s="79" t="s">
        <v>2215</v>
      </c>
      <c r="G285" s="79" t="s">
        <v>2289</v>
      </c>
      <c r="H285" s="79"/>
      <c r="I285" s="79"/>
    </row>
    <row r="286" spans="1:9" ht="15">
      <c r="A286" s="79" t="s">
        <v>2392</v>
      </c>
      <c r="B286" s="79" t="s">
        <v>2393</v>
      </c>
      <c r="C286" s="79">
        <v>590247957</v>
      </c>
      <c r="D286" s="79">
        <v>0</v>
      </c>
      <c r="E286" s="79" t="s">
        <v>1124</v>
      </c>
      <c r="F286" s="79" t="s">
        <v>2395</v>
      </c>
      <c r="G286" s="79" t="s">
        <v>2396</v>
      </c>
      <c r="H286" s="79"/>
      <c r="I286" s="79"/>
    </row>
    <row r="287" spans="1:9" ht="15">
      <c r="A287" s="79" t="s">
        <v>2392</v>
      </c>
      <c r="B287" s="79" t="s">
        <v>2393</v>
      </c>
      <c r="C287" s="79">
        <v>590247957</v>
      </c>
      <c r="D287" s="79">
        <v>0</v>
      </c>
      <c r="E287" s="79" t="s">
        <v>1124</v>
      </c>
      <c r="F287" s="79" t="s">
        <v>2395</v>
      </c>
      <c r="G287" s="79" t="s">
        <v>2103</v>
      </c>
      <c r="H287" s="79"/>
      <c r="I287" s="79"/>
    </row>
    <row r="288" spans="1:9" ht="15">
      <c r="A288" s="79" t="s">
        <v>2392</v>
      </c>
      <c r="B288" s="79" t="s">
        <v>2393</v>
      </c>
      <c r="C288" s="79">
        <v>590247957</v>
      </c>
      <c r="D288" s="79">
        <v>0</v>
      </c>
      <c r="E288" s="79" t="s">
        <v>1124</v>
      </c>
      <c r="F288" s="79" t="s">
        <v>2395</v>
      </c>
      <c r="G288" s="79" t="s">
        <v>2144</v>
      </c>
      <c r="H288" s="79"/>
      <c r="I288" s="79"/>
    </row>
    <row r="289" spans="1:9" ht="15">
      <c r="A289" s="79" t="s">
        <v>2392</v>
      </c>
      <c r="B289" s="79" t="s">
        <v>2393</v>
      </c>
      <c r="C289" s="79">
        <v>590247957</v>
      </c>
      <c r="D289" s="79">
        <v>0</v>
      </c>
      <c r="E289" s="79" t="s">
        <v>1124</v>
      </c>
      <c r="F289" s="79" t="s">
        <v>2395</v>
      </c>
      <c r="G289" s="79" t="s">
        <v>2295</v>
      </c>
      <c r="H289" s="79"/>
      <c r="I289" s="79"/>
    </row>
    <row r="290" spans="1:9" ht="15">
      <c r="A290" s="79" t="s">
        <v>2397</v>
      </c>
      <c r="B290" s="79" t="s">
        <v>2398</v>
      </c>
      <c r="C290" s="79">
        <v>590247959</v>
      </c>
      <c r="D290" s="79">
        <v>0</v>
      </c>
      <c r="E290" s="79" t="s">
        <v>1124</v>
      </c>
      <c r="F290" s="79" t="s">
        <v>2395</v>
      </c>
      <c r="G290" s="79" t="s">
        <v>2298</v>
      </c>
      <c r="H290" s="79"/>
      <c r="I290" s="79"/>
    </row>
    <row r="291" spans="1:9" ht="15">
      <c r="A291" s="79" t="s">
        <v>2397</v>
      </c>
      <c r="B291" s="79" t="s">
        <v>2398</v>
      </c>
      <c r="C291" s="79">
        <v>590247959</v>
      </c>
      <c r="D291" s="79">
        <v>0</v>
      </c>
      <c r="E291" s="79" t="s">
        <v>1124</v>
      </c>
      <c r="F291" s="79" t="s">
        <v>2395</v>
      </c>
      <c r="G291" s="79" t="s">
        <v>1294</v>
      </c>
      <c r="H291" s="79"/>
      <c r="I291" s="79"/>
    </row>
    <row r="292" spans="1:9" ht="15">
      <c r="A292" s="79" t="s">
        <v>2399</v>
      </c>
      <c r="B292" s="79" t="s">
        <v>2400</v>
      </c>
      <c r="C292" s="79">
        <v>590247987</v>
      </c>
      <c r="D292" s="79">
        <v>0</v>
      </c>
      <c r="E292" s="79" t="s">
        <v>1124</v>
      </c>
      <c r="F292" s="79" t="s">
        <v>2215</v>
      </c>
      <c r="G292" s="79" t="s">
        <v>2401</v>
      </c>
      <c r="H292" s="79"/>
      <c r="I292" s="79"/>
    </row>
    <row r="293" spans="1:9" ht="15">
      <c r="A293" s="79" t="s">
        <v>2399</v>
      </c>
      <c r="B293" s="79" t="s">
        <v>2400</v>
      </c>
      <c r="C293" s="79">
        <v>590247987</v>
      </c>
      <c r="D293" s="79">
        <v>0</v>
      </c>
      <c r="E293" s="79" t="s">
        <v>1124</v>
      </c>
      <c r="F293" s="79" t="s">
        <v>2215</v>
      </c>
      <c r="G293" s="79" t="s">
        <v>2402</v>
      </c>
      <c r="H293" s="79"/>
      <c r="I293" s="79"/>
    </row>
    <row r="294" spans="1:9" ht="15">
      <c r="A294" s="79" t="s">
        <v>2399</v>
      </c>
      <c r="B294" s="79" t="s">
        <v>2400</v>
      </c>
      <c r="C294" s="79">
        <v>590247987</v>
      </c>
      <c r="D294" s="79">
        <v>0</v>
      </c>
      <c r="E294" s="79" t="s">
        <v>1124</v>
      </c>
      <c r="F294" s="79" t="s">
        <v>2403</v>
      </c>
      <c r="G294" s="79" t="s">
        <v>2404</v>
      </c>
      <c r="H294" s="79"/>
      <c r="I294" s="79"/>
    </row>
    <row r="295" spans="1:9" ht="15">
      <c r="A295" s="79" t="s">
        <v>2399</v>
      </c>
      <c r="B295" s="79" t="s">
        <v>2400</v>
      </c>
      <c r="C295" s="79">
        <v>590247987</v>
      </c>
      <c r="D295" s="79">
        <v>0</v>
      </c>
      <c r="E295" s="79" t="s">
        <v>1124</v>
      </c>
      <c r="F295" s="79" t="s">
        <v>2403</v>
      </c>
      <c r="G295" s="79" t="s">
        <v>2103</v>
      </c>
      <c r="H295" s="79"/>
      <c r="I295" s="79"/>
    </row>
    <row r="296" spans="1:9" ht="15">
      <c r="A296" s="79" t="s">
        <v>2399</v>
      </c>
      <c r="B296" s="79" t="s">
        <v>2400</v>
      </c>
      <c r="C296" s="79">
        <v>590247987</v>
      </c>
      <c r="D296" s="79">
        <v>0</v>
      </c>
      <c r="E296" s="79" t="s">
        <v>1124</v>
      </c>
      <c r="F296" s="79" t="s">
        <v>2403</v>
      </c>
      <c r="G296" s="79" t="s">
        <v>2405</v>
      </c>
      <c r="H296" s="79"/>
      <c r="I296" s="79"/>
    </row>
    <row r="297" spans="1:9" ht="15">
      <c r="A297" s="79" t="s">
        <v>2399</v>
      </c>
      <c r="B297" s="79" t="s">
        <v>2400</v>
      </c>
      <c r="C297" s="79">
        <v>590247987</v>
      </c>
      <c r="D297" s="79">
        <v>0</v>
      </c>
      <c r="E297" s="79" t="s">
        <v>1124</v>
      </c>
      <c r="F297" s="79" t="s">
        <v>2403</v>
      </c>
      <c r="G297" s="79" t="s">
        <v>2295</v>
      </c>
      <c r="H297" s="79"/>
      <c r="I297" s="79"/>
    </row>
    <row r="298" spans="1:9" ht="15">
      <c r="A298" s="79" t="s">
        <v>2406</v>
      </c>
      <c r="B298" s="79" t="s">
        <v>2407</v>
      </c>
      <c r="C298" s="79">
        <v>590247989</v>
      </c>
      <c r="D298" s="79">
        <v>0</v>
      </c>
      <c r="E298" s="79" t="s">
        <v>1124</v>
      </c>
      <c r="F298" s="79" t="s">
        <v>2403</v>
      </c>
      <c r="G298" s="79" t="s">
        <v>2298</v>
      </c>
      <c r="H298" s="79"/>
      <c r="I298" s="79"/>
    </row>
    <row r="299" spans="1:9" ht="15">
      <c r="A299" s="79" t="s">
        <v>2406</v>
      </c>
      <c r="B299" s="79" t="s">
        <v>2407</v>
      </c>
      <c r="C299" s="79">
        <v>590247989</v>
      </c>
      <c r="D299" s="79">
        <v>0</v>
      </c>
      <c r="E299" s="79" t="s">
        <v>1124</v>
      </c>
      <c r="F299" s="79" t="s">
        <v>2403</v>
      </c>
      <c r="G299" s="79" t="s">
        <v>1294</v>
      </c>
      <c r="H299" s="79"/>
      <c r="I299" s="79"/>
    </row>
    <row r="300" spans="1:9" ht="15">
      <c r="A300" s="79" t="s">
        <v>2408</v>
      </c>
      <c r="B300" s="79" t="s">
        <v>2409</v>
      </c>
      <c r="C300" s="79">
        <v>590248047</v>
      </c>
      <c r="D300" s="79">
        <v>0</v>
      </c>
      <c r="E300" s="79" t="s">
        <v>1124</v>
      </c>
      <c r="F300" s="79" t="s">
        <v>2215</v>
      </c>
      <c r="G300" s="79" t="s">
        <v>2410</v>
      </c>
      <c r="H300" s="79"/>
      <c r="I300" s="79"/>
    </row>
    <row r="301" spans="1:9" ht="15">
      <c r="A301" s="79" t="s">
        <v>2408</v>
      </c>
      <c r="B301" s="79" t="s">
        <v>2409</v>
      </c>
      <c r="C301" s="79">
        <v>590248047</v>
      </c>
      <c r="D301" s="79">
        <v>0</v>
      </c>
      <c r="E301" s="79" t="s">
        <v>1124</v>
      </c>
      <c r="F301" s="79" t="s">
        <v>2215</v>
      </c>
      <c r="G301" s="79" t="s">
        <v>2402</v>
      </c>
      <c r="H301" s="79"/>
      <c r="I301" s="79"/>
    </row>
    <row r="302" spans="1:9" ht="15">
      <c r="A302" s="79" t="s">
        <v>2408</v>
      </c>
      <c r="B302" s="79" t="s">
        <v>2409</v>
      </c>
      <c r="C302" s="79">
        <v>590248047</v>
      </c>
      <c r="D302" s="79">
        <v>0</v>
      </c>
      <c r="E302" s="79" t="s">
        <v>1124</v>
      </c>
      <c r="F302" s="79" t="s">
        <v>2411</v>
      </c>
      <c r="G302" s="79" t="s">
        <v>2412</v>
      </c>
      <c r="H302" s="79"/>
      <c r="I302" s="79"/>
    </row>
    <row r="303" spans="1:9" ht="15">
      <c r="A303" s="79" t="s">
        <v>2408</v>
      </c>
      <c r="B303" s="79" t="s">
        <v>2409</v>
      </c>
      <c r="C303" s="79">
        <v>590248047</v>
      </c>
      <c r="D303" s="79">
        <v>0</v>
      </c>
      <c r="E303" s="79" t="s">
        <v>1124</v>
      </c>
      <c r="F303" s="79" t="s">
        <v>2411</v>
      </c>
      <c r="G303" s="79" t="s">
        <v>2103</v>
      </c>
      <c r="H303" s="79"/>
      <c r="I303" s="79"/>
    </row>
    <row r="304" spans="1:9" ht="15">
      <c r="A304" s="79" t="s">
        <v>2408</v>
      </c>
      <c r="B304" s="79" t="s">
        <v>2409</v>
      </c>
      <c r="C304" s="79">
        <v>590248047</v>
      </c>
      <c r="D304" s="79">
        <v>0</v>
      </c>
      <c r="E304" s="79" t="s">
        <v>1124</v>
      </c>
      <c r="F304" s="79" t="s">
        <v>2411</v>
      </c>
      <c r="G304" s="79" t="s">
        <v>2413</v>
      </c>
      <c r="H304" s="79"/>
      <c r="I304" s="79"/>
    </row>
    <row r="305" spans="1:9" ht="15">
      <c r="A305" s="79" t="s">
        <v>2408</v>
      </c>
      <c r="B305" s="79" t="s">
        <v>2409</v>
      </c>
      <c r="C305" s="79">
        <v>590248047</v>
      </c>
      <c r="D305" s="79">
        <v>0</v>
      </c>
      <c r="E305" s="79" t="s">
        <v>1124</v>
      </c>
      <c r="F305" s="79" t="s">
        <v>2411</v>
      </c>
      <c r="G305" s="79" t="s">
        <v>2295</v>
      </c>
      <c r="H305" s="79"/>
      <c r="I305" s="79"/>
    </row>
    <row r="306" spans="1:9" ht="15">
      <c r="A306" s="79" t="s">
        <v>2414</v>
      </c>
      <c r="B306" s="79" t="s">
        <v>2415</v>
      </c>
      <c r="C306" s="79">
        <v>590248049</v>
      </c>
      <c r="D306" s="79">
        <v>0</v>
      </c>
      <c r="E306" s="79" t="s">
        <v>1124</v>
      </c>
      <c r="F306" s="79" t="s">
        <v>2411</v>
      </c>
      <c r="G306" s="79" t="s">
        <v>2298</v>
      </c>
      <c r="H306" s="79"/>
      <c r="I306" s="79"/>
    </row>
    <row r="307" spans="1:9" ht="15">
      <c r="A307" s="79" t="s">
        <v>2414</v>
      </c>
      <c r="B307" s="79" t="s">
        <v>2415</v>
      </c>
      <c r="C307" s="79">
        <v>590248049</v>
      </c>
      <c r="D307" s="79">
        <v>0</v>
      </c>
      <c r="E307" s="79" t="s">
        <v>1124</v>
      </c>
      <c r="F307" s="79" t="s">
        <v>2411</v>
      </c>
      <c r="G307" s="79" t="s">
        <v>1294</v>
      </c>
      <c r="H307" s="79"/>
      <c r="I307" s="79"/>
    </row>
    <row r="308" spans="1:9" ht="15">
      <c r="A308" s="79" t="s">
        <v>2416</v>
      </c>
      <c r="B308" s="79" t="s">
        <v>2417</v>
      </c>
      <c r="C308" s="79">
        <v>590248107</v>
      </c>
      <c r="D308" s="79">
        <v>0</v>
      </c>
      <c r="E308" s="79" t="s">
        <v>1124</v>
      </c>
      <c r="F308" s="79" t="s">
        <v>2215</v>
      </c>
      <c r="G308" s="79" t="s">
        <v>2418</v>
      </c>
      <c r="H308" s="79"/>
      <c r="I308" s="79"/>
    </row>
    <row r="309" spans="1:9" ht="15">
      <c r="A309" s="79" t="s">
        <v>2416</v>
      </c>
      <c r="B309" s="79" t="s">
        <v>2417</v>
      </c>
      <c r="C309" s="79">
        <v>590248107</v>
      </c>
      <c r="D309" s="79">
        <v>0</v>
      </c>
      <c r="E309" s="79" t="s">
        <v>1124</v>
      </c>
      <c r="F309" s="79" t="s">
        <v>2215</v>
      </c>
      <c r="G309" s="79" t="s">
        <v>2402</v>
      </c>
      <c r="H309" s="79"/>
      <c r="I309" s="79"/>
    </row>
    <row r="310" spans="1:9" ht="15">
      <c r="A310" s="79" t="s">
        <v>2416</v>
      </c>
      <c r="B310" s="79" t="s">
        <v>2417</v>
      </c>
      <c r="C310" s="79">
        <v>590248107</v>
      </c>
      <c r="D310" s="79">
        <v>0</v>
      </c>
      <c r="E310" s="79" t="s">
        <v>1124</v>
      </c>
      <c r="F310" s="79" t="s">
        <v>2419</v>
      </c>
      <c r="G310" s="79" t="s">
        <v>2420</v>
      </c>
      <c r="H310" s="79"/>
      <c r="I310" s="79"/>
    </row>
    <row r="311" spans="1:9" ht="15">
      <c r="A311" s="79" t="s">
        <v>2416</v>
      </c>
      <c r="B311" s="79" t="s">
        <v>2417</v>
      </c>
      <c r="C311" s="79">
        <v>590248107</v>
      </c>
      <c r="D311" s="79">
        <v>0</v>
      </c>
      <c r="E311" s="79" t="s">
        <v>1124</v>
      </c>
      <c r="F311" s="79" t="s">
        <v>2419</v>
      </c>
      <c r="G311" s="79" t="s">
        <v>2103</v>
      </c>
      <c r="H311" s="79"/>
      <c r="I311" s="79"/>
    </row>
    <row r="312" spans="1:9" ht="15">
      <c r="A312" s="79" t="s">
        <v>2416</v>
      </c>
      <c r="B312" s="79" t="s">
        <v>2417</v>
      </c>
      <c r="C312" s="79">
        <v>590248107</v>
      </c>
      <c r="D312" s="79">
        <v>0</v>
      </c>
      <c r="E312" s="79" t="s">
        <v>1124</v>
      </c>
      <c r="F312" s="79" t="s">
        <v>2419</v>
      </c>
      <c r="G312" s="79" t="s">
        <v>2136</v>
      </c>
      <c r="H312" s="79"/>
      <c r="I312" s="79"/>
    </row>
    <row r="313" spans="1:9" ht="15">
      <c r="A313" s="79" t="s">
        <v>2416</v>
      </c>
      <c r="B313" s="79" t="s">
        <v>2417</v>
      </c>
      <c r="C313" s="79">
        <v>590248107</v>
      </c>
      <c r="D313" s="79">
        <v>0</v>
      </c>
      <c r="E313" s="79" t="s">
        <v>1124</v>
      </c>
      <c r="F313" s="79" t="s">
        <v>2419</v>
      </c>
      <c r="G313" s="79" t="s">
        <v>2295</v>
      </c>
      <c r="H313" s="79"/>
      <c r="I313" s="79"/>
    </row>
    <row r="314" spans="1:9" ht="15">
      <c r="A314" s="79" t="s">
        <v>2421</v>
      </c>
      <c r="B314" s="79" t="s">
        <v>2422</v>
      </c>
      <c r="C314" s="79">
        <v>590248109</v>
      </c>
      <c r="D314" s="79">
        <v>0</v>
      </c>
      <c r="E314" s="79" t="s">
        <v>1124</v>
      </c>
      <c r="F314" s="79" t="s">
        <v>2419</v>
      </c>
      <c r="G314" s="79" t="s">
        <v>2298</v>
      </c>
      <c r="H314" s="79"/>
      <c r="I314" s="79"/>
    </row>
    <row r="315" spans="1:9" ht="15">
      <c r="A315" s="79" t="s">
        <v>2421</v>
      </c>
      <c r="B315" s="79" t="s">
        <v>2422</v>
      </c>
      <c r="C315" s="79">
        <v>590248109</v>
      </c>
      <c r="D315" s="79">
        <v>0</v>
      </c>
      <c r="E315" s="79" t="s">
        <v>1124</v>
      </c>
      <c r="F315" s="79" t="s">
        <v>2419</v>
      </c>
      <c r="G315" s="79" t="s">
        <v>1294</v>
      </c>
      <c r="H315" s="79"/>
      <c r="I315" s="79"/>
    </row>
    <row r="316" spans="1:9" ht="15">
      <c r="A316" s="79" t="s">
        <v>2423</v>
      </c>
      <c r="B316" s="79" t="s">
        <v>2424</v>
      </c>
      <c r="C316" s="79">
        <v>590248167</v>
      </c>
      <c r="D316" s="79">
        <v>0</v>
      </c>
      <c r="E316" s="79" t="s">
        <v>1124</v>
      </c>
      <c r="F316" s="79" t="s">
        <v>2215</v>
      </c>
      <c r="G316" s="79" t="s">
        <v>2425</v>
      </c>
      <c r="H316" s="79"/>
      <c r="I316" s="79"/>
    </row>
    <row r="317" spans="1:9" ht="15">
      <c r="A317" s="79" t="s">
        <v>2423</v>
      </c>
      <c r="B317" s="79" t="s">
        <v>2424</v>
      </c>
      <c r="C317" s="79">
        <v>590248167</v>
      </c>
      <c r="D317" s="79">
        <v>0</v>
      </c>
      <c r="E317" s="79" t="s">
        <v>1124</v>
      </c>
      <c r="F317" s="79" t="s">
        <v>2215</v>
      </c>
      <c r="G317" s="79" t="s">
        <v>2402</v>
      </c>
      <c r="H317" s="79"/>
      <c r="I317" s="79"/>
    </row>
    <row r="318" spans="1:9" ht="15">
      <c r="A318" s="79" t="s">
        <v>2423</v>
      </c>
      <c r="B318" s="79" t="s">
        <v>2424</v>
      </c>
      <c r="C318" s="79">
        <v>590248167</v>
      </c>
      <c r="D318" s="79">
        <v>0</v>
      </c>
      <c r="E318" s="79" t="s">
        <v>1124</v>
      </c>
      <c r="F318" s="79" t="s">
        <v>2426</v>
      </c>
      <c r="G318" s="79" t="s">
        <v>2427</v>
      </c>
      <c r="H318" s="79"/>
      <c r="I318" s="79"/>
    </row>
    <row r="319" spans="1:9" ht="15">
      <c r="A319" s="79" t="s">
        <v>2423</v>
      </c>
      <c r="B319" s="79" t="s">
        <v>2424</v>
      </c>
      <c r="C319" s="79">
        <v>590248167</v>
      </c>
      <c r="D319" s="79">
        <v>0</v>
      </c>
      <c r="E319" s="79" t="s">
        <v>1124</v>
      </c>
      <c r="F319" s="79" t="s">
        <v>2426</v>
      </c>
      <c r="G319" s="79" t="s">
        <v>2103</v>
      </c>
      <c r="H319" s="79"/>
      <c r="I319" s="79"/>
    </row>
    <row r="320" spans="1:9" ht="15">
      <c r="A320" s="79" t="s">
        <v>2423</v>
      </c>
      <c r="B320" s="79" t="s">
        <v>2424</v>
      </c>
      <c r="C320" s="79">
        <v>590248167</v>
      </c>
      <c r="D320" s="79">
        <v>0</v>
      </c>
      <c r="E320" s="79" t="s">
        <v>1124</v>
      </c>
      <c r="F320" s="79" t="s">
        <v>2426</v>
      </c>
      <c r="G320" s="79" t="s">
        <v>2428</v>
      </c>
      <c r="H320" s="79"/>
      <c r="I320" s="79"/>
    </row>
    <row r="321" spans="1:9" ht="15">
      <c r="A321" s="79" t="s">
        <v>2423</v>
      </c>
      <c r="B321" s="79" t="s">
        <v>2424</v>
      </c>
      <c r="C321" s="79">
        <v>590248167</v>
      </c>
      <c r="D321" s="79">
        <v>0</v>
      </c>
      <c r="E321" s="79" t="s">
        <v>1124</v>
      </c>
      <c r="F321" s="79" t="s">
        <v>2426</v>
      </c>
      <c r="G321" s="79" t="s">
        <v>2295</v>
      </c>
      <c r="H321" s="79"/>
      <c r="I321" s="79"/>
    </row>
    <row r="322" spans="1:9" ht="15">
      <c r="A322" s="79" t="s">
        <v>2429</v>
      </c>
      <c r="B322" s="79" t="s">
        <v>2430</v>
      </c>
      <c r="C322" s="79">
        <v>590248169</v>
      </c>
      <c r="D322" s="79">
        <v>0</v>
      </c>
      <c r="E322" s="79" t="s">
        <v>1124</v>
      </c>
      <c r="F322" s="79" t="s">
        <v>2426</v>
      </c>
      <c r="G322" s="79" t="s">
        <v>2298</v>
      </c>
      <c r="H322" s="79"/>
      <c r="I322" s="79"/>
    </row>
    <row r="323" spans="1:9" ht="15">
      <c r="A323" s="79" t="s">
        <v>2429</v>
      </c>
      <c r="B323" s="79" t="s">
        <v>2430</v>
      </c>
      <c r="C323" s="79">
        <v>590248169</v>
      </c>
      <c r="D323" s="79">
        <v>0</v>
      </c>
      <c r="E323" s="79" t="s">
        <v>1124</v>
      </c>
      <c r="F323" s="79" t="s">
        <v>2426</v>
      </c>
      <c r="G323" s="79" t="s">
        <v>1294</v>
      </c>
      <c r="H323" s="79"/>
      <c r="I323" s="79"/>
    </row>
    <row r="324" spans="1:9" ht="15">
      <c r="A324" s="79" t="s">
        <v>2431</v>
      </c>
      <c r="B324" s="79" t="s">
        <v>2432</v>
      </c>
      <c r="C324" s="79">
        <v>590248227</v>
      </c>
      <c r="D324" s="79">
        <v>0</v>
      </c>
      <c r="E324" s="79" t="s">
        <v>1124</v>
      </c>
      <c r="F324" s="79" t="s">
        <v>2215</v>
      </c>
      <c r="G324" s="79" t="s">
        <v>2433</v>
      </c>
      <c r="H324" s="79"/>
      <c r="I324" s="79"/>
    </row>
    <row r="325" spans="1:9" ht="15">
      <c r="A325" s="79" t="s">
        <v>2431</v>
      </c>
      <c r="B325" s="79" t="s">
        <v>2432</v>
      </c>
      <c r="C325" s="79">
        <v>590248227</v>
      </c>
      <c r="D325" s="79">
        <v>0</v>
      </c>
      <c r="E325" s="79" t="s">
        <v>1124</v>
      </c>
      <c r="F325" s="79" t="s">
        <v>2215</v>
      </c>
      <c r="G325" s="79" t="s">
        <v>2402</v>
      </c>
      <c r="H325" s="79"/>
      <c r="I325" s="79"/>
    </row>
    <row r="326" spans="1:9" ht="15">
      <c r="A326" s="79" t="s">
        <v>2431</v>
      </c>
      <c r="B326" s="79" t="s">
        <v>2432</v>
      </c>
      <c r="C326" s="79">
        <v>590248227</v>
      </c>
      <c r="D326" s="79">
        <v>0</v>
      </c>
      <c r="E326" s="79" t="s">
        <v>1124</v>
      </c>
      <c r="F326" s="79" t="s">
        <v>2434</v>
      </c>
      <c r="G326" s="79" t="s">
        <v>2435</v>
      </c>
      <c r="H326" s="79"/>
      <c r="I326" s="79"/>
    </row>
    <row r="327" spans="1:9" ht="15">
      <c r="A327" s="79" t="s">
        <v>2431</v>
      </c>
      <c r="B327" s="79" t="s">
        <v>2432</v>
      </c>
      <c r="C327" s="79">
        <v>590248227</v>
      </c>
      <c r="D327" s="79">
        <v>0</v>
      </c>
      <c r="E327" s="79" t="s">
        <v>1124</v>
      </c>
      <c r="F327" s="79" t="s">
        <v>2434</v>
      </c>
      <c r="G327" s="79" t="s">
        <v>2103</v>
      </c>
      <c r="H327" s="79"/>
      <c r="I327" s="79"/>
    </row>
    <row r="328" spans="1:9" ht="15">
      <c r="A328" s="79" t="s">
        <v>2431</v>
      </c>
      <c r="B328" s="79" t="s">
        <v>2432</v>
      </c>
      <c r="C328" s="79">
        <v>590248227</v>
      </c>
      <c r="D328" s="79">
        <v>0</v>
      </c>
      <c r="E328" s="79" t="s">
        <v>1124</v>
      </c>
      <c r="F328" s="79" t="s">
        <v>2434</v>
      </c>
      <c r="G328" s="79" t="s">
        <v>2436</v>
      </c>
      <c r="H328" s="79"/>
      <c r="I328" s="79"/>
    </row>
    <row r="329" spans="1:9" ht="15">
      <c r="A329" s="79" t="s">
        <v>2431</v>
      </c>
      <c r="B329" s="79" t="s">
        <v>2432</v>
      </c>
      <c r="C329" s="79">
        <v>590248227</v>
      </c>
      <c r="D329" s="79">
        <v>0</v>
      </c>
      <c r="E329" s="79" t="s">
        <v>1124</v>
      </c>
      <c r="F329" s="79" t="s">
        <v>2434</v>
      </c>
      <c r="G329" s="79" t="s">
        <v>2295</v>
      </c>
      <c r="H329" s="79"/>
      <c r="I329" s="79"/>
    </row>
    <row r="330" spans="1:9" ht="15">
      <c r="A330" s="79" t="s">
        <v>2437</v>
      </c>
      <c r="B330" s="79" t="s">
        <v>2438</v>
      </c>
      <c r="C330" s="79">
        <v>590248229</v>
      </c>
      <c r="D330" s="79">
        <v>0</v>
      </c>
      <c r="E330" s="79" t="s">
        <v>1124</v>
      </c>
      <c r="F330" s="79" t="s">
        <v>2434</v>
      </c>
      <c r="G330" s="79" t="s">
        <v>2298</v>
      </c>
      <c r="H330" s="79"/>
      <c r="I330" s="79"/>
    </row>
    <row r="331" spans="1:9" ht="15">
      <c r="A331" s="79" t="s">
        <v>2437</v>
      </c>
      <c r="B331" s="79" t="s">
        <v>2438</v>
      </c>
      <c r="C331" s="79">
        <v>590248229</v>
      </c>
      <c r="D331" s="79">
        <v>0</v>
      </c>
      <c r="E331" s="79" t="s">
        <v>1124</v>
      </c>
      <c r="F331" s="79" t="s">
        <v>2434</v>
      </c>
      <c r="G331" s="79" t="s">
        <v>1294</v>
      </c>
      <c r="H331" s="79"/>
      <c r="I331" s="79"/>
    </row>
    <row r="332" spans="1:9" ht="15">
      <c r="A332" s="79" t="s">
        <v>2439</v>
      </c>
      <c r="B332" s="79" t="s">
        <v>2440</v>
      </c>
      <c r="C332" s="79">
        <v>590248287</v>
      </c>
      <c r="D332" s="79">
        <v>0</v>
      </c>
      <c r="E332" s="79" t="s">
        <v>1124</v>
      </c>
      <c r="F332" s="79" t="s">
        <v>2215</v>
      </c>
      <c r="G332" s="79" t="s">
        <v>2441</v>
      </c>
      <c r="H332" s="79"/>
      <c r="I332" s="79"/>
    </row>
    <row r="333" spans="1:9" ht="15">
      <c r="A333" s="79" t="s">
        <v>2439</v>
      </c>
      <c r="B333" s="79" t="s">
        <v>2440</v>
      </c>
      <c r="C333" s="79">
        <v>590248287</v>
      </c>
      <c r="D333" s="79">
        <v>0</v>
      </c>
      <c r="E333" s="79" t="s">
        <v>1124</v>
      </c>
      <c r="F333" s="79" t="s">
        <v>2215</v>
      </c>
      <c r="G333" s="79" t="s">
        <v>2402</v>
      </c>
      <c r="H333" s="79"/>
      <c r="I333" s="79"/>
    </row>
    <row r="334" spans="1:9" ht="15">
      <c r="A334" s="79" t="s">
        <v>2439</v>
      </c>
      <c r="B334" s="79" t="s">
        <v>2440</v>
      </c>
      <c r="C334" s="79">
        <v>590248287</v>
      </c>
      <c r="D334" s="79">
        <v>0</v>
      </c>
      <c r="E334" s="79" t="s">
        <v>1124</v>
      </c>
      <c r="F334" s="79" t="s">
        <v>2442</v>
      </c>
      <c r="G334" s="79" t="s">
        <v>2443</v>
      </c>
      <c r="H334" s="79"/>
      <c r="I334" s="79"/>
    </row>
    <row r="335" spans="1:9" ht="15">
      <c r="A335" s="79" t="s">
        <v>2439</v>
      </c>
      <c r="B335" s="79" t="s">
        <v>2440</v>
      </c>
      <c r="C335" s="79">
        <v>590248287</v>
      </c>
      <c r="D335" s="79">
        <v>0</v>
      </c>
      <c r="E335" s="79" t="s">
        <v>1124</v>
      </c>
      <c r="F335" s="79" t="s">
        <v>2442</v>
      </c>
      <c r="G335" s="79" t="s">
        <v>2103</v>
      </c>
      <c r="H335" s="79"/>
      <c r="I335" s="79"/>
    </row>
    <row r="336" spans="1:9" ht="15">
      <c r="A336" s="79" t="s">
        <v>2439</v>
      </c>
      <c r="B336" s="79" t="s">
        <v>2440</v>
      </c>
      <c r="C336" s="79">
        <v>590248287</v>
      </c>
      <c r="D336" s="79">
        <v>0</v>
      </c>
      <c r="E336" s="79" t="s">
        <v>1124</v>
      </c>
      <c r="F336" s="79" t="s">
        <v>2442</v>
      </c>
      <c r="G336" s="79" t="s">
        <v>2128</v>
      </c>
      <c r="H336" s="79"/>
      <c r="I336" s="79"/>
    </row>
    <row r="337" spans="1:9" ht="15">
      <c r="A337" s="79" t="s">
        <v>2439</v>
      </c>
      <c r="B337" s="79" t="s">
        <v>2440</v>
      </c>
      <c r="C337" s="79">
        <v>590248287</v>
      </c>
      <c r="D337" s="79">
        <v>0</v>
      </c>
      <c r="E337" s="79" t="s">
        <v>1124</v>
      </c>
      <c r="F337" s="79" t="s">
        <v>2442</v>
      </c>
      <c r="G337" s="79" t="s">
        <v>2295</v>
      </c>
      <c r="H337" s="79"/>
      <c r="I337" s="79"/>
    </row>
    <row r="338" spans="1:9" ht="15">
      <c r="A338" s="79" t="s">
        <v>2444</v>
      </c>
      <c r="B338" s="79" t="s">
        <v>2445</v>
      </c>
      <c r="C338" s="79">
        <v>590248289</v>
      </c>
      <c r="D338" s="79">
        <v>0</v>
      </c>
      <c r="E338" s="79" t="s">
        <v>1124</v>
      </c>
      <c r="F338" s="79" t="s">
        <v>2442</v>
      </c>
      <c r="G338" s="79" t="s">
        <v>2298</v>
      </c>
      <c r="H338" s="79"/>
      <c r="I338" s="79"/>
    </row>
    <row r="339" spans="1:9" ht="15">
      <c r="A339" s="79" t="s">
        <v>2444</v>
      </c>
      <c r="B339" s="79" t="s">
        <v>2445</v>
      </c>
      <c r="C339" s="79">
        <v>590248289</v>
      </c>
      <c r="D339" s="79">
        <v>0</v>
      </c>
      <c r="E339" s="79" t="s">
        <v>1124</v>
      </c>
      <c r="F339" s="79" t="s">
        <v>2442</v>
      </c>
      <c r="G339" s="79" t="s">
        <v>1294</v>
      </c>
      <c r="H339" s="79"/>
      <c r="I339" s="79"/>
    </row>
    <row r="340" spans="1:9" ht="15">
      <c r="A340" s="79" t="s">
        <v>2446</v>
      </c>
      <c r="B340" s="79" t="s">
        <v>2447</v>
      </c>
      <c r="C340" s="79">
        <v>590248347</v>
      </c>
      <c r="D340" s="79">
        <v>0</v>
      </c>
      <c r="E340" s="79" t="s">
        <v>1124</v>
      </c>
      <c r="F340" s="79" t="s">
        <v>2215</v>
      </c>
      <c r="G340" s="79" t="s">
        <v>2448</v>
      </c>
      <c r="H340" s="79"/>
      <c r="I340" s="79"/>
    </row>
    <row r="341" spans="1:9" ht="15">
      <c r="A341" s="79" t="s">
        <v>2446</v>
      </c>
      <c r="B341" s="79" t="s">
        <v>2447</v>
      </c>
      <c r="C341" s="79">
        <v>590248347</v>
      </c>
      <c r="D341" s="79">
        <v>0</v>
      </c>
      <c r="E341" s="79" t="s">
        <v>1124</v>
      </c>
      <c r="F341" s="79" t="s">
        <v>2215</v>
      </c>
      <c r="G341" s="79" t="s">
        <v>2449</v>
      </c>
      <c r="H341" s="79"/>
      <c r="I341" s="79"/>
    </row>
    <row r="342" spans="1:9" ht="15">
      <c r="A342" s="79" t="s">
        <v>2446</v>
      </c>
      <c r="B342" s="79" t="s">
        <v>2447</v>
      </c>
      <c r="C342" s="79">
        <v>590248347</v>
      </c>
      <c r="D342" s="79">
        <v>0</v>
      </c>
      <c r="E342" s="79" t="s">
        <v>1124</v>
      </c>
      <c r="F342" s="79" t="s">
        <v>2450</v>
      </c>
      <c r="G342" s="79" t="s">
        <v>2451</v>
      </c>
      <c r="H342" s="79"/>
      <c r="I342" s="79"/>
    </row>
    <row r="343" spans="1:9" ht="15">
      <c r="A343" s="79" t="s">
        <v>2446</v>
      </c>
      <c r="B343" s="79" t="s">
        <v>2447</v>
      </c>
      <c r="C343" s="79">
        <v>590248347</v>
      </c>
      <c r="D343" s="79">
        <v>0</v>
      </c>
      <c r="E343" s="79" t="s">
        <v>1124</v>
      </c>
      <c r="F343" s="79" t="s">
        <v>2450</v>
      </c>
      <c r="G343" s="79" t="s">
        <v>2103</v>
      </c>
      <c r="H343" s="79"/>
      <c r="I343" s="79"/>
    </row>
    <row r="344" spans="1:9" ht="15">
      <c r="A344" s="79" t="s">
        <v>2446</v>
      </c>
      <c r="B344" s="79" t="s">
        <v>2447</v>
      </c>
      <c r="C344" s="79">
        <v>590248347</v>
      </c>
      <c r="D344" s="79">
        <v>0</v>
      </c>
      <c r="E344" s="79" t="s">
        <v>1124</v>
      </c>
      <c r="F344" s="79" t="s">
        <v>2450</v>
      </c>
      <c r="G344" s="79" t="s">
        <v>2452</v>
      </c>
      <c r="H344" s="79"/>
      <c r="I344" s="79"/>
    </row>
    <row r="345" spans="1:9" ht="15">
      <c r="A345" s="79" t="s">
        <v>2446</v>
      </c>
      <c r="B345" s="79" t="s">
        <v>2447</v>
      </c>
      <c r="C345" s="79">
        <v>590248347</v>
      </c>
      <c r="D345" s="79">
        <v>0</v>
      </c>
      <c r="E345" s="79" t="s">
        <v>1124</v>
      </c>
      <c r="F345" s="79" t="s">
        <v>2450</v>
      </c>
      <c r="G345" s="79" t="s">
        <v>2295</v>
      </c>
      <c r="H345" s="79"/>
      <c r="I345" s="79"/>
    </row>
    <row r="346" spans="1:9" ht="15">
      <c r="A346" s="79" t="s">
        <v>2453</v>
      </c>
      <c r="B346" s="79" t="s">
        <v>2454</v>
      </c>
      <c r="C346" s="79">
        <v>590248349</v>
      </c>
      <c r="D346" s="79">
        <v>0</v>
      </c>
      <c r="E346" s="79" t="s">
        <v>1124</v>
      </c>
      <c r="F346" s="79" t="s">
        <v>2450</v>
      </c>
      <c r="G346" s="79" t="s">
        <v>2298</v>
      </c>
      <c r="H346" s="79"/>
      <c r="I346" s="79"/>
    </row>
    <row r="347" spans="1:9" ht="15">
      <c r="A347" s="79" t="s">
        <v>2453</v>
      </c>
      <c r="B347" s="79" t="s">
        <v>2454</v>
      </c>
      <c r="C347" s="79">
        <v>590248349</v>
      </c>
      <c r="D347" s="79">
        <v>0</v>
      </c>
      <c r="E347" s="79" t="s">
        <v>1124</v>
      </c>
      <c r="F347" s="79" t="s">
        <v>2450</v>
      </c>
      <c r="G347" s="79" t="s">
        <v>1294</v>
      </c>
      <c r="H347" s="79"/>
      <c r="I347" s="79"/>
    </row>
    <row r="348" spans="1:9" ht="15">
      <c r="A348" s="79" t="s">
        <v>2455</v>
      </c>
      <c r="B348" s="79" t="s">
        <v>2456</v>
      </c>
      <c r="C348" s="79">
        <v>590248447</v>
      </c>
      <c r="D348" s="79">
        <v>0</v>
      </c>
      <c r="E348" s="79" t="s">
        <v>1124</v>
      </c>
      <c r="F348" s="79" t="s">
        <v>2215</v>
      </c>
      <c r="G348" s="79" t="s">
        <v>2457</v>
      </c>
      <c r="H348" s="79"/>
      <c r="I348" s="79"/>
    </row>
    <row r="349" spans="1:9" ht="15">
      <c r="A349" s="79" t="s">
        <v>2455</v>
      </c>
      <c r="B349" s="79" t="s">
        <v>2456</v>
      </c>
      <c r="C349" s="79">
        <v>590248447</v>
      </c>
      <c r="D349" s="79">
        <v>0</v>
      </c>
      <c r="E349" s="79" t="s">
        <v>1124</v>
      </c>
      <c r="F349" s="79" t="s">
        <v>2215</v>
      </c>
      <c r="G349" s="79" t="s">
        <v>2449</v>
      </c>
      <c r="H349" s="79"/>
      <c r="I349" s="79"/>
    </row>
    <row r="350" spans="1:9" ht="15">
      <c r="A350" s="79" t="s">
        <v>2455</v>
      </c>
      <c r="B350" s="79" t="s">
        <v>2456</v>
      </c>
      <c r="C350" s="79">
        <v>590248447</v>
      </c>
      <c r="D350" s="79">
        <v>0</v>
      </c>
      <c r="E350" s="79" t="s">
        <v>1124</v>
      </c>
      <c r="F350" s="79" t="s">
        <v>2458</v>
      </c>
      <c r="G350" s="79" t="s">
        <v>2459</v>
      </c>
      <c r="H350" s="79"/>
      <c r="I350" s="79"/>
    </row>
    <row r="351" spans="1:9" ht="15">
      <c r="A351" s="79" t="s">
        <v>2455</v>
      </c>
      <c r="B351" s="79" t="s">
        <v>2456</v>
      </c>
      <c r="C351" s="79">
        <v>590248447</v>
      </c>
      <c r="D351" s="79">
        <v>0</v>
      </c>
      <c r="E351" s="79" t="s">
        <v>1124</v>
      </c>
      <c r="F351" s="79" t="s">
        <v>2458</v>
      </c>
      <c r="G351" s="79" t="s">
        <v>2103</v>
      </c>
      <c r="H351" s="79"/>
      <c r="I351" s="79"/>
    </row>
    <row r="352" spans="1:9" ht="15">
      <c r="A352" s="79" t="s">
        <v>2455</v>
      </c>
      <c r="B352" s="79" t="s">
        <v>2456</v>
      </c>
      <c r="C352" s="79">
        <v>590248447</v>
      </c>
      <c r="D352" s="79">
        <v>0</v>
      </c>
      <c r="E352" s="79" t="s">
        <v>1124</v>
      </c>
      <c r="F352" s="79" t="s">
        <v>2458</v>
      </c>
      <c r="G352" s="79" t="s">
        <v>2124</v>
      </c>
      <c r="H352" s="79"/>
      <c r="I352" s="79"/>
    </row>
    <row r="353" spans="1:9" ht="15">
      <c r="A353" s="79" t="s">
        <v>2455</v>
      </c>
      <c r="B353" s="79" t="s">
        <v>2456</v>
      </c>
      <c r="C353" s="79">
        <v>590248447</v>
      </c>
      <c r="D353" s="79">
        <v>0</v>
      </c>
      <c r="E353" s="79" t="s">
        <v>1124</v>
      </c>
      <c r="F353" s="79" t="s">
        <v>2458</v>
      </c>
      <c r="G353" s="79" t="s">
        <v>2295</v>
      </c>
      <c r="H353" s="79"/>
      <c r="I353" s="79"/>
    </row>
    <row r="354" spans="1:9" ht="15">
      <c r="A354" s="79" t="s">
        <v>2460</v>
      </c>
      <c r="B354" s="79" t="s">
        <v>2461</v>
      </c>
      <c r="C354" s="79">
        <v>590248449</v>
      </c>
      <c r="D354" s="79">
        <v>0</v>
      </c>
      <c r="E354" s="79" t="s">
        <v>1124</v>
      </c>
      <c r="F354" s="79" t="s">
        <v>2458</v>
      </c>
      <c r="G354" s="79" t="s">
        <v>2298</v>
      </c>
      <c r="H354" s="79"/>
      <c r="I354" s="79"/>
    </row>
    <row r="355" spans="1:9" ht="15">
      <c r="A355" s="79" t="s">
        <v>2460</v>
      </c>
      <c r="B355" s="79" t="s">
        <v>2461</v>
      </c>
      <c r="C355" s="79">
        <v>590248449</v>
      </c>
      <c r="D355" s="79">
        <v>0</v>
      </c>
      <c r="E355" s="79" t="s">
        <v>1124</v>
      </c>
      <c r="F355" s="79" t="s">
        <v>2458</v>
      </c>
      <c r="G355" s="79" t="s">
        <v>1294</v>
      </c>
      <c r="H355" s="79"/>
      <c r="I355" s="79"/>
    </row>
    <row r="356" spans="1:9" ht="15">
      <c r="A356" s="79" t="s">
        <v>2462</v>
      </c>
      <c r="B356" s="79" t="s">
        <v>2463</v>
      </c>
      <c r="C356" s="79">
        <v>590248547</v>
      </c>
      <c r="D356" s="79">
        <v>0</v>
      </c>
      <c r="E356" s="79" t="s">
        <v>1124</v>
      </c>
      <c r="F356" s="79" t="s">
        <v>2215</v>
      </c>
      <c r="G356" s="79" t="s">
        <v>2464</v>
      </c>
      <c r="H356" s="79"/>
      <c r="I356" s="79"/>
    </row>
    <row r="357" spans="1:9" ht="15">
      <c r="A357" s="79" t="s">
        <v>2462</v>
      </c>
      <c r="B357" s="79" t="s">
        <v>2463</v>
      </c>
      <c r="C357" s="79">
        <v>590248547</v>
      </c>
      <c r="D357" s="79">
        <v>0</v>
      </c>
      <c r="E357" s="79" t="s">
        <v>1124</v>
      </c>
      <c r="F357" s="79" t="s">
        <v>2215</v>
      </c>
      <c r="G357" s="79" t="s">
        <v>2449</v>
      </c>
      <c r="H357" s="79"/>
      <c r="I357" s="79"/>
    </row>
    <row r="358" spans="1:9" ht="15">
      <c r="A358" s="79" t="s">
        <v>2462</v>
      </c>
      <c r="B358" s="79" t="s">
        <v>2463</v>
      </c>
      <c r="C358" s="79">
        <v>590248547</v>
      </c>
      <c r="D358" s="79">
        <v>0</v>
      </c>
      <c r="E358" s="79" t="s">
        <v>1124</v>
      </c>
      <c r="F358" s="79" t="s">
        <v>2465</v>
      </c>
      <c r="G358" s="79" t="s">
        <v>2466</v>
      </c>
      <c r="H358" s="79"/>
      <c r="I358" s="79"/>
    </row>
    <row r="359" spans="1:9" ht="15">
      <c r="A359" s="79" t="s">
        <v>2462</v>
      </c>
      <c r="B359" s="79" t="s">
        <v>2463</v>
      </c>
      <c r="C359" s="79">
        <v>590248547</v>
      </c>
      <c r="D359" s="79">
        <v>0</v>
      </c>
      <c r="E359" s="79" t="s">
        <v>1124</v>
      </c>
      <c r="F359" s="79" t="s">
        <v>2465</v>
      </c>
      <c r="G359" s="79" t="s">
        <v>2103</v>
      </c>
      <c r="H359" s="79"/>
      <c r="I359" s="79"/>
    </row>
    <row r="360" spans="1:9" ht="15">
      <c r="A360" s="79" t="s">
        <v>2462</v>
      </c>
      <c r="B360" s="79" t="s">
        <v>2463</v>
      </c>
      <c r="C360" s="79">
        <v>590248547</v>
      </c>
      <c r="D360" s="79">
        <v>0</v>
      </c>
      <c r="E360" s="79" t="s">
        <v>1124</v>
      </c>
      <c r="F360" s="79" t="s">
        <v>2465</v>
      </c>
      <c r="G360" s="79" t="s">
        <v>2467</v>
      </c>
      <c r="H360" s="79"/>
      <c r="I360" s="79"/>
    </row>
    <row r="361" spans="1:9" ht="15">
      <c r="A361" s="79" t="s">
        <v>2462</v>
      </c>
      <c r="B361" s="79" t="s">
        <v>2463</v>
      </c>
      <c r="C361" s="79">
        <v>590248547</v>
      </c>
      <c r="D361" s="79">
        <v>0</v>
      </c>
      <c r="E361" s="79" t="s">
        <v>1124</v>
      </c>
      <c r="F361" s="79" t="s">
        <v>2465</v>
      </c>
      <c r="G361" s="79" t="s">
        <v>2295</v>
      </c>
      <c r="H361" s="79"/>
      <c r="I361" s="79"/>
    </row>
    <row r="362" spans="1:9" ht="15">
      <c r="A362" s="79" t="s">
        <v>2468</v>
      </c>
      <c r="B362" s="79" t="s">
        <v>2469</v>
      </c>
      <c r="C362" s="79">
        <v>590248549</v>
      </c>
      <c r="D362" s="79">
        <v>0</v>
      </c>
      <c r="E362" s="79" t="s">
        <v>1124</v>
      </c>
      <c r="F362" s="79" t="s">
        <v>2465</v>
      </c>
      <c r="G362" s="79" t="s">
        <v>2298</v>
      </c>
      <c r="H362" s="79"/>
      <c r="I362" s="79"/>
    </row>
    <row r="363" spans="1:9" ht="15">
      <c r="A363" s="79" t="s">
        <v>2468</v>
      </c>
      <c r="B363" s="79" t="s">
        <v>2469</v>
      </c>
      <c r="C363" s="79">
        <v>590248549</v>
      </c>
      <c r="D363" s="79">
        <v>0</v>
      </c>
      <c r="E363" s="79" t="s">
        <v>1124</v>
      </c>
      <c r="F363" s="79" t="s">
        <v>2465</v>
      </c>
      <c r="G363" s="79" t="s">
        <v>1294</v>
      </c>
      <c r="H363" s="79"/>
      <c r="I363" s="79"/>
    </row>
    <row r="364" spans="1:9" ht="15">
      <c r="A364" s="79" t="s">
        <v>2470</v>
      </c>
      <c r="B364" s="79" t="s">
        <v>2471</v>
      </c>
      <c r="C364" s="79">
        <v>590248647</v>
      </c>
      <c r="D364" s="79">
        <v>0</v>
      </c>
      <c r="E364" s="79" t="s">
        <v>1124</v>
      </c>
      <c r="F364" s="79" t="s">
        <v>2215</v>
      </c>
      <c r="G364" s="79" t="s">
        <v>2472</v>
      </c>
      <c r="H364" s="79"/>
      <c r="I364" s="79"/>
    </row>
    <row r="365" spans="1:9" ht="15">
      <c r="A365" s="79" t="s">
        <v>2470</v>
      </c>
      <c r="B365" s="79" t="s">
        <v>2471</v>
      </c>
      <c r="C365" s="79">
        <v>590248647</v>
      </c>
      <c r="D365" s="79">
        <v>0</v>
      </c>
      <c r="E365" s="79" t="s">
        <v>1124</v>
      </c>
      <c r="F365" s="79" t="s">
        <v>2215</v>
      </c>
      <c r="G365" s="79" t="s">
        <v>2449</v>
      </c>
      <c r="H365" s="79"/>
      <c r="I365" s="79"/>
    </row>
    <row r="366" spans="1:9" ht="15">
      <c r="A366" s="79" t="s">
        <v>2470</v>
      </c>
      <c r="B366" s="79" t="s">
        <v>2471</v>
      </c>
      <c r="C366" s="79">
        <v>590248647</v>
      </c>
      <c r="D366" s="79">
        <v>0</v>
      </c>
      <c r="E366" s="79" t="s">
        <v>1124</v>
      </c>
      <c r="F366" s="79" t="s">
        <v>2473</v>
      </c>
      <c r="G366" s="79" t="s">
        <v>2474</v>
      </c>
      <c r="H366" s="79"/>
      <c r="I366" s="79"/>
    </row>
    <row r="367" spans="1:9" ht="15">
      <c r="A367" s="79" t="s">
        <v>2470</v>
      </c>
      <c r="B367" s="79" t="s">
        <v>2471</v>
      </c>
      <c r="C367" s="79">
        <v>590248647</v>
      </c>
      <c r="D367" s="79">
        <v>0</v>
      </c>
      <c r="E367" s="79" t="s">
        <v>1124</v>
      </c>
      <c r="F367" s="79" t="s">
        <v>2473</v>
      </c>
      <c r="G367" s="79" t="s">
        <v>2103</v>
      </c>
      <c r="H367" s="79"/>
      <c r="I367" s="79"/>
    </row>
    <row r="368" spans="1:9" ht="15">
      <c r="A368" s="79" t="s">
        <v>2470</v>
      </c>
      <c r="B368" s="79" t="s">
        <v>2471</v>
      </c>
      <c r="C368" s="79">
        <v>590248647</v>
      </c>
      <c r="D368" s="79">
        <v>0</v>
      </c>
      <c r="E368" s="79" t="s">
        <v>1124</v>
      </c>
      <c r="F368" s="79" t="s">
        <v>2473</v>
      </c>
      <c r="G368" s="79" t="s">
        <v>2475</v>
      </c>
      <c r="H368" s="79"/>
      <c r="I368" s="79"/>
    </row>
    <row r="369" spans="1:9" ht="15">
      <c r="A369" s="79" t="s">
        <v>2470</v>
      </c>
      <c r="B369" s="79" t="s">
        <v>2471</v>
      </c>
      <c r="C369" s="79">
        <v>590248647</v>
      </c>
      <c r="D369" s="79">
        <v>0</v>
      </c>
      <c r="E369" s="79" t="s">
        <v>1124</v>
      </c>
      <c r="F369" s="79" t="s">
        <v>2473</v>
      </c>
      <c r="G369" s="79" t="s">
        <v>2295</v>
      </c>
      <c r="H369" s="79"/>
      <c r="I369" s="79"/>
    </row>
    <row r="370" spans="1:9" ht="15">
      <c r="A370" s="79" t="s">
        <v>2476</v>
      </c>
      <c r="B370" s="79" t="s">
        <v>2477</v>
      </c>
      <c r="C370" s="79">
        <v>590248649</v>
      </c>
      <c r="D370" s="79">
        <v>0</v>
      </c>
      <c r="E370" s="79" t="s">
        <v>1124</v>
      </c>
      <c r="F370" s="79" t="s">
        <v>2473</v>
      </c>
      <c r="G370" s="79" t="s">
        <v>2298</v>
      </c>
      <c r="H370" s="79"/>
      <c r="I370" s="79"/>
    </row>
    <row r="371" spans="1:9" ht="15">
      <c r="A371" s="79" t="s">
        <v>2476</v>
      </c>
      <c r="B371" s="79" t="s">
        <v>2477</v>
      </c>
      <c r="C371" s="79">
        <v>590248649</v>
      </c>
      <c r="D371" s="79">
        <v>0</v>
      </c>
      <c r="E371" s="79" t="s">
        <v>1124</v>
      </c>
      <c r="F371" s="79" t="s">
        <v>2473</v>
      </c>
      <c r="G371" s="79" t="s">
        <v>1294</v>
      </c>
      <c r="H371" s="79"/>
      <c r="I371" s="79"/>
    </row>
    <row r="372" spans="1:9" ht="15">
      <c r="A372" s="79" t="s">
        <v>2478</v>
      </c>
      <c r="B372" s="79" t="s">
        <v>2479</v>
      </c>
      <c r="C372" s="79">
        <v>590248747</v>
      </c>
      <c r="D372" s="79">
        <v>0</v>
      </c>
      <c r="E372" s="79" t="s">
        <v>1124</v>
      </c>
      <c r="F372" s="79" t="s">
        <v>2215</v>
      </c>
      <c r="G372" s="79" t="s">
        <v>2480</v>
      </c>
      <c r="H372" s="79"/>
      <c r="I372" s="79"/>
    </row>
    <row r="373" spans="1:9" ht="15">
      <c r="A373" s="79" t="s">
        <v>2478</v>
      </c>
      <c r="B373" s="79" t="s">
        <v>2479</v>
      </c>
      <c r="C373" s="79">
        <v>590248747</v>
      </c>
      <c r="D373" s="79">
        <v>0</v>
      </c>
      <c r="E373" s="79" t="s">
        <v>1124</v>
      </c>
      <c r="F373" s="79" t="s">
        <v>2215</v>
      </c>
      <c r="G373" s="79" t="s">
        <v>2449</v>
      </c>
      <c r="H373" s="79"/>
      <c r="I373" s="79"/>
    </row>
    <row r="374" spans="1:9" ht="15">
      <c r="A374" s="79" t="s">
        <v>2478</v>
      </c>
      <c r="B374" s="79" t="s">
        <v>2479</v>
      </c>
      <c r="C374" s="79">
        <v>590248747</v>
      </c>
      <c r="D374" s="79">
        <v>0</v>
      </c>
      <c r="E374" s="79" t="s">
        <v>1124</v>
      </c>
      <c r="F374" s="79" t="s">
        <v>2481</v>
      </c>
      <c r="G374" s="79" t="s">
        <v>2482</v>
      </c>
      <c r="H374" s="79"/>
      <c r="I374" s="79"/>
    </row>
    <row r="375" spans="1:9" ht="15">
      <c r="A375" s="79" t="s">
        <v>2478</v>
      </c>
      <c r="B375" s="79" t="s">
        <v>2479</v>
      </c>
      <c r="C375" s="79">
        <v>590248747</v>
      </c>
      <c r="D375" s="79">
        <v>0</v>
      </c>
      <c r="E375" s="79" t="s">
        <v>1124</v>
      </c>
      <c r="F375" s="79" t="s">
        <v>2481</v>
      </c>
      <c r="G375" s="79" t="s">
        <v>2103</v>
      </c>
      <c r="H375" s="79"/>
      <c r="I375" s="79"/>
    </row>
    <row r="376" spans="1:9" ht="15">
      <c r="A376" s="79" t="s">
        <v>2478</v>
      </c>
      <c r="B376" s="79" t="s">
        <v>2479</v>
      </c>
      <c r="C376" s="79">
        <v>590248747</v>
      </c>
      <c r="D376" s="79">
        <v>0</v>
      </c>
      <c r="E376" s="79" t="s">
        <v>1124</v>
      </c>
      <c r="F376" s="79" t="s">
        <v>2481</v>
      </c>
      <c r="G376" s="79" t="s">
        <v>2120</v>
      </c>
      <c r="H376" s="79"/>
      <c r="I376" s="79"/>
    </row>
    <row r="377" spans="1:9" ht="15">
      <c r="A377" s="79" t="s">
        <v>2478</v>
      </c>
      <c r="B377" s="79" t="s">
        <v>2479</v>
      </c>
      <c r="C377" s="79">
        <v>590248747</v>
      </c>
      <c r="D377" s="79">
        <v>0</v>
      </c>
      <c r="E377" s="79" t="s">
        <v>1124</v>
      </c>
      <c r="F377" s="79" t="s">
        <v>2481</v>
      </c>
      <c r="G377" s="79" t="s">
        <v>2295</v>
      </c>
      <c r="H377" s="79"/>
      <c r="I377" s="79"/>
    </row>
    <row r="378" spans="1:9" ht="15">
      <c r="A378" s="79" t="s">
        <v>2483</v>
      </c>
      <c r="B378" s="79" t="s">
        <v>2484</v>
      </c>
      <c r="C378" s="79">
        <v>590248749</v>
      </c>
      <c r="D378" s="79">
        <v>0</v>
      </c>
      <c r="E378" s="79" t="s">
        <v>1124</v>
      </c>
      <c r="F378" s="79" t="s">
        <v>2481</v>
      </c>
      <c r="G378" s="79" t="s">
        <v>2298</v>
      </c>
      <c r="H378" s="79"/>
      <c r="I378" s="79"/>
    </row>
    <row r="379" spans="1:9" ht="15">
      <c r="A379" s="79" t="s">
        <v>2483</v>
      </c>
      <c r="B379" s="79" t="s">
        <v>2484</v>
      </c>
      <c r="C379" s="79">
        <v>590248749</v>
      </c>
      <c r="D379" s="79">
        <v>0</v>
      </c>
      <c r="E379" s="79" t="s">
        <v>1124</v>
      </c>
      <c r="F379" s="79" t="s">
        <v>2481</v>
      </c>
      <c r="G379" s="79" t="s">
        <v>1294</v>
      </c>
      <c r="H379" s="79"/>
      <c r="I379" s="79"/>
    </row>
    <row r="380" spans="1:9" ht="15">
      <c r="A380" s="79" t="s">
        <v>2485</v>
      </c>
      <c r="B380" s="79" t="s">
        <v>2486</v>
      </c>
      <c r="C380" s="79">
        <v>590248847</v>
      </c>
      <c r="D380" s="79">
        <v>0</v>
      </c>
      <c r="E380" s="79" t="s">
        <v>1124</v>
      </c>
      <c r="F380" s="79" t="s">
        <v>2215</v>
      </c>
      <c r="G380" s="79" t="s">
        <v>2487</v>
      </c>
      <c r="H380" s="79"/>
      <c r="I380" s="79"/>
    </row>
    <row r="381" spans="1:9" ht="15">
      <c r="A381" s="79" t="s">
        <v>2485</v>
      </c>
      <c r="B381" s="79" t="s">
        <v>2486</v>
      </c>
      <c r="C381" s="79">
        <v>590248847</v>
      </c>
      <c r="D381" s="79">
        <v>0</v>
      </c>
      <c r="E381" s="79" t="s">
        <v>1124</v>
      </c>
      <c r="F381" s="79" t="s">
        <v>2215</v>
      </c>
      <c r="G381" s="79" t="s">
        <v>2449</v>
      </c>
      <c r="H381" s="79"/>
      <c r="I381" s="79"/>
    </row>
    <row r="382" spans="1:9" ht="15">
      <c r="A382" s="79" t="s">
        <v>2485</v>
      </c>
      <c r="B382" s="79" t="s">
        <v>2486</v>
      </c>
      <c r="C382" s="79">
        <v>590248847</v>
      </c>
      <c r="D382" s="79">
        <v>0</v>
      </c>
      <c r="E382" s="79" t="s">
        <v>1124</v>
      </c>
      <c r="F382" s="79" t="s">
        <v>2488</v>
      </c>
      <c r="G382" s="79" t="s">
        <v>2489</v>
      </c>
      <c r="H382" s="79"/>
      <c r="I382" s="79"/>
    </row>
    <row r="383" spans="1:9" ht="15">
      <c r="A383" s="79" t="s">
        <v>2485</v>
      </c>
      <c r="B383" s="79" t="s">
        <v>2486</v>
      </c>
      <c r="C383" s="79">
        <v>590248847</v>
      </c>
      <c r="D383" s="79">
        <v>0</v>
      </c>
      <c r="E383" s="79" t="s">
        <v>1124</v>
      </c>
      <c r="F383" s="79" t="s">
        <v>2488</v>
      </c>
      <c r="G383" s="79" t="s">
        <v>2103</v>
      </c>
      <c r="H383" s="79"/>
      <c r="I383" s="79"/>
    </row>
    <row r="384" spans="1:9" ht="15">
      <c r="A384" s="79" t="s">
        <v>2485</v>
      </c>
      <c r="B384" s="79" t="s">
        <v>2486</v>
      </c>
      <c r="C384" s="79">
        <v>590248847</v>
      </c>
      <c r="D384" s="79">
        <v>0</v>
      </c>
      <c r="E384" s="79" t="s">
        <v>1124</v>
      </c>
      <c r="F384" s="79" t="s">
        <v>2488</v>
      </c>
      <c r="G384" s="79" t="s">
        <v>2490</v>
      </c>
      <c r="H384" s="79"/>
      <c r="I384" s="79"/>
    </row>
    <row r="385" spans="1:9" ht="15">
      <c r="A385" s="79" t="s">
        <v>2485</v>
      </c>
      <c r="B385" s="79" t="s">
        <v>2486</v>
      </c>
      <c r="C385" s="79">
        <v>590248847</v>
      </c>
      <c r="D385" s="79">
        <v>0</v>
      </c>
      <c r="E385" s="79" t="s">
        <v>1124</v>
      </c>
      <c r="F385" s="79" t="s">
        <v>2488</v>
      </c>
      <c r="G385" s="79" t="s">
        <v>2295</v>
      </c>
      <c r="H385" s="79"/>
      <c r="I385" s="79"/>
    </row>
    <row r="386" spans="1:9" ht="15">
      <c r="A386" s="79" t="s">
        <v>2491</v>
      </c>
      <c r="B386" s="79" t="s">
        <v>2492</v>
      </c>
      <c r="C386" s="79">
        <v>590248849</v>
      </c>
      <c r="D386" s="79">
        <v>0</v>
      </c>
      <c r="E386" s="79" t="s">
        <v>1124</v>
      </c>
      <c r="F386" s="79" t="s">
        <v>2488</v>
      </c>
      <c r="G386" s="79" t="s">
        <v>2298</v>
      </c>
      <c r="H386" s="79"/>
      <c r="I386" s="79"/>
    </row>
    <row r="387" spans="1:9" ht="15">
      <c r="A387" s="79" t="s">
        <v>2491</v>
      </c>
      <c r="B387" s="79" t="s">
        <v>2492</v>
      </c>
      <c r="C387" s="79">
        <v>590248849</v>
      </c>
      <c r="D387" s="79">
        <v>0</v>
      </c>
      <c r="E387" s="79" t="s">
        <v>1124</v>
      </c>
      <c r="F387" s="79" t="s">
        <v>2488</v>
      </c>
      <c r="G387" s="79" t="s">
        <v>1294</v>
      </c>
      <c r="H387" s="79"/>
      <c r="I387" s="79"/>
    </row>
    <row r="388" spans="1:9" ht="15">
      <c r="A388" s="79" t="s">
        <v>2493</v>
      </c>
      <c r="B388" s="79" t="s">
        <v>2494</v>
      </c>
      <c r="C388" s="79">
        <v>590248947</v>
      </c>
      <c r="D388" s="79">
        <v>0</v>
      </c>
      <c r="E388" s="79" t="s">
        <v>1124</v>
      </c>
      <c r="F388" s="79" t="s">
        <v>2215</v>
      </c>
      <c r="G388" s="79" t="s">
        <v>2495</v>
      </c>
      <c r="H388" s="79"/>
      <c r="I388" s="79"/>
    </row>
    <row r="389" spans="1:9" ht="15">
      <c r="A389" s="79" t="s">
        <v>2493</v>
      </c>
      <c r="B389" s="79" t="s">
        <v>2494</v>
      </c>
      <c r="C389" s="79">
        <v>590248947</v>
      </c>
      <c r="D389" s="79">
        <v>0</v>
      </c>
      <c r="E389" s="79" t="s">
        <v>1124</v>
      </c>
      <c r="F389" s="79" t="s">
        <v>2215</v>
      </c>
      <c r="G389" s="79" t="s">
        <v>2449</v>
      </c>
      <c r="H389" s="79"/>
      <c r="I389" s="79"/>
    </row>
    <row r="390" spans="1:9" ht="15">
      <c r="A390" s="79" t="s">
        <v>2493</v>
      </c>
      <c r="B390" s="79" t="s">
        <v>2494</v>
      </c>
      <c r="C390" s="79">
        <v>590248947</v>
      </c>
      <c r="D390" s="79">
        <v>0</v>
      </c>
      <c r="E390" s="79" t="s">
        <v>1124</v>
      </c>
      <c r="F390" s="79" t="s">
        <v>2496</v>
      </c>
      <c r="G390" s="79" t="s">
        <v>2497</v>
      </c>
      <c r="H390" s="79"/>
      <c r="I390" s="79"/>
    </row>
    <row r="391" spans="1:9" ht="15">
      <c r="A391" s="79" t="s">
        <v>2493</v>
      </c>
      <c r="B391" s="79" t="s">
        <v>2494</v>
      </c>
      <c r="C391" s="79">
        <v>590248947</v>
      </c>
      <c r="D391" s="79">
        <v>0</v>
      </c>
      <c r="E391" s="79" t="s">
        <v>1124</v>
      </c>
      <c r="F391" s="79" t="s">
        <v>2496</v>
      </c>
      <c r="G391" s="79" t="s">
        <v>2103</v>
      </c>
      <c r="H391" s="79"/>
      <c r="I391" s="79"/>
    </row>
    <row r="392" spans="1:9" ht="15">
      <c r="A392" s="79" t="s">
        <v>2493</v>
      </c>
      <c r="B392" s="79" t="s">
        <v>2494</v>
      </c>
      <c r="C392" s="79">
        <v>590248947</v>
      </c>
      <c r="D392" s="79">
        <v>0</v>
      </c>
      <c r="E392" s="79" t="s">
        <v>1124</v>
      </c>
      <c r="F392" s="79" t="s">
        <v>2496</v>
      </c>
      <c r="G392" s="79" t="s">
        <v>2498</v>
      </c>
      <c r="H392" s="79"/>
      <c r="I392" s="79"/>
    </row>
    <row r="393" spans="1:9" ht="15">
      <c r="A393" s="79" t="s">
        <v>2493</v>
      </c>
      <c r="B393" s="79" t="s">
        <v>2494</v>
      </c>
      <c r="C393" s="79">
        <v>590248947</v>
      </c>
      <c r="D393" s="79">
        <v>0</v>
      </c>
      <c r="E393" s="79" t="s">
        <v>1124</v>
      </c>
      <c r="F393" s="79" t="s">
        <v>2496</v>
      </c>
      <c r="G393" s="79" t="s">
        <v>2295</v>
      </c>
      <c r="H393" s="79"/>
      <c r="I393" s="79"/>
    </row>
    <row r="394" spans="1:9" ht="15">
      <c r="A394" s="79" t="s">
        <v>2499</v>
      </c>
      <c r="B394" s="79" t="s">
        <v>2500</v>
      </c>
      <c r="C394" s="79">
        <v>590248949</v>
      </c>
      <c r="D394" s="79">
        <v>0</v>
      </c>
      <c r="E394" s="79" t="s">
        <v>1124</v>
      </c>
      <c r="F394" s="79" t="s">
        <v>2496</v>
      </c>
      <c r="G394" s="79" t="s">
        <v>2298</v>
      </c>
      <c r="H394" s="79"/>
      <c r="I394" s="79"/>
    </row>
    <row r="395" spans="1:9" ht="15">
      <c r="A395" s="79" t="s">
        <v>2499</v>
      </c>
      <c r="B395" s="79" t="s">
        <v>2500</v>
      </c>
      <c r="C395" s="79">
        <v>590248949</v>
      </c>
      <c r="D395" s="79">
        <v>0</v>
      </c>
      <c r="E395" s="79" t="s">
        <v>1124</v>
      </c>
      <c r="F395" s="79" t="s">
        <v>2496</v>
      </c>
      <c r="G395" s="79" t="s">
        <v>1294</v>
      </c>
      <c r="H395" s="79"/>
      <c r="I395" s="79"/>
    </row>
    <row r="396" spans="1:9" ht="15">
      <c r="A396" s="79" t="s">
        <v>2501</v>
      </c>
      <c r="B396" s="79" t="s">
        <v>2502</v>
      </c>
      <c r="C396" s="79">
        <v>590249047</v>
      </c>
      <c r="D396" s="79">
        <v>0</v>
      </c>
      <c r="E396" s="79" t="s">
        <v>1124</v>
      </c>
      <c r="F396" s="79" t="s">
        <v>2215</v>
      </c>
      <c r="G396" s="79" t="s">
        <v>2503</v>
      </c>
      <c r="H396" s="79"/>
      <c r="I396" s="79"/>
    </row>
    <row r="397" spans="1:9" ht="15">
      <c r="A397" s="79" t="s">
        <v>2501</v>
      </c>
      <c r="B397" s="79" t="s">
        <v>2502</v>
      </c>
      <c r="C397" s="79">
        <v>590249047</v>
      </c>
      <c r="D397" s="79">
        <v>0</v>
      </c>
      <c r="E397" s="79" t="s">
        <v>1124</v>
      </c>
      <c r="F397" s="79" t="s">
        <v>2215</v>
      </c>
      <c r="G397" s="79" t="s">
        <v>2449</v>
      </c>
      <c r="H397" s="79"/>
      <c r="I397" s="79"/>
    </row>
    <row r="398" spans="1:9" ht="15">
      <c r="A398" s="79" t="s">
        <v>2501</v>
      </c>
      <c r="B398" s="79" t="s">
        <v>2502</v>
      </c>
      <c r="C398" s="79">
        <v>590249047</v>
      </c>
      <c r="D398" s="79">
        <v>0</v>
      </c>
      <c r="E398" s="79" t="s">
        <v>1124</v>
      </c>
      <c r="F398" s="79" t="s">
        <v>2504</v>
      </c>
      <c r="G398" s="79" t="s">
        <v>2505</v>
      </c>
      <c r="H398" s="79"/>
      <c r="I398" s="79"/>
    </row>
    <row r="399" spans="1:9" ht="15">
      <c r="A399" s="79" t="s">
        <v>2501</v>
      </c>
      <c r="B399" s="79" t="s">
        <v>2502</v>
      </c>
      <c r="C399" s="79">
        <v>590249047</v>
      </c>
      <c r="D399" s="79">
        <v>0</v>
      </c>
      <c r="E399" s="79" t="s">
        <v>1124</v>
      </c>
      <c r="F399" s="79" t="s">
        <v>2504</v>
      </c>
      <c r="G399" s="79" t="s">
        <v>2103</v>
      </c>
      <c r="H399" s="79"/>
      <c r="I399" s="79"/>
    </row>
    <row r="400" spans="1:9" ht="15">
      <c r="A400" s="79" t="s">
        <v>2501</v>
      </c>
      <c r="B400" s="79" t="s">
        <v>2502</v>
      </c>
      <c r="C400" s="79">
        <v>590249047</v>
      </c>
      <c r="D400" s="79">
        <v>0</v>
      </c>
      <c r="E400" s="79" t="s">
        <v>1124</v>
      </c>
      <c r="F400" s="79" t="s">
        <v>2504</v>
      </c>
      <c r="G400" s="79" t="s">
        <v>2116</v>
      </c>
      <c r="H400" s="79"/>
      <c r="I400" s="79"/>
    </row>
    <row r="401" spans="1:9" ht="15">
      <c r="A401" s="79" t="s">
        <v>2501</v>
      </c>
      <c r="B401" s="79" t="s">
        <v>2502</v>
      </c>
      <c r="C401" s="79">
        <v>590249047</v>
      </c>
      <c r="D401" s="79">
        <v>0</v>
      </c>
      <c r="E401" s="79" t="s">
        <v>1124</v>
      </c>
      <c r="F401" s="79" t="s">
        <v>2504</v>
      </c>
      <c r="G401" s="79" t="s">
        <v>2295</v>
      </c>
      <c r="H401" s="79"/>
      <c r="I401" s="79"/>
    </row>
    <row r="402" spans="1:9" ht="15">
      <c r="A402" s="79" t="s">
        <v>2506</v>
      </c>
      <c r="B402" s="79" t="s">
        <v>2507</v>
      </c>
      <c r="C402" s="79">
        <v>590249049</v>
      </c>
      <c r="D402" s="79">
        <v>0</v>
      </c>
      <c r="E402" s="79" t="s">
        <v>1124</v>
      </c>
      <c r="F402" s="79" t="s">
        <v>2504</v>
      </c>
      <c r="G402" s="79" t="s">
        <v>2298</v>
      </c>
      <c r="H402" s="79"/>
      <c r="I402" s="79"/>
    </row>
    <row r="403" spans="1:9" ht="15">
      <c r="A403" s="79" t="s">
        <v>2506</v>
      </c>
      <c r="B403" s="79" t="s">
        <v>2507</v>
      </c>
      <c r="C403" s="79">
        <v>590249049</v>
      </c>
      <c r="D403" s="79">
        <v>0</v>
      </c>
      <c r="E403" s="79" t="s">
        <v>1124</v>
      </c>
      <c r="F403" s="79" t="s">
        <v>2504</v>
      </c>
      <c r="G403" s="79" t="s">
        <v>1294</v>
      </c>
      <c r="H403" s="79"/>
      <c r="I403" s="79"/>
    </row>
    <row r="404" spans="1:9" ht="15">
      <c r="A404" s="79" t="s">
        <v>2508</v>
      </c>
      <c r="B404" s="79" t="s">
        <v>2509</v>
      </c>
      <c r="C404" s="79">
        <v>590249147</v>
      </c>
      <c r="D404" s="79">
        <v>0</v>
      </c>
      <c r="E404" s="79" t="s">
        <v>1124</v>
      </c>
      <c r="F404" s="79" t="s">
        <v>2215</v>
      </c>
      <c r="G404" s="79" t="s">
        <v>2510</v>
      </c>
      <c r="H404" s="79"/>
      <c r="I404" s="79"/>
    </row>
    <row r="405" spans="1:9" ht="15">
      <c r="A405" s="79" t="s">
        <v>2508</v>
      </c>
      <c r="B405" s="79" t="s">
        <v>2509</v>
      </c>
      <c r="C405" s="79">
        <v>590249147</v>
      </c>
      <c r="D405" s="79">
        <v>0</v>
      </c>
      <c r="E405" s="79" t="s">
        <v>1124</v>
      </c>
      <c r="F405" s="79" t="s">
        <v>2215</v>
      </c>
      <c r="G405" s="79" t="s">
        <v>2449</v>
      </c>
      <c r="H405" s="79"/>
      <c r="I405" s="79"/>
    </row>
    <row r="406" spans="1:9" ht="15">
      <c r="A406" s="79" t="s">
        <v>2508</v>
      </c>
      <c r="B406" s="79" t="s">
        <v>2509</v>
      </c>
      <c r="C406" s="79">
        <v>590249147</v>
      </c>
      <c r="D406" s="79">
        <v>0</v>
      </c>
      <c r="E406" s="79" t="s">
        <v>1124</v>
      </c>
      <c r="F406" s="79" t="s">
        <v>2511</v>
      </c>
      <c r="G406" s="79" t="s">
        <v>2512</v>
      </c>
      <c r="H406" s="79"/>
      <c r="I406" s="79"/>
    </row>
    <row r="407" spans="1:9" ht="15">
      <c r="A407" s="79" t="s">
        <v>2508</v>
      </c>
      <c r="B407" s="79" t="s">
        <v>2509</v>
      </c>
      <c r="C407" s="79">
        <v>590249147</v>
      </c>
      <c r="D407" s="79">
        <v>0</v>
      </c>
      <c r="E407" s="79" t="s">
        <v>1124</v>
      </c>
      <c r="F407" s="79" t="s">
        <v>2511</v>
      </c>
      <c r="G407" s="79" t="s">
        <v>2103</v>
      </c>
      <c r="H407" s="79"/>
      <c r="I407" s="79"/>
    </row>
    <row r="408" spans="1:9" ht="15">
      <c r="A408" s="79" t="s">
        <v>2508</v>
      </c>
      <c r="B408" s="79" t="s">
        <v>2509</v>
      </c>
      <c r="C408" s="79">
        <v>590249147</v>
      </c>
      <c r="D408" s="79">
        <v>0</v>
      </c>
      <c r="E408" s="79" t="s">
        <v>1124</v>
      </c>
      <c r="F408" s="79" t="s">
        <v>2511</v>
      </c>
      <c r="G408" s="79" t="s">
        <v>2513</v>
      </c>
      <c r="H408" s="79"/>
      <c r="I408" s="79"/>
    </row>
    <row r="409" spans="1:9" ht="15">
      <c r="A409" s="79" t="s">
        <v>2508</v>
      </c>
      <c r="B409" s="79" t="s">
        <v>2509</v>
      </c>
      <c r="C409" s="79">
        <v>590249147</v>
      </c>
      <c r="D409" s="79">
        <v>0</v>
      </c>
      <c r="E409" s="79" t="s">
        <v>1124</v>
      </c>
      <c r="F409" s="79" t="s">
        <v>2511</v>
      </c>
      <c r="G409" s="79" t="s">
        <v>2295</v>
      </c>
      <c r="H409" s="79"/>
      <c r="I409" s="79"/>
    </row>
    <row r="410" spans="1:9" ht="15">
      <c r="A410" s="79" t="s">
        <v>2514</v>
      </c>
      <c r="B410" s="79" t="s">
        <v>2515</v>
      </c>
      <c r="C410" s="79">
        <v>590249149</v>
      </c>
      <c r="D410" s="79">
        <v>0</v>
      </c>
      <c r="E410" s="79" t="s">
        <v>1124</v>
      </c>
      <c r="F410" s="79" t="s">
        <v>2511</v>
      </c>
      <c r="G410" s="79" t="s">
        <v>2298</v>
      </c>
      <c r="H410" s="79"/>
      <c r="I410" s="79"/>
    </row>
    <row r="411" spans="1:9" ht="15">
      <c r="A411" s="79" t="s">
        <v>2514</v>
      </c>
      <c r="B411" s="79" t="s">
        <v>2515</v>
      </c>
      <c r="C411" s="79">
        <v>590249149</v>
      </c>
      <c r="D411" s="79">
        <v>0</v>
      </c>
      <c r="E411" s="79" t="s">
        <v>1124</v>
      </c>
      <c r="F411" s="79" t="s">
        <v>2511</v>
      </c>
      <c r="G411" s="79" t="s">
        <v>1294</v>
      </c>
      <c r="H411" s="79"/>
      <c r="I411" s="79"/>
    </row>
    <row r="412" spans="1:9" ht="15">
      <c r="A412" s="79" t="s">
        <v>2516</v>
      </c>
      <c r="B412" s="79" t="s">
        <v>2517</v>
      </c>
      <c r="C412" s="79">
        <v>590249247</v>
      </c>
      <c r="D412" s="79">
        <v>0</v>
      </c>
      <c r="E412" s="79" t="s">
        <v>1124</v>
      </c>
      <c r="F412" s="79" t="s">
        <v>2215</v>
      </c>
      <c r="G412" s="79" t="s">
        <v>2518</v>
      </c>
      <c r="H412" s="79"/>
      <c r="I412" s="79"/>
    </row>
    <row r="413" spans="1:9" ht="15">
      <c r="A413" s="79" t="s">
        <v>2516</v>
      </c>
      <c r="B413" s="79" t="s">
        <v>2517</v>
      </c>
      <c r="C413" s="79">
        <v>590249247</v>
      </c>
      <c r="D413" s="79">
        <v>0</v>
      </c>
      <c r="E413" s="79" t="s">
        <v>1124</v>
      </c>
      <c r="F413" s="79" t="s">
        <v>2215</v>
      </c>
      <c r="G413" s="79" t="s">
        <v>2104</v>
      </c>
      <c r="H413" s="79"/>
      <c r="I413" s="79"/>
    </row>
    <row r="414" spans="1:9" ht="15">
      <c r="A414" s="79" t="s">
        <v>2519</v>
      </c>
      <c r="B414" s="79" t="s">
        <v>2520</v>
      </c>
      <c r="C414" s="79">
        <v>590249248</v>
      </c>
      <c r="D414" s="79">
        <v>0</v>
      </c>
      <c r="E414" s="79" t="s">
        <v>1124</v>
      </c>
      <c r="F414" s="79" t="s">
        <v>2215</v>
      </c>
      <c r="G414" s="79" t="s">
        <v>1160</v>
      </c>
      <c r="H414" s="79"/>
      <c r="I414" s="79"/>
    </row>
    <row r="415" spans="1:9" ht="15">
      <c r="A415" s="79" t="s">
        <v>2519</v>
      </c>
      <c r="B415" s="79" t="s">
        <v>2520</v>
      </c>
      <c r="C415" s="79">
        <v>590249248</v>
      </c>
      <c r="D415" s="79">
        <v>0</v>
      </c>
      <c r="E415" s="79" t="s">
        <v>1124</v>
      </c>
      <c r="F415" s="79" t="s">
        <v>2215</v>
      </c>
      <c r="G415" s="79" t="s">
        <v>2104</v>
      </c>
      <c r="H415" s="79"/>
      <c r="I415" s="79"/>
    </row>
    <row r="416" spans="1:9" ht="15">
      <c r="A416" s="79" t="s">
        <v>2521</v>
      </c>
      <c r="B416" s="79" t="s">
        <v>2522</v>
      </c>
      <c r="C416" s="79">
        <v>590249249</v>
      </c>
      <c r="D416" s="79">
        <v>0</v>
      </c>
      <c r="E416" s="79" t="s">
        <v>1124</v>
      </c>
      <c r="F416" s="79" t="s">
        <v>2215</v>
      </c>
      <c r="G416" s="79" t="s">
        <v>2523</v>
      </c>
      <c r="H416" s="79"/>
      <c r="I416" s="79"/>
    </row>
    <row r="417" spans="1:9" ht="15">
      <c r="A417" s="79" t="s">
        <v>2521</v>
      </c>
      <c r="B417" s="79" t="s">
        <v>2522</v>
      </c>
      <c r="C417" s="79">
        <v>590249249</v>
      </c>
      <c r="D417" s="79">
        <v>0</v>
      </c>
      <c r="E417" s="79" t="s">
        <v>1124</v>
      </c>
      <c r="F417" s="79" t="s">
        <v>2215</v>
      </c>
      <c r="G417" s="79" t="s">
        <v>2104</v>
      </c>
      <c r="H417" s="79"/>
      <c r="I417" s="79"/>
    </row>
    <row r="418" spans="1:9" ht="15">
      <c r="A418" s="79" t="s">
        <v>2524</v>
      </c>
      <c r="B418" s="79" t="s">
        <v>2525</v>
      </c>
      <c r="C418" s="79">
        <v>590249250</v>
      </c>
      <c r="D418" s="79">
        <v>0</v>
      </c>
      <c r="E418" s="79" t="s">
        <v>1124</v>
      </c>
      <c r="F418" s="79" t="s">
        <v>2215</v>
      </c>
      <c r="G418" s="79" t="s">
        <v>2526</v>
      </c>
      <c r="H418" s="79"/>
      <c r="I418" s="79"/>
    </row>
    <row r="419" spans="1:9" ht="15">
      <c r="A419" s="79" t="s">
        <v>2524</v>
      </c>
      <c r="B419" s="79" t="s">
        <v>2525</v>
      </c>
      <c r="C419" s="79">
        <v>590249250</v>
      </c>
      <c r="D419" s="79">
        <v>0</v>
      </c>
      <c r="E419" s="79" t="s">
        <v>1124</v>
      </c>
      <c r="F419" s="79" t="s">
        <v>2215</v>
      </c>
      <c r="G419" s="79" t="s">
        <v>1294</v>
      </c>
      <c r="H419" s="79"/>
      <c r="I419" s="79"/>
    </row>
    <row r="420" spans="1:9" ht="15">
      <c r="A420" s="81" t="s">
        <v>2527</v>
      </c>
      <c r="B420" s="81" t="s">
        <v>2528</v>
      </c>
      <c r="C420" s="81">
        <v>590249566</v>
      </c>
      <c r="D420" s="81">
        <v>0</v>
      </c>
      <c r="E420" s="81" t="s">
        <v>1124</v>
      </c>
      <c r="F420" s="81" t="s">
        <v>2529</v>
      </c>
      <c r="G420" s="81" t="s">
        <v>1444</v>
      </c>
      <c r="H420" s="81"/>
      <c r="I420" s="81" t="s">
        <v>2198</v>
      </c>
    </row>
    <row r="421" spans="1:9" ht="15">
      <c r="A421" s="81" t="s">
        <v>2530</v>
      </c>
      <c r="B421" s="81" t="s">
        <v>2531</v>
      </c>
      <c r="C421" s="81">
        <v>590249569</v>
      </c>
      <c r="D421" s="81">
        <v>0</v>
      </c>
      <c r="E421" s="81" t="s">
        <v>1124</v>
      </c>
      <c r="F421" s="81" t="s">
        <v>2529</v>
      </c>
      <c r="G421" s="81" t="s">
        <v>1447</v>
      </c>
      <c r="H421" s="81"/>
      <c r="I421" s="81" t="s">
        <v>2198</v>
      </c>
    </row>
    <row r="422" spans="1:9" ht="15">
      <c r="A422" s="81" t="s">
        <v>2532</v>
      </c>
      <c r="B422" s="81" t="s">
        <v>2533</v>
      </c>
      <c r="C422" s="81">
        <v>590249572</v>
      </c>
      <c r="D422" s="81">
        <v>0</v>
      </c>
      <c r="E422" s="81" t="s">
        <v>1124</v>
      </c>
      <c r="F422" s="81" t="s">
        <v>2529</v>
      </c>
      <c r="G422" s="81" t="s">
        <v>1160</v>
      </c>
      <c r="H422" s="81"/>
      <c r="I422" s="81" t="s">
        <v>2198</v>
      </c>
    </row>
    <row r="423" spans="1:9" ht="15">
      <c r="A423" s="81" t="s">
        <v>2534</v>
      </c>
      <c r="B423" s="81" t="s">
        <v>2535</v>
      </c>
      <c r="C423" s="81">
        <v>590249575</v>
      </c>
      <c r="D423" s="81">
        <v>0</v>
      </c>
      <c r="E423" s="81" t="s">
        <v>1124</v>
      </c>
      <c r="F423" s="81" t="s">
        <v>2529</v>
      </c>
      <c r="G423" s="81" t="s">
        <v>1164</v>
      </c>
      <c r="H423" s="81"/>
      <c r="I423" s="81" t="s">
        <v>2198</v>
      </c>
    </row>
    <row r="424" spans="1:9" ht="15">
      <c r="A424" s="81" t="s">
        <v>2536</v>
      </c>
      <c r="B424" s="81" t="s">
        <v>2537</v>
      </c>
      <c r="C424" s="81">
        <v>590250176</v>
      </c>
      <c r="D424" s="81">
        <v>0</v>
      </c>
      <c r="E424" s="81" t="s">
        <v>1124</v>
      </c>
      <c r="F424" s="81" t="s">
        <v>2538</v>
      </c>
      <c r="G424" s="81" t="s">
        <v>1169</v>
      </c>
      <c r="H424" s="81"/>
      <c r="I424" s="81" t="s">
        <v>2198</v>
      </c>
    </row>
    <row r="425" spans="1:9" ht="15">
      <c r="A425" s="79" t="s">
        <v>2536</v>
      </c>
      <c r="B425" s="79" t="s">
        <v>2537</v>
      </c>
      <c r="C425" s="79">
        <v>590250176</v>
      </c>
      <c r="D425" s="79">
        <v>0</v>
      </c>
      <c r="E425" s="79" t="s">
        <v>1124</v>
      </c>
      <c r="F425" s="79" t="s">
        <v>2539</v>
      </c>
      <c r="G425" s="79" t="s">
        <v>2540</v>
      </c>
      <c r="H425" s="79" t="s">
        <v>2541</v>
      </c>
      <c r="I425" s="79"/>
    </row>
    <row r="426" spans="1:9" ht="15">
      <c r="A426" s="79" t="s">
        <v>2536</v>
      </c>
      <c r="B426" s="79" t="s">
        <v>2537</v>
      </c>
      <c r="C426" s="79">
        <v>590250176</v>
      </c>
      <c r="D426" s="79">
        <v>0</v>
      </c>
      <c r="E426" s="79" t="s">
        <v>1124</v>
      </c>
      <c r="F426" s="79" t="s">
        <v>2539</v>
      </c>
      <c r="G426" s="79" t="s">
        <v>2542</v>
      </c>
      <c r="H426" s="79" t="s">
        <v>2543</v>
      </c>
      <c r="I426" s="79"/>
    </row>
    <row r="427" spans="1:9" ht="15">
      <c r="A427" s="79" t="s">
        <v>2536</v>
      </c>
      <c r="B427" s="79" t="s">
        <v>2537</v>
      </c>
      <c r="C427" s="79">
        <v>590250176</v>
      </c>
      <c r="D427" s="79">
        <v>0</v>
      </c>
      <c r="E427" s="79" t="s">
        <v>1124</v>
      </c>
      <c r="F427" s="79" t="s">
        <v>2539</v>
      </c>
      <c r="G427" s="79" t="s">
        <v>2544</v>
      </c>
      <c r="H427" s="79" t="s">
        <v>2545</v>
      </c>
      <c r="I427" s="79"/>
    </row>
    <row r="428" spans="1:9" ht="15">
      <c r="A428" s="79" t="s">
        <v>2536</v>
      </c>
      <c r="B428" s="79" t="s">
        <v>2537</v>
      </c>
      <c r="C428" s="79">
        <v>590250176</v>
      </c>
      <c r="D428" s="79">
        <v>0</v>
      </c>
      <c r="E428" s="79" t="s">
        <v>1124</v>
      </c>
      <c r="F428" s="79" t="s">
        <v>2539</v>
      </c>
      <c r="G428" s="79" t="s">
        <v>2546</v>
      </c>
      <c r="H428" s="79" t="s">
        <v>2547</v>
      </c>
      <c r="I428" s="79"/>
    </row>
    <row r="429" spans="1:9" ht="15">
      <c r="A429" s="79" t="s">
        <v>2536</v>
      </c>
      <c r="B429" s="79" t="s">
        <v>2537</v>
      </c>
      <c r="C429" s="79">
        <v>590250176</v>
      </c>
      <c r="D429" s="79">
        <v>0</v>
      </c>
      <c r="E429" s="79" t="s">
        <v>1124</v>
      </c>
      <c r="F429" s="79" t="s">
        <v>2539</v>
      </c>
      <c r="G429" s="79" t="s">
        <v>2548</v>
      </c>
      <c r="H429" s="79" t="s">
        <v>2549</v>
      </c>
      <c r="I429" s="79"/>
    </row>
    <row r="430" spans="1:9" ht="15">
      <c r="A430" s="79" t="s">
        <v>2536</v>
      </c>
      <c r="B430" s="79" t="s">
        <v>2537</v>
      </c>
      <c r="C430" s="79">
        <v>590250176</v>
      </c>
      <c r="D430" s="79">
        <v>0</v>
      </c>
      <c r="E430" s="79" t="s">
        <v>1124</v>
      </c>
      <c r="F430" s="79" t="s">
        <v>2539</v>
      </c>
      <c r="G430" s="79" t="s">
        <v>2550</v>
      </c>
      <c r="H430" s="79" t="s">
        <v>2551</v>
      </c>
      <c r="I430" s="79"/>
    </row>
    <row r="431" spans="1:9" ht="15">
      <c r="A431" s="79" t="s">
        <v>2536</v>
      </c>
      <c r="B431" s="79" t="s">
        <v>2537</v>
      </c>
      <c r="C431" s="79">
        <v>590250176</v>
      </c>
      <c r="D431" s="79">
        <v>0</v>
      </c>
      <c r="E431" s="79" t="s">
        <v>1124</v>
      </c>
      <c r="F431" s="79" t="s">
        <v>2539</v>
      </c>
      <c r="G431" s="79" t="s">
        <v>2552</v>
      </c>
      <c r="H431" s="79" t="s">
        <v>2553</v>
      </c>
      <c r="I431" s="79"/>
    </row>
    <row r="432" spans="1:9" ht="15">
      <c r="A432" s="79" t="s">
        <v>2536</v>
      </c>
      <c r="B432" s="79" t="s">
        <v>2537</v>
      </c>
      <c r="C432" s="79">
        <v>590250176</v>
      </c>
      <c r="D432" s="79">
        <v>0</v>
      </c>
      <c r="E432" s="79" t="s">
        <v>1124</v>
      </c>
      <c r="F432" s="79" t="s">
        <v>2539</v>
      </c>
      <c r="G432" s="79" t="s">
        <v>2554</v>
      </c>
      <c r="H432" s="79" t="s">
        <v>2555</v>
      </c>
      <c r="I432" s="79"/>
    </row>
    <row r="433" spans="1:9" ht="15">
      <c r="A433" s="79" t="s">
        <v>2536</v>
      </c>
      <c r="B433" s="79" t="s">
        <v>2537</v>
      </c>
      <c r="C433" s="79">
        <v>590250176</v>
      </c>
      <c r="D433" s="79">
        <v>0</v>
      </c>
      <c r="E433" s="79" t="s">
        <v>1124</v>
      </c>
      <c r="F433" s="79" t="s">
        <v>2539</v>
      </c>
      <c r="G433" s="79" t="s">
        <v>2556</v>
      </c>
      <c r="H433" s="79" t="s">
        <v>2557</v>
      </c>
      <c r="I433" s="79"/>
    </row>
    <row r="434" spans="1:9" ht="15">
      <c r="A434" s="79" t="s">
        <v>2536</v>
      </c>
      <c r="B434" s="79" t="s">
        <v>2537</v>
      </c>
      <c r="C434" s="79">
        <v>590250176</v>
      </c>
      <c r="D434" s="79">
        <v>0</v>
      </c>
      <c r="E434" s="79" t="s">
        <v>1124</v>
      </c>
      <c r="F434" s="79" t="s">
        <v>2539</v>
      </c>
      <c r="G434" s="79" t="s">
        <v>2558</v>
      </c>
      <c r="H434" s="79" t="s">
        <v>2559</v>
      </c>
      <c r="I434" s="79"/>
    </row>
    <row r="435" spans="1:9" ht="15">
      <c r="A435" s="79" t="s">
        <v>2536</v>
      </c>
      <c r="B435" s="79" t="s">
        <v>2537</v>
      </c>
      <c r="C435" s="79">
        <v>590250176</v>
      </c>
      <c r="D435" s="79">
        <v>0</v>
      </c>
      <c r="E435" s="79" t="s">
        <v>1124</v>
      </c>
      <c r="F435" s="79" t="s">
        <v>2539</v>
      </c>
      <c r="G435" s="79" t="s">
        <v>2560</v>
      </c>
      <c r="H435" s="79" t="s">
        <v>2561</v>
      </c>
      <c r="I435" s="79"/>
    </row>
    <row r="436" spans="1:9" ht="15">
      <c r="A436" s="79" t="s">
        <v>2536</v>
      </c>
      <c r="B436" s="79" t="s">
        <v>2537</v>
      </c>
      <c r="C436" s="79">
        <v>590250176</v>
      </c>
      <c r="D436" s="79">
        <v>0</v>
      </c>
      <c r="E436" s="79" t="s">
        <v>1124</v>
      </c>
      <c r="F436" s="79" t="s">
        <v>2539</v>
      </c>
      <c r="G436" s="79" t="s">
        <v>2562</v>
      </c>
      <c r="H436" s="79" t="s">
        <v>2563</v>
      </c>
      <c r="I436" s="79"/>
    </row>
    <row r="437" spans="1:9" ht="15">
      <c r="A437" s="79" t="s">
        <v>2536</v>
      </c>
      <c r="B437" s="79" t="s">
        <v>2537</v>
      </c>
      <c r="C437" s="79">
        <v>590250176</v>
      </c>
      <c r="D437" s="79">
        <v>0</v>
      </c>
      <c r="E437" s="79" t="s">
        <v>1124</v>
      </c>
      <c r="F437" s="79" t="s">
        <v>2539</v>
      </c>
      <c r="G437" s="79" t="s">
        <v>2402</v>
      </c>
      <c r="H437" s="79"/>
      <c r="I437" s="79"/>
    </row>
    <row r="438" spans="1:9" ht="15">
      <c r="A438" s="79" t="s">
        <v>2564</v>
      </c>
      <c r="B438" s="79" t="s">
        <v>2565</v>
      </c>
      <c r="C438" s="79">
        <v>590250236</v>
      </c>
      <c r="D438" s="79">
        <v>0</v>
      </c>
      <c r="E438" s="79" t="s">
        <v>1124</v>
      </c>
      <c r="F438" s="79" t="s">
        <v>2539</v>
      </c>
      <c r="G438" s="79" t="s">
        <v>2566</v>
      </c>
      <c r="H438" s="79" t="s">
        <v>2567</v>
      </c>
      <c r="I438" s="79"/>
    </row>
    <row r="439" spans="1:9" ht="15">
      <c r="A439" s="79" t="s">
        <v>2564</v>
      </c>
      <c r="B439" s="79" t="s">
        <v>2565</v>
      </c>
      <c r="C439" s="79">
        <v>590250236</v>
      </c>
      <c r="D439" s="79">
        <v>0</v>
      </c>
      <c r="E439" s="79" t="s">
        <v>1124</v>
      </c>
      <c r="F439" s="79" t="s">
        <v>2539</v>
      </c>
      <c r="G439" s="79" t="s">
        <v>2568</v>
      </c>
      <c r="H439" s="79"/>
      <c r="I439" s="79"/>
    </row>
    <row r="440" spans="1:9" ht="15">
      <c r="A440" s="79" t="s">
        <v>2569</v>
      </c>
      <c r="B440" s="79" t="s">
        <v>2570</v>
      </c>
      <c r="C440" s="79">
        <v>590250596</v>
      </c>
      <c r="D440" s="79">
        <v>0</v>
      </c>
      <c r="E440" s="79" t="s">
        <v>1124</v>
      </c>
      <c r="F440" s="79" t="s">
        <v>2539</v>
      </c>
      <c r="G440" s="79" t="s">
        <v>2571</v>
      </c>
      <c r="H440" s="79"/>
      <c r="I440" s="79"/>
    </row>
    <row r="441" spans="1:9" ht="15">
      <c r="A441" s="79" t="s">
        <v>2569</v>
      </c>
      <c r="B441" s="79" t="s">
        <v>2570</v>
      </c>
      <c r="C441" s="79">
        <v>590250596</v>
      </c>
      <c r="D441" s="79">
        <v>0</v>
      </c>
      <c r="E441" s="79" t="s">
        <v>1124</v>
      </c>
      <c r="F441" s="79" t="s">
        <v>2539</v>
      </c>
      <c r="G441" s="79" t="s">
        <v>2572</v>
      </c>
      <c r="H441" s="79" t="s">
        <v>2573</v>
      </c>
      <c r="I441" s="79"/>
    </row>
    <row r="442" spans="1:9" ht="15">
      <c r="A442" s="79" t="s">
        <v>2569</v>
      </c>
      <c r="B442" s="79" t="s">
        <v>2570</v>
      </c>
      <c r="C442" s="79">
        <v>590250596</v>
      </c>
      <c r="D442" s="79">
        <v>0</v>
      </c>
      <c r="E442" s="79" t="s">
        <v>1124</v>
      </c>
      <c r="F442" s="79" t="s">
        <v>2539</v>
      </c>
      <c r="G442" s="79" t="s">
        <v>2568</v>
      </c>
      <c r="H442" s="79"/>
      <c r="I442" s="79"/>
    </row>
    <row r="443" spans="1:9" ht="15">
      <c r="A443" s="79" t="s">
        <v>2574</v>
      </c>
      <c r="B443" s="79" t="s">
        <v>2575</v>
      </c>
      <c r="C443" s="79">
        <v>590250956</v>
      </c>
      <c r="D443" s="79">
        <v>0</v>
      </c>
      <c r="E443" s="79" t="s">
        <v>1124</v>
      </c>
      <c r="F443" s="79" t="s">
        <v>2539</v>
      </c>
      <c r="G443" s="79" t="s">
        <v>2576</v>
      </c>
      <c r="H443" s="79"/>
      <c r="I443" s="79"/>
    </row>
    <row r="444" spans="1:9" ht="15">
      <c r="A444" s="79" t="s">
        <v>2574</v>
      </c>
      <c r="B444" s="79" t="s">
        <v>2575</v>
      </c>
      <c r="C444" s="79">
        <v>590250956</v>
      </c>
      <c r="D444" s="79">
        <v>0</v>
      </c>
      <c r="E444" s="79" t="s">
        <v>1124</v>
      </c>
      <c r="F444" s="79" t="s">
        <v>2539</v>
      </c>
      <c r="G444" s="79" t="s">
        <v>2577</v>
      </c>
      <c r="H444" s="79"/>
      <c r="I444" s="79"/>
    </row>
    <row r="445" spans="1:9" ht="15">
      <c r="A445" s="79" t="s">
        <v>2574</v>
      </c>
      <c r="B445" s="79" t="s">
        <v>2575</v>
      </c>
      <c r="C445" s="79">
        <v>590250956</v>
      </c>
      <c r="D445" s="79">
        <v>0</v>
      </c>
      <c r="E445" s="79" t="s">
        <v>1124</v>
      </c>
      <c r="F445" s="79" t="s">
        <v>2539</v>
      </c>
      <c r="G445" s="79" t="s">
        <v>1131</v>
      </c>
      <c r="H445" s="79" t="s">
        <v>1132</v>
      </c>
      <c r="I445" s="79"/>
    </row>
    <row r="446" spans="1:9" ht="15">
      <c r="A446" s="79" t="s">
        <v>2574</v>
      </c>
      <c r="B446" s="79" t="s">
        <v>2575</v>
      </c>
      <c r="C446" s="79">
        <v>590250956</v>
      </c>
      <c r="D446" s="79">
        <v>0</v>
      </c>
      <c r="E446" s="79" t="s">
        <v>1124</v>
      </c>
      <c r="F446" s="79" t="s">
        <v>2539</v>
      </c>
      <c r="G446" s="79" t="s">
        <v>2578</v>
      </c>
      <c r="H446" s="79"/>
      <c r="I446" s="79"/>
    </row>
    <row r="447" spans="1:9" ht="15">
      <c r="A447" s="79" t="s">
        <v>2579</v>
      </c>
      <c r="B447" s="79" t="s">
        <v>2580</v>
      </c>
      <c r="C447" s="79">
        <v>590251556</v>
      </c>
      <c r="D447" s="79">
        <v>0</v>
      </c>
      <c r="E447" s="79" t="s">
        <v>1124</v>
      </c>
      <c r="F447" s="79" t="s">
        <v>2539</v>
      </c>
      <c r="G447" s="79" t="s">
        <v>2546</v>
      </c>
      <c r="H447" s="79" t="s">
        <v>2547</v>
      </c>
      <c r="I447" s="79"/>
    </row>
    <row r="448" spans="1:9" ht="15">
      <c r="A448" s="79" t="s">
        <v>2579</v>
      </c>
      <c r="B448" s="79" t="s">
        <v>2580</v>
      </c>
      <c r="C448" s="79">
        <v>590251556</v>
      </c>
      <c r="D448" s="79">
        <v>0</v>
      </c>
      <c r="E448" s="79" t="s">
        <v>1124</v>
      </c>
      <c r="F448" s="79" t="s">
        <v>2539</v>
      </c>
      <c r="G448" s="79" t="s">
        <v>2581</v>
      </c>
      <c r="H448" s="79"/>
      <c r="I448" s="79"/>
    </row>
    <row r="449" spans="1:9" ht="15">
      <c r="A449" s="81" t="s">
        <v>2582</v>
      </c>
      <c r="B449" s="81" t="s">
        <v>2583</v>
      </c>
      <c r="C449" s="81">
        <v>590253776</v>
      </c>
      <c r="D449" s="81">
        <v>0</v>
      </c>
      <c r="E449" s="81" t="s">
        <v>1124</v>
      </c>
      <c r="F449" s="81" t="s">
        <v>2584</v>
      </c>
      <c r="G449" s="81" t="s">
        <v>2585</v>
      </c>
      <c r="H449" s="81"/>
      <c r="I449" s="81" t="s">
        <v>2198</v>
      </c>
    </row>
    <row r="450" spans="1:9" ht="15">
      <c r="A450" s="79" t="s">
        <v>2582</v>
      </c>
      <c r="B450" s="79" t="s">
        <v>2583</v>
      </c>
      <c r="C450" s="79">
        <v>590253776</v>
      </c>
      <c r="D450" s="79">
        <v>0</v>
      </c>
      <c r="E450" s="79" t="s">
        <v>1124</v>
      </c>
      <c r="F450" s="79" t="s">
        <v>2586</v>
      </c>
      <c r="G450" s="79" t="s">
        <v>2587</v>
      </c>
      <c r="H450" s="79"/>
      <c r="I450" s="79"/>
    </row>
    <row r="451" spans="1:9" ht="15">
      <c r="A451" s="79" t="s">
        <v>2582</v>
      </c>
      <c r="B451" s="79" t="s">
        <v>2583</v>
      </c>
      <c r="C451" s="79">
        <v>590253776</v>
      </c>
      <c r="D451" s="79">
        <v>0</v>
      </c>
      <c r="E451" s="79" t="s">
        <v>1124</v>
      </c>
      <c r="F451" s="79" t="s">
        <v>2586</v>
      </c>
      <c r="G451" s="79" t="s">
        <v>2588</v>
      </c>
      <c r="H451" s="79"/>
      <c r="I451" s="79"/>
    </row>
    <row r="452" spans="1:9" ht="15">
      <c r="A452" s="79" t="s">
        <v>2582</v>
      </c>
      <c r="B452" s="79" t="s">
        <v>2583</v>
      </c>
      <c r="C452" s="79">
        <v>590253776</v>
      </c>
      <c r="D452" s="79">
        <v>0</v>
      </c>
      <c r="E452" s="79" t="s">
        <v>1124</v>
      </c>
      <c r="F452" s="79" t="s">
        <v>2586</v>
      </c>
      <c r="G452" s="79" t="s">
        <v>2589</v>
      </c>
      <c r="H452" s="79"/>
      <c r="I452" s="79"/>
    </row>
    <row r="453" spans="1:9" ht="15">
      <c r="A453" s="79" t="s">
        <v>2582</v>
      </c>
      <c r="B453" s="79" t="s">
        <v>2583</v>
      </c>
      <c r="C453" s="79">
        <v>590253776</v>
      </c>
      <c r="D453" s="79">
        <v>0</v>
      </c>
      <c r="E453" s="79" t="s">
        <v>1124</v>
      </c>
      <c r="F453" s="79" t="s">
        <v>2586</v>
      </c>
      <c r="G453" s="79" t="s">
        <v>1294</v>
      </c>
      <c r="H453" s="79"/>
      <c r="I453" s="79"/>
    </row>
    <row r="454" spans="1:9" ht="15">
      <c r="A454" s="79" t="s">
        <v>2590</v>
      </c>
      <c r="B454" s="79" t="s">
        <v>2591</v>
      </c>
      <c r="C454" s="79">
        <v>590294156</v>
      </c>
      <c r="D454" s="79">
        <v>0</v>
      </c>
      <c r="E454" s="79" t="s">
        <v>1124</v>
      </c>
      <c r="F454" s="79" t="s">
        <v>2539</v>
      </c>
      <c r="G454" s="79" t="s">
        <v>1130</v>
      </c>
      <c r="H454" s="79"/>
      <c r="I454" s="79"/>
    </row>
    <row r="455" spans="1:9" ht="15">
      <c r="A455" s="79" t="s">
        <v>2590</v>
      </c>
      <c r="B455" s="79" t="s">
        <v>2591</v>
      </c>
      <c r="C455" s="79">
        <v>590294156</v>
      </c>
      <c r="D455" s="79">
        <v>0</v>
      </c>
      <c r="E455" s="79" t="s">
        <v>1124</v>
      </c>
      <c r="F455" s="79" t="s">
        <v>2539</v>
      </c>
      <c r="G455" s="79" t="s">
        <v>1131</v>
      </c>
      <c r="H455" s="79" t="s">
        <v>1132</v>
      </c>
      <c r="I455" s="79"/>
    </row>
    <row r="456" spans="1:9" ht="15">
      <c r="A456" s="79" t="s">
        <v>2590</v>
      </c>
      <c r="B456" s="79" t="s">
        <v>2591</v>
      </c>
      <c r="C456" s="79">
        <v>590294156</v>
      </c>
      <c r="D456" s="79">
        <v>0</v>
      </c>
      <c r="E456" s="79" t="s">
        <v>1124</v>
      </c>
      <c r="F456" s="79" t="s">
        <v>2539</v>
      </c>
      <c r="G456" s="79" t="s">
        <v>2578</v>
      </c>
      <c r="H456" s="79"/>
      <c r="I456" s="79"/>
    </row>
    <row r="457" spans="1:9" ht="15">
      <c r="A457" s="79" t="s">
        <v>2592</v>
      </c>
      <c r="B457" s="79" t="s">
        <v>2593</v>
      </c>
      <c r="C457" s="79">
        <v>590294756</v>
      </c>
      <c r="D457" s="79">
        <v>0</v>
      </c>
      <c r="E457" s="79" t="s">
        <v>1124</v>
      </c>
      <c r="F457" s="79" t="s">
        <v>2539</v>
      </c>
      <c r="G457" s="79" t="s">
        <v>2546</v>
      </c>
      <c r="H457" s="79" t="s">
        <v>2547</v>
      </c>
      <c r="I457" s="79"/>
    </row>
    <row r="458" spans="1:9" ht="15">
      <c r="A458" s="79" t="s">
        <v>2592</v>
      </c>
      <c r="B458" s="79" t="s">
        <v>2593</v>
      </c>
      <c r="C458" s="79">
        <v>590294756</v>
      </c>
      <c r="D458" s="79">
        <v>0</v>
      </c>
      <c r="E458" s="79" t="s">
        <v>1124</v>
      </c>
      <c r="F458" s="79" t="s">
        <v>2539</v>
      </c>
      <c r="G458" s="79" t="s">
        <v>2581</v>
      </c>
      <c r="H458" s="79"/>
      <c r="I458" s="79"/>
    </row>
    <row r="459" spans="1:9" ht="15">
      <c r="A459" s="79" t="s">
        <v>2594</v>
      </c>
      <c r="B459" s="79" t="s">
        <v>2595</v>
      </c>
      <c r="C459" s="79">
        <v>590337356</v>
      </c>
      <c r="D459" s="79">
        <v>0</v>
      </c>
      <c r="E459" s="79" t="s">
        <v>1124</v>
      </c>
      <c r="F459" s="79" t="s">
        <v>2539</v>
      </c>
      <c r="G459" s="79" t="s">
        <v>1130</v>
      </c>
      <c r="H459" s="79"/>
      <c r="I459" s="79"/>
    </row>
    <row r="460" spans="1:9" ht="15">
      <c r="A460" s="79" t="s">
        <v>2594</v>
      </c>
      <c r="B460" s="79" t="s">
        <v>2595</v>
      </c>
      <c r="C460" s="79">
        <v>590337356</v>
      </c>
      <c r="D460" s="79">
        <v>0</v>
      </c>
      <c r="E460" s="79" t="s">
        <v>1124</v>
      </c>
      <c r="F460" s="79" t="s">
        <v>2539</v>
      </c>
      <c r="G460" s="79" t="s">
        <v>1131</v>
      </c>
      <c r="H460" s="79" t="s">
        <v>1132</v>
      </c>
      <c r="I460" s="79"/>
    </row>
    <row r="461" spans="1:9" ht="15">
      <c r="A461" s="79" t="s">
        <v>2594</v>
      </c>
      <c r="B461" s="79" t="s">
        <v>2595</v>
      </c>
      <c r="C461" s="79">
        <v>590337356</v>
      </c>
      <c r="D461" s="79">
        <v>0</v>
      </c>
      <c r="E461" s="79" t="s">
        <v>1124</v>
      </c>
      <c r="F461" s="79" t="s">
        <v>2539</v>
      </c>
      <c r="G461" s="79" t="s">
        <v>2578</v>
      </c>
      <c r="H461" s="79"/>
      <c r="I461" s="79"/>
    </row>
    <row r="462" spans="1:9" ht="15">
      <c r="A462" s="79" t="s">
        <v>2596</v>
      </c>
      <c r="B462" s="79" t="s">
        <v>2597</v>
      </c>
      <c r="C462" s="79">
        <v>590337956</v>
      </c>
      <c r="D462" s="79">
        <v>0</v>
      </c>
      <c r="E462" s="79" t="s">
        <v>1124</v>
      </c>
      <c r="F462" s="79" t="s">
        <v>2539</v>
      </c>
      <c r="G462" s="79" t="s">
        <v>2546</v>
      </c>
      <c r="H462" s="79" t="s">
        <v>2547</v>
      </c>
      <c r="I462" s="79"/>
    </row>
    <row r="463" spans="1:9" ht="15">
      <c r="A463" s="79" t="s">
        <v>2596</v>
      </c>
      <c r="B463" s="79" t="s">
        <v>2597</v>
      </c>
      <c r="C463" s="79">
        <v>590337956</v>
      </c>
      <c r="D463" s="79">
        <v>0</v>
      </c>
      <c r="E463" s="79" t="s">
        <v>1124</v>
      </c>
      <c r="F463" s="79" t="s">
        <v>2539</v>
      </c>
      <c r="G463" s="79" t="s">
        <v>2581</v>
      </c>
      <c r="H463" s="79"/>
      <c r="I463" s="79"/>
    </row>
    <row r="464" spans="1:9" ht="15">
      <c r="A464" s="79" t="s">
        <v>2598</v>
      </c>
      <c r="B464" s="79" t="s">
        <v>2599</v>
      </c>
      <c r="C464" s="79">
        <v>590380556</v>
      </c>
      <c r="D464" s="79">
        <v>0</v>
      </c>
      <c r="E464" s="79" t="s">
        <v>1124</v>
      </c>
      <c r="F464" s="79" t="s">
        <v>2539</v>
      </c>
      <c r="G464" s="79" t="s">
        <v>1130</v>
      </c>
      <c r="H464" s="79"/>
      <c r="I464" s="79"/>
    </row>
    <row r="465" spans="1:9" ht="15">
      <c r="A465" s="79" t="s">
        <v>2598</v>
      </c>
      <c r="B465" s="79" t="s">
        <v>2599</v>
      </c>
      <c r="C465" s="79">
        <v>590380556</v>
      </c>
      <c r="D465" s="79">
        <v>0</v>
      </c>
      <c r="E465" s="79" t="s">
        <v>1124</v>
      </c>
      <c r="F465" s="79" t="s">
        <v>2539</v>
      </c>
      <c r="G465" s="79" t="s">
        <v>1131</v>
      </c>
      <c r="H465" s="79" t="s">
        <v>1132</v>
      </c>
      <c r="I465" s="79"/>
    </row>
    <row r="466" spans="1:9" ht="15">
      <c r="A466" s="79" t="s">
        <v>2598</v>
      </c>
      <c r="B466" s="79" t="s">
        <v>2599</v>
      </c>
      <c r="C466" s="79">
        <v>590380556</v>
      </c>
      <c r="D466" s="79">
        <v>0</v>
      </c>
      <c r="E466" s="79" t="s">
        <v>1124</v>
      </c>
      <c r="F466" s="79" t="s">
        <v>2539</v>
      </c>
      <c r="G466" s="79" t="s">
        <v>2578</v>
      </c>
      <c r="H466" s="79"/>
      <c r="I466" s="79"/>
    </row>
    <row r="467" spans="1:9" ht="15">
      <c r="A467" s="79" t="s">
        <v>2600</v>
      </c>
      <c r="B467" s="79" t="s">
        <v>2601</v>
      </c>
      <c r="C467" s="79">
        <v>590381156</v>
      </c>
      <c r="D467" s="79">
        <v>0</v>
      </c>
      <c r="E467" s="79" t="s">
        <v>1124</v>
      </c>
      <c r="F467" s="79" t="s">
        <v>2539</v>
      </c>
      <c r="G467" s="79" t="s">
        <v>2546</v>
      </c>
      <c r="H467" s="79" t="s">
        <v>2547</v>
      </c>
      <c r="I467" s="79"/>
    </row>
    <row r="468" spans="1:9" ht="15">
      <c r="A468" s="79" t="s">
        <v>2600</v>
      </c>
      <c r="B468" s="79" t="s">
        <v>2601</v>
      </c>
      <c r="C468" s="79">
        <v>590381156</v>
      </c>
      <c r="D468" s="79">
        <v>0</v>
      </c>
      <c r="E468" s="79" t="s">
        <v>1124</v>
      </c>
      <c r="F468" s="79" t="s">
        <v>2539</v>
      </c>
      <c r="G468" s="79" t="s">
        <v>2581</v>
      </c>
      <c r="H468" s="79"/>
      <c r="I468" s="79"/>
    </row>
    <row r="469" spans="1:9" ht="15">
      <c r="A469" s="79" t="s">
        <v>2602</v>
      </c>
      <c r="B469" s="79" t="s">
        <v>2603</v>
      </c>
      <c r="C469" s="79">
        <v>590423756</v>
      </c>
      <c r="D469" s="79">
        <v>0</v>
      </c>
      <c r="E469" s="79" t="s">
        <v>1124</v>
      </c>
      <c r="F469" s="79" t="s">
        <v>2539</v>
      </c>
      <c r="G469" s="79" t="s">
        <v>1130</v>
      </c>
      <c r="H469" s="79"/>
      <c r="I469" s="79"/>
    </row>
    <row r="470" spans="1:9" ht="15">
      <c r="A470" s="79" t="s">
        <v>2602</v>
      </c>
      <c r="B470" s="79" t="s">
        <v>2603</v>
      </c>
      <c r="C470" s="79">
        <v>590423756</v>
      </c>
      <c r="D470" s="79">
        <v>0</v>
      </c>
      <c r="E470" s="79" t="s">
        <v>1124</v>
      </c>
      <c r="F470" s="79" t="s">
        <v>2539</v>
      </c>
      <c r="G470" s="79" t="s">
        <v>1131</v>
      </c>
      <c r="H470" s="79" t="s">
        <v>1132</v>
      </c>
      <c r="I470" s="79"/>
    </row>
    <row r="471" spans="1:9" ht="15">
      <c r="A471" s="79" t="s">
        <v>2602</v>
      </c>
      <c r="B471" s="79" t="s">
        <v>2603</v>
      </c>
      <c r="C471" s="79">
        <v>590423756</v>
      </c>
      <c r="D471" s="79">
        <v>0</v>
      </c>
      <c r="E471" s="79" t="s">
        <v>1124</v>
      </c>
      <c r="F471" s="79" t="s">
        <v>2539</v>
      </c>
      <c r="G471" s="79" t="s">
        <v>2578</v>
      </c>
      <c r="H471" s="79"/>
      <c r="I471" s="79"/>
    </row>
    <row r="472" spans="1:9" ht="15">
      <c r="A472" s="79" t="s">
        <v>2604</v>
      </c>
      <c r="B472" s="79" t="s">
        <v>2605</v>
      </c>
      <c r="C472" s="79">
        <v>590424356</v>
      </c>
      <c r="D472" s="79">
        <v>0</v>
      </c>
      <c r="E472" s="79" t="s">
        <v>1124</v>
      </c>
      <c r="F472" s="79" t="s">
        <v>2539</v>
      </c>
      <c r="G472" s="79" t="s">
        <v>2546</v>
      </c>
      <c r="H472" s="79" t="s">
        <v>2547</v>
      </c>
      <c r="I472" s="79"/>
    </row>
    <row r="473" spans="1:9" ht="15">
      <c r="A473" s="79" t="s">
        <v>2604</v>
      </c>
      <c r="B473" s="79" t="s">
        <v>2605</v>
      </c>
      <c r="C473" s="79">
        <v>590424356</v>
      </c>
      <c r="D473" s="79">
        <v>0</v>
      </c>
      <c r="E473" s="79" t="s">
        <v>1124</v>
      </c>
      <c r="F473" s="79" t="s">
        <v>2539</v>
      </c>
      <c r="G473" s="79" t="s">
        <v>2581</v>
      </c>
      <c r="H473" s="79"/>
      <c r="I473" s="79"/>
    </row>
    <row r="474" spans="1:9" ht="15">
      <c r="A474" s="79" t="s">
        <v>2606</v>
      </c>
      <c r="B474" s="79" t="s">
        <v>2607</v>
      </c>
      <c r="C474" s="79">
        <v>590466956</v>
      </c>
      <c r="D474" s="79">
        <v>0</v>
      </c>
      <c r="E474" s="79" t="s">
        <v>1124</v>
      </c>
      <c r="F474" s="79" t="s">
        <v>2539</v>
      </c>
      <c r="G474" s="79" t="s">
        <v>1130</v>
      </c>
      <c r="H474" s="79"/>
      <c r="I474" s="79"/>
    </row>
    <row r="475" spans="1:9" ht="15">
      <c r="A475" s="79" t="s">
        <v>2606</v>
      </c>
      <c r="B475" s="79" t="s">
        <v>2607</v>
      </c>
      <c r="C475" s="79">
        <v>590466956</v>
      </c>
      <c r="D475" s="79">
        <v>0</v>
      </c>
      <c r="E475" s="79" t="s">
        <v>1124</v>
      </c>
      <c r="F475" s="79" t="s">
        <v>2539</v>
      </c>
      <c r="G475" s="79" t="s">
        <v>1131</v>
      </c>
      <c r="H475" s="79" t="s">
        <v>1132</v>
      </c>
      <c r="I475" s="79"/>
    </row>
    <row r="476" spans="1:9" ht="15">
      <c r="A476" s="79" t="s">
        <v>2606</v>
      </c>
      <c r="B476" s="79" t="s">
        <v>2607</v>
      </c>
      <c r="C476" s="79">
        <v>590466956</v>
      </c>
      <c r="D476" s="79">
        <v>0</v>
      </c>
      <c r="E476" s="79" t="s">
        <v>1124</v>
      </c>
      <c r="F476" s="79" t="s">
        <v>2539</v>
      </c>
      <c r="G476" s="79" t="s">
        <v>2578</v>
      </c>
      <c r="H476" s="79"/>
      <c r="I476" s="79"/>
    </row>
    <row r="477" spans="1:9" ht="15">
      <c r="A477" s="79" t="s">
        <v>2608</v>
      </c>
      <c r="B477" s="79" t="s">
        <v>2609</v>
      </c>
      <c r="C477" s="79">
        <v>590467556</v>
      </c>
      <c r="D477" s="79">
        <v>0</v>
      </c>
      <c r="E477" s="79" t="s">
        <v>1124</v>
      </c>
      <c r="F477" s="79" t="s">
        <v>2539</v>
      </c>
      <c r="G477" s="79" t="s">
        <v>2546</v>
      </c>
      <c r="H477" s="79" t="s">
        <v>2547</v>
      </c>
      <c r="I477" s="79"/>
    </row>
    <row r="478" spans="1:9" ht="15">
      <c r="A478" s="79" t="s">
        <v>2608</v>
      </c>
      <c r="B478" s="79" t="s">
        <v>2609</v>
      </c>
      <c r="C478" s="79">
        <v>590467556</v>
      </c>
      <c r="D478" s="79">
        <v>0</v>
      </c>
      <c r="E478" s="79" t="s">
        <v>1124</v>
      </c>
      <c r="F478" s="79" t="s">
        <v>2539</v>
      </c>
      <c r="G478" s="79" t="s">
        <v>2581</v>
      </c>
      <c r="H478" s="79"/>
      <c r="I478" s="79"/>
    </row>
    <row r="479" spans="1:9" ht="15">
      <c r="A479" s="79" t="s">
        <v>2610</v>
      </c>
      <c r="B479" s="79" t="s">
        <v>2611</v>
      </c>
      <c r="C479" s="79">
        <v>590510156</v>
      </c>
      <c r="D479" s="79">
        <v>0</v>
      </c>
      <c r="E479" s="79" t="s">
        <v>1124</v>
      </c>
      <c r="F479" s="79" t="s">
        <v>2539</v>
      </c>
      <c r="G479" s="79" t="s">
        <v>1130</v>
      </c>
      <c r="H479" s="79"/>
      <c r="I479" s="79"/>
    </row>
    <row r="480" spans="1:9" ht="15">
      <c r="A480" s="79" t="s">
        <v>2610</v>
      </c>
      <c r="B480" s="79" t="s">
        <v>2611</v>
      </c>
      <c r="C480" s="79">
        <v>590510156</v>
      </c>
      <c r="D480" s="79">
        <v>0</v>
      </c>
      <c r="E480" s="79" t="s">
        <v>1124</v>
      </c>
      <c r="F480" s="79" t="s">
        <v>2539</v>
      </c>
      <c r="G480" s="79" t="s">
        <v>1131</v>
      </c>
      <c r="H480" s="79" t="s">
        <v>1132</v>
      </c>
      <c r="I480" s="79"/>
    </row>
    <row r="481" spans="1:9" ht="15">
      <c r="A481" s="79" t="s">
        <v>2610</v>
      </c>
      <c r="B481" s="79" t="s">
        <v>2611</v>
      </c>
      <c r="C481" s="79">
        <v>590510156</v>
      </c>
      <c r="D481" s="79">
        <v>0</v>
      </c>
      <c r="E481" s="79" t="s">
        <v>1124</v>
      </c>
      <c r="F481" s="79" t="s">
        <v>2539</v>
      </c>
      <c r="G481" s="79" t="s">
        <v>2578</v>
      </c>
      <c r="H481" s="79"/>
      <c r="I481" s="79"/>
    </row>
    <row r="482" spans="1:9" ht="15">
      <c r="A482" s="79" t="s">
        <v>2612</v>
      </c>
      <c r="B482" s="79" t="s">
        <v>2613</v>
      </c>
      <c r="C482" s="79">
        <v>590510756</v>
      </c>
      <c r="D482" s="79">
        <v>0</v>
      </c>
      <c r="E482" s="79" t="s">
        <v>1124</v>
      </c>
      <c r="F482" s="79" t="s">
        <v>2539</v>
      </c>
      <c r="G482" s="79" t="s">
        <v>2546</v>
      </c>
      <c r="H482" s="79" t="s">
        <v>2547</v>
      </c>
      <c r="I482" s="79"/>
    </row>
    <row r="483" spans="1:9" ht="15">
      <c r="A483" s="79" t="s">
        <v>2612</v>
      </c>
      <c r="B483" s="79" t="s">
        <v>2613</v>
      </c>
      <c r="C483" s="79">
        <v>590510756</v>
      </c>
      <c r="D483" s="79">
        <v>0</v>
      </c>
      <c r="E483" s="79" t="s">
        <v>1124</v>
      </c>
      <c r="F483" s="79" t="s">
        <v>2539</v>
      </c>
      <c r="G483" s="79" t="s">
        <v>2581</v>
      </c>
      <c r="H483" s="79"/>
      <c r="I483" s="79"/>
    </row>
    <row r="484" spans="1:9" ht="15">
      <c r="A484" s="79" t="s">
        <v>2614</v>
      </c>
      <c r="B484" s="79" t="s">
        <v>2615</v>
      </c>
      <c r="C484" s="79">
        <v>590553356</v>
      </c>
      <c r="D484" s="79">
        <v>0</v>
      </c>
      <c r="E484" s="79" t="s">
        <v>1124</v>
      </c>
      <c r="F484" s="79" t="s">
        <v>2539</v>
      </c>
      <c r="G484" s="79" t="s">
        <v>1130</v>
      </c>
      <c r="H484" s="79"/>
      <c r="I484" s="79"/>
    </row>
    <row r="485" spans="1:9" ht="15">
      <c r="A485" s="79" t="s">
        <v>2614</v>
      </c>
      <c r="B485" s="79" t="s">
        <v>2615</v>
      </c>
      <c r="C485" s="79">
        <v>590553356</v>
      </c>
      <c r="D485" s="79">
        <v>0</v>
      </c>
      <c r="E485" s="79" t="s">
        <v>1124</v>
      </c>
      <c r="F485" s="79" t="s">
        <v>2539</v>
      </c>
      <c r="G485" s="79" t="s">
        <v>1131</v>
      </c>
      <c r="H485" s="79" t="s">
        <v>1132</v>
      </c>
      <c r="I485" s="79"/>
    </row>
    <row r="486" spans="1:9" ht="15">
      <c r="A486" s="79" t="s">
        <v>2614</v>
      </c>
      <c r="B486" s="79" t="s">
        <v>2615</v>
      </c>
      <c r="C486" s="79">
        <v>590553356</v>
      </c>
      <c r="D486" s="79">
        <v>0</v>
      </c>
      <c r="E486" s="79" t="s">
        <v>1124</v>
      </c>
      <c r="F486" s="79" t="s">
        <v>2539</v>
      </c>
      <c r="G486" s="79" t="s">
        <v>2578</v>
      </c>
      <c r="H486" s="79"/>
      <c r="I486" s="79"/>
    </row>
    <row r="487" spans="1:9" ht="15">
      <c r="A487" s="79" t="s">
        <v>2616</v>
      </c>
      <c r="B487" s="79" t="s">
        <v>2617</v>
      </c>
      <c r="C487" s="79">
        <v>590553956</v>
      </c>
      <c r="D487" s="79">
        <v>0</v>
      </c>
      <c r="E487" s="79" t="s">
        <v>1124</v>
      </c>
      <c r="F487" s="79" t="s">
        <v>2539</v>
      </c>
      <c r="G487" s="79" t="s">
        <v>2546</v>
      </c>
      <c r="H487" s="79" t="s">
        <v>2547</v>
      </c>
      <c r="I487" s="79"/>
    </row>
    <row r="488" spans="1:9" ht="15">
      <c r="A488" s="79" t="s">
        <v>2616</v>
      </c>
      <c r="B488" s="79" t="s">
        <v>2617</v>
      </c>
      <c r="C488" s="79">
        <v>590553956</v>
      </c>
      <c r="D488" s="79">
        <v>0</v>
      </c>
      <c r="E488" s="79" t="s">
        <v>1124</v>
      </c>
      <c r="F488" s="79" t="s">
        <v>2539</v>
      </c>
      <c r="G488" s="79" t="s">
        <v>2581</v>
      </c>
      <c r="H488" s="79"/>
      <c r="I488" s="79"/>
    </row>
    <row r="489" spans="1:9" ht="15">
      <c r="A489" s="79" t="s">
        <v>2618</v>
      </c>
      <c r="B489" s="79" t="s">
        <v>2619</v>
      </c>
      <c r="C489" s="79">
        <v>590596556</v>
      </c>
      <c r="D489" s="79">
        <v>0</v>
      </c>
      <c r="E489" s="79" t="s">
        <v>1124</v>
      </c>
      <c r="F489" s="79" t="s">
        <v>2539</v>
      </c>
      <c r="G489" s="79" t="s">
        <v>1130</v>
      </c>
      <c r="H489" s="79"/>
      <c r="I489" s="79"/>
    </row>
    <row r="490" spans="1:9" ht="15">
      <c r="A490" s="79" t="s">
        <v>2618</v>
      </c>
      <c r="B490" s="79" t="s">
        <v>2619</v>
      </c>
      <c r="C490" s="79">
        <v>590596556</v>
      </c>
      <c r="D490" s="79">
        <v>0</v>
      </c>
      <c r="E490" s="79" t="s">
        <v>1124</v>
      </c>
      <c r="F490" s="79" t="s">
        <v>2539</v>
      </c>
      <c r="G490" s="79" t="s">
        <v>1131</v>
      </c>
      <c r="H490" s="79" t="s">
        <v>1132</v>
      </c>
      <c r="I490" s="79"/>
    </row>
    <row r="491" spans="1:9" ht="15">
      <c r="A491" s="79" t="s">
        <v>2618</v>
      </c>
      <c r="B491" s="79" t="s">
        <v>2619</v>
      </c>
      <c r="C491" s="79">
        <v>590596556</v>
      </c>
      <c r="D491" s="79">
        <v>0</v>
      </c>
      <c r="E491" s="79" t="s">
        <v>1124</v>
      </c>
      <c r="F491" s="79" t="s">
        <v>2539</v>
      </c>
      <c r="G491" s="79" t="s">
        <v>2578</v>
      </c>
      <c r="H491" s="79"/>
      <c r="I491" s="79"/>
    </row>
    <row r="492" spans="1:9" ht="15">
      <c r="A492" s="79" t="s">
        <v>2620</v>
      </c>
      <c r="B492" s="79" t="s">
        <v>2621</v>
      </c>
      <c r="C492" s="79">
        <v>590597156</v>
      </c>
      <c r="D492" s="79">
        <v>0</v>
      </c>
      <c r="E492" s="79" t="s">
        <v>1124</v>
      </c>
      <c r="F492" s="79" t="s">
        <v>2539</v>
      </c>
      <c r="G492" s="79" t="s">
        <v>2546</v>
      </c>
      <c r="H492" s="79" t="s">
        <v>2547</v>
      </c>
      <c r="I492" s="79"/>
    </row>
    <row r="493" spans="1:9" ht="15">
      <c r="A493" s="79" t="s">
        <v>2620</v>
      </c>
      <c r="B493" s="79" t="s">
        <v>2621</v>
      </c>
      <c r="C493" s="79">
        <v>590597156</v>
      </c>
      <c r="D493" s="79">
        <v>0</v>
      </c>
      <c r="E493" s="79" t="s">
        <v>1124</v>
      </c>
      <c r="F493" s="79" t="s">
        <v>2539</v>
      </c>
      <c r="G493" s="79" t="s">
        <v>2581</v>
      </c>
      <c r="H493" s="79"/>
      <c r="I493" s="79"/>
    </row>
    <row r="494" spans="1:9" ht="15">
      <c r="A494" s="79" t="s">
        <v>2622</v>
      </c>
      <c r="B494" s="79" t="s">
        <v>2623</v>
      </c>
      <c r="C494" s="79">
        <v>590639756</v>
      </c>
      <c r="D494" s="79">
        <v>0</v>
      </c>
      <c r="E494" s="79" t="s">
        <v>1124</v>
      </c>
      <c r="F494" s="79" t="s">
        <v>2539</v>
      </c>
      <c r="G494" s="79" t="s">
        <v>1130</v>
      </c>
      <c r="H494" s="79"/>
      <c r="I494" s="79"/>
    </row>
    <row r="495" spans="1:9" ht="15">
      <c r="A495" s="79" t="s">
        <v>2622</v>
      </c>
      <c r="B495" s="79" t="s">
        <v>2623</v>
      </c>
      <c r="C495" s="79">
        <v>590639756</v>
      </c>
      <c r="D495" s="79">
        <v>0</v>
      </c>
      <c r="E495" s="79" t="s">
        <v>1124</v>
      </c>
      <c r="F495" s="79" t="s">
        <v>2539</v>
      </c>
      <c r="G495" s="79" t="s">
        <v>1131</v>
      </c>
      <c r="H495" s="79" t="s">
        <v>1132</v>
      </c>
      <c r="I495" s="79"/>
    </row>
    <row r="496" spans="1:9" ht="15">
      <c r="A496" s="79" t="s">
        <v>2622</v>
      </c>
      <c r="B496" s="79" t="s">
        <v>2623</v>
      </c>
      <c r="C496" s="79">
        <v>590639756</v>
      </c>
      <c r="D496" s="79">
        <v>0</v>
      </c>
      <c r="E496" s="79" t="s">
        <v>1124</v>
      </c>
      <c r="F496" s="79" t="s">
        <v>2539</v>
      </c>
      <c r="G496" s="79" t="s">
        <v>2578</v>
      </c>
      <c r="H496" s="79"/>
      <c r="I496" s="79"/>
    </row>
    <row r="497" spans="1:9" ht="15">
      <c r="A497" s="79" t="s">
        <v>2624</v>
      </c>
      <c r="B497" s="79" t="s">
        <v>2625</v>
      </c>
      <c r="C497" s="79">
        <v>590640356</v>
      </c>
      <c r="D497" s="79">
        <v>0</v>
      </c>
      <c r="E497" s="79" t="s">
        <v>1124</v>
      </c>
      <c r="F497" s="79" t="s">
        <v>2539</v>
      </c>
      <c r="G497" s="79" t="s">
        <v>2546</v>
      </c>
      <c r="H497" s="79" t="s">
        <v>2547</v>
      </c>
      <c r="I497" s="79"/>
    </row>
    <row r="498" spans="1:9" ht="15">
      <c r="A498" s="79" t="s">
        <v>2624</v>
      </c>
      <c r="B498" s="79" t="s">
        <v>2625</v>
      </c>
      <c r="C498" s="79">
        <v>590640356</v>
      </c>
      <c r="D498" s="79">
        <v>0</v>
      </c>
      <c r="E498" s="79" t="s">
        <v>1124</v>
      </c>
      <c r="F498" s="79" t="s">
        <v>2539</v>
      </c>
      <c r="G498" s="79" t="s">
        <v>2581</v>
      </c>
      <c r="H498" s="79"/>
      <c r="I498" s="79"/>
    </row>
    <row r="499" spans="1:9" ht="15">
      <c r="A499" s="79" t="s">
        <v>2626</v>
      </c>
      <c r="B499" s="79" t="s">
        <v>2627</v>
      </c>
      <c r="C499" s="79">
        <v>590682956</v>
      </c>
      <c r="D499" s="79">
        <v>0</v>
      </c>
      <c r="E499" s="79" t="s">
        <v>1124</v>
      </c>
      <c r="F499" s="79" t="s">
        <v>2539</v>
      </c>
      <c r="G499" s="79" t="s">
        <v>1130</v>
      </c>
      <c r="H499" s="79"/>
      <c r="I499" s="79"/>
    </row>
    <row r="500" spans="1:9" ht="15">
      <c r="A500" s="79" t="s">
        <v>2626</v>
      </c>
      <c r="B500" s="79" t="s">
        <v>2627</v>
      </c>
      <c r="C500" s="79">
        <v>590682956</v>
      </c>
      <c r="D500" s="79">
        <v>0</v>
      </c>
      <c r="E500" s="79" t="s">
        <v>1124</v>
      </c>
      <c r="F500" s="79" t="s">
        <v>2539</v>
      </c>
      <c r="G500" s="79" t="s">
        <v>1131</v>
      </c>
      <c r="H500" s="79" t="s">
        <v>1132</v>
      </c>
      <c r="I500" s="79"/>
    </row>
    <row r="501" spans="1:9" ht="15">
      <c r="A501" s="79" t="s">
        <v>2626</v>
      </c>
      <c r="B501" s="79" t="s">
        <v>2627</v>
      </c>
      <c r="C501" s="79">
        <v>590682956</v>
      </c>
      <c r="D501" s="79">
        <v>0</v>
      </c>
      <c r="E501" s="79" t="s">
        <v>1124</v>
      </c>
      <c r="F501" s="79" t="s">
        <v>2539</v>
      </c>
      <c r="G501" s="79" t="s">
        <v>2578</v>
      </c>
      <c r="H501" s="79"/>
      <c r="I501" s="79"/>
    </row>
    <row r="502" spans="1:9" ht="15">
      <c r="A502" s="79" t="s">
        <v>2628</v>
      </c>
      <c r="B502" s="79" t="s">
        <v>2629</v>
      </c>
      <c r="C502" s="79">
        <v>590683556</v>
      </c>
      <c r="D502" s="79">
        <v>0</v>
      </c>
      <c r="E502" s="79" t="s">
        <v>1124</v>
      </c>
      <c r="F502" s="79" t="s">
        <v>2539</v>
      </c>
      <c r="G502" s="79" t="s">
        <v>2546</v>
      </c>
      <c r="H502" s="79" t="s">
        <v>2547</v>
      </c>
      <c r="I502" s="79"/>
    </row>
    <row r="503" spans="1:9" ht="15">
      <c r="A503" s="79" t="s">
        <v>2628</v>
      </c>
      <c r="B503" s="79" t="s">
        <v>2629</v>
      </c>
      <c r="C503" s="79">
        <v>590683556</v>
      </c>
      <c r="D503" s="79">
        <v>0</v>
      </c>
      <c r="E503" s="79" t="s">
        <v>1124</v>
      </c>
      <c r="F503" s="79" t="s">
        <v>2539</v>
      </c>
      <c r="G503" s="79" t="s">
        <v>2581</v>
      </c>
      <c r="H503" s="79"/>
      <c r="I503" s="79"/>
    </row>
    <row r="504" spans="1:9" ht="15">
      <c r="A504" s="79" t="s">
        <v>2630</v>
      </c>
      <c r="B504" s="79" t="s">
        <v>2631</v>
      </c>
      <c r="C504" s="79">
        <v>590726156</v>
      </c>
      <c r="D504" s="79">
        <v>0</v>
      </c>
      <c r="E504" s="79" t="s">
        <v>1124</v>
      </c>
      <c r="F504" s="79" t="s">
        <v>2539</v>
      </c>
      <c r="G504" s="79" t="s">
        <v>1130</v>
      </c>
      <c r="H504" s="79"/>
      <c r="I504" s="79"/>
    </row>
    <row r="505" spans="1:9" ht="15">
      <c r="A505" s="79" t="s">
        <v>2630</v>
      </c>
      <c r="B505" s="79" t="s">
        <v>2631</v>
      </c>
      <c r="C505" s="79">
        <v>590726156</v>
      </c>
      <c r="D505" s="79">
        <v>0</v>
      </c>
      <c r="E505" s="79" t="s">
        <v>1124</v>
      </c>
      <c r="F505" s="79" t="s">
        <v>2539</v>
      </c>
      <c r="G505" s="79" t="s">
        <v>1131</v>
      </c>
      <c r="H505" s="79" t="s">
        <v>1132</v>
      </c>
      <c r="I505" s="79"/>
    </row>
    <row r="506" spans="1:9" ht="15">
      <c r="A506" s="79" t="s">
        <v>2630</v>
      </c>
      <c r="B506" s="79" t="s">
        <v>2631</v>
      </c>
      <c r="C506" s="79">
        <v>590726156</v>
      </c>
      <c r="D506" s="79">
        <v>0</v>
      </c>
      <c r="E506" s="79" t="s">
        <v>1124</v>
      </c>
      <c r="F506" s="79" t="s">
        <v>2539</v>
      </c>
      <c r="G506" s="79" t="s">
        <v>2578</v>
      </c>
      <c r="H506" s="79"/>
      <c r="I506" s="79"/>
    </row>
    <row r="507" spans="1:9" ht="15">
      <c r="A507" s="79" t="s">
        <v>2632</v>
      </c>
      <c r="B507" s="79" t="s">
        <v>2633</v>
      </c>
      <c r="C507" s="79">
        <v>590726756</v>
      </c>
      <c r="D507" s="79">
        <v>0</v>
      </c>
      <c r="E507" s="79" t="s">
        <v>1124</v>
      </c>
      <c r="F507" s="79" t="s">
        <v>2539</v>
      </c>
      <c r="G507" s="79" t="s">
        <v>2546</v>
      </c>
      <c r="H507" s="79" t="s">
        <v>2547</v>
      </c>
      <c r="I507" s="79"/>
    </row>
    <row r="508" spans="1:9" ht="15">
      <c r="A508" s="79" t="s">
        <v>2632</v>
      </c>
      <c r="B508" s="79" t="s">
        <v>2633</v>
      </c>
      <c r="C508" s="79">
        <v>590726756</v>
      </c>
      <c r="D508" s="79">
        <v>0</v>
      </c>
      <c r="E508" s="79" t="s">
        <v>1124</v>
      </c>
      <c r="F508" s="79" t="s">
        <v>2539</v>
      </c>
      <c r="G508" s="79" t="s">
        <v>2581</v>
      </c>
      <c r="H508" s="79"/>
      <c r="I508" s="79"/>
    </row>
    <row r="509" spans="1:9" ht="15">
      <c r="A509" s="79" t="s">
        <v>2634</v>
      </c>
      <c r="B509" s="79" t="s">
        <v>2635</v>
      </c>
      <c r="C509" s="79">
        <v>590769356</v>
      </c>
      <c r="D509" s="79">
        <v>0</v>
      </c>
      <c r="E509" s="79" t="s">
        <v>1124</v>
      </c>
      <c r="F509" s="79" t="s">
        <v>2539</v>
      </c>
      <c r="G509" s="79" t="s">
        <v>1130</v>
      </c>
      <c r="H509" s="79"/>
      <c r="I509" s="79"/>
    </row>
    <row r="510" spans="1:9" ht="15">
      <c r="A510" s="79" t="s">
        <v>2634</v>
      </c>
      <c r="B510" s="79" t="s">
        <v>2635</v>
      </c>
      <c r="C510" s="79">
        <v>590769356</v>
      </c>
      <c r="D510" s="79">
        <v>0</v>
      </c>
      <c r="E510" s="79" t="s">
        <v>1124</v>
      </c>
      <c r="F510" s="79" t="s">
        <v>2539</v>
      </c>
      <c r="G510" s="79" t="s">
        <v>1131</v>
      </c>
      <c r="H510" s="79" t="s">
        <v>1132</v>
      </c>
      <c r="I510" s="79"/>
    </row>
    <row r="511" spans="1:9" ht="15">
      <c r="A511" s="79" t="s">
        <v>2634</v>
      </c>
      <c r="B511" s="79" t="s">
        <v>2635</v>
      </c>
      <c r="C511" s="79">
        <v>590769356</v>
      </c>
      <c r="D511" s="79">
        <v>0</v>
      </c>
      <c r="E511" s="79" t="s">
        <v>1124</v>
      </c>
      <c r="F511" s="79" t="s">
        <v>2539</v>
      </c>
      <c r="G511" s="79" t="s">
        <v>2578</v>
      </c>
      <c r="H511" s="79"/>
      <c r="I511" s="79"/>
    </row>
    <row r="512" spans="1:9" ht="15">
      <c r="A512" s="79" t="s">
        <v>2636</v>
      </c>
      <c r="B512" s="79" t="s">
        <v>2637</v>
      </c>
      <c r="C512" s="79">
        <v>590769956</v>
      </c>
      <c r="D512" s="79">
        <v>0</v>
      </c>
      <c r="E512" s="79" t="s">
        <v>1124</v>
      </c>
      <c r="F512" s="79" t="s">
        <v>2539</v>
      </c>
      <c r="G512" s="79" t="s">
        <v>2546</v>
      </c>
      <c r="H512" s="79" t="s">
        <v>2547</v>
      </c>
      <c r="I512" s="79"/>
    </row>
    <row r="513" spans="1:9" ht="15">
      <c r="A513" s="79" t="s">
        <v>2636</v>
      </c>
      <c r="B513" s="79" t="s">
        <v>2637</v>
      </c>
      <c r="C513" s="79">
        <v>590769956</v>
      </c>
      <c r="D513" s="79">
        <v>0</v>
      </c>
      <c r="E513" s="79" t="s">
        <v>1124</v>
      </c>
      <c r="F513" s="79" t="s">
        <v>2539</v>
      </c>
      <c r="G513" s="79" t="s">
        <v>2581</v>
      </c>
      <c r="H513" s="79"/>
      <c r="I513" s="79"/>
    </row>
    <row r="514" spans="1:9" ht="15">
      <c r="A514" s="79" t="s">
        <v>2638</v>
      </c>
      <c r="B514" s="79" t="s">
        <v>2639</v>
      </c>
      <c r="C514" s="79">
        <v>590812556</v>
      </c>
      <c r="D514" s="79">
        <v>0</v>
      </c>
      <c r="E514" s="79" t="s">
        <v>1124</v>
      </c>
      <c r="F514" s="79" t="s">
        <v>2539</v>
      </c>
      <c r="G514" s="79" t="s">
        <v>1130</v>
      </c>
      <c r="H514" s="79"/>
      <c r="I514" s="79"/>
    </row>
    <row r="515" spans="1:9" ht="15">
      <c r="A515" s="79" t="s">
        <v>2638</v>
      </c>
      <c r="B515" s="79" t="s">
        <v>2639</v>
      </c>
      <c r="C515" s="79">
        <v>590812556</v>
      </c>
      <c r="D515" s="79">
        <v>0</v>
      </c>
      <c r="E515" s="79" t="s">
        <v>1124</v>
      </c>
      <c r="F515" s="79" t="s">
        <v>2539</v>
      </c>
      <c r="G515" s="79" t="s">
        <v>1131</v>
      </c>
      <c r="H515" s="79" t="s">
        <v>1132</v>
      </c>
      <c r="I515" s="79"/>
    </row>
    <row r="516" spans="1:9" ht="15">
      <c r="A516" s="79" t="s">
        <v>2638</v>
      </c>
      <c r="B516" s="79" t="s">
        <v>2639</v>
      </c>
      <c r="C516" s="79">
        <v>590812556</v>
      </c>
      <c r="D516" s="79">
        <v>0</v>
      </c>
      <c r="E516" s="79" t="s">
        <v>1124</v>
      </c>
      <c r="F516" s="79" t="s">
        <v>2539</v>
      </c>
      <c r="G516" s="79" t="s">
        <v>2578</v>
      </c>
      <c r="H516" s="79"/>
      <c r="I516" s="79"/>
    </row>
    <row r="517" spans="1:9" ht="15">
      <c r="A517" s="79" t="s">
        <v>2640</v>
      </c>
      <c r="B517" s="79" t="s">
        <v>2641</v>
      </c>
      <c r="C517" s="79">
        <v>590813156</v>
      </c>
      <c r="D517" s="79">
        <v>0</v>
      </c>
      <c r="E517" s="79" t="s">
        <v>1124</v>
      </c>
      <c r="F517" s="79" t="s">
        <v>2539</v>
      </c>
      <c r="G517" s="79" t="s">
        <v>2546</v>
      </c>
      <c r="H517" s="79" t="s">
        <v>2547</v>
      </c>
      <c r="I517" s="79"/>
    </row>
    <row r="518" spans="1:9" ht="15">
      <c r="A518" s="79" t="s">
        <v>2640</v>
      </c>
      <c r="B518" s="79" t="s">
        <v>2641</v>
      </c>
      <c r="C518" s="79">
        <v>590813156</v>
      </c>
      <c r="D518" s="79">
        <v>0</v>
      </c>
      <c r="E518" s="79" t="s">
        <v>1124</v>
      </c>
      <c r="F518" s="79" t="s">
        <v>2539</v>
      </c>
      <c r="G518" s="79" t="s">
        <v>2581</v>
      </c>
      <c r="H518" s="79"/>
      <c r="I518" s="79"/>
    </row>
    <row r="519" spans="1:9" ht="15">
      <c r="A519" s="79" t="s">
        <v>2642</v>
      </c>
      <c r="B519" s="79" t="s">
        <v>2643</v>
      </c>
      <c r="C519" s="79">
        <v>590855756</v>
      </c>
      <c r="D519" s="79">
        <v>0</v>
      </c>
      <c r="E519" s="79" t="s">
        <v>1124</v>
      </c>
      <c r="F519" s="79" t="s">
        <v>2539</v>
      </c>
      <c r="G519" s="79" t="s">
        <v>1130</v>
      </c>
      <c r="H519" s="79"/>
      <c r="I519" s="79"/>
    </row>
    <row r="520" spans="1:9" ht="15">
      <c r="A520" s="79" t="s">
        <v>2642</v>
      </c>
      <c r="B520" s="79" t="s">
        <v>2643</v>
      </c>
      <c r="C520" s="79">
        <v>590855756</v>
      </c>
      <c r="D520" s="79">
        <v>0</v>
      </c>
      <c r="E520" s="79" t="s">
        <v>1124</v>
      </c>
      <c r="F520" s="79" t="s">
        <v>2539</v>
      </c>
      <c r="G520" s="79" t="s">
        <v>1131</v>
      </c>
      <c r="H520" s="79" t="s">
        <v>1132</v>
      </c>
      <c r="I520" s="79"/>
    </row>
    <row r="521" spans="1:9" ht="15">
      <c r="A521" s="79" t="s">
        <v>2642</v>
      </c>
      <c r="B521" s="79" t="s">
        <v>2643</v>
      </c>
      <c r="C521" s="79">
        <v>590855756</v>
      </c>
      <c r="D521" s="79">
        <v>0</v>
      </c>
      <c r="E521" s="79" t="s">
        <v>1124</v>
      </c>
      <c r="F521" s="79" t="s">
        <v>2539</v>
      </c>
      <c r="G521" s="79" t="s">
        <v>2578</v>
      </c>
      <c r="H521" s="79"/>
      <c r="I521" s="79"/>
    </row>
    <row r="522" spans="1:9" ht="15">
      <c r="A522" s="79" t="s">
        <v>2644</v>
      </c>
      <c r="B522" s="79" t="s">
        <v>2645</v>
      </c>
      <c r="C522" s="79">
        <v>590856356</v>
      </c>
      <c r="D522" s="79">
        <v>0</v>
      </c>
      <c r="E522" s="79" t="s">
        <v>1124</v>
      </c>
      <c r="F522" s="79" t="s">
        <v>2539</v>
      </c>
      <c r="G522" s="79" t="s">
        <v>2546</v>
      </c>
      <c r="H522" s="79" t="s">
        <v>2547</v>
      </c>
      <c r="I522" s="79"/>
    </row>
    <row r="523" spans="1:9" ht="15">
      <c r="A523" s="79" t="s">
        <v>2644</v>
      </c>
      <c r="B523" s="79" t="s">
        <v>2645</v>
      </c>
      <c r="C523" s="79">
        <v>590856356</v>
      </c>
      <c r="D523" s="79">
        <v>0</v>
      </c>
      <c r="E523" s="79" t="s">
        <v>1124</v>
      </c>
      <c r="F523" s="79" t="s">
        <v>2539</v>
      </c>
      <c r="G523" s="79" t="s">
        <v>2581</v>
      </c>
      <c r="H523" s="79"/>
      <c r="I523" s="79"/>
    </row>
    <row r="524" spans="1:9" ht="15">
      <c r="A524" s="79" t="s">
        <v>2646</v>
      </c>
      <c r="B524" s="79" t="s">
        <v>2647</v>
      </c>
      <c r="C524" s="79">
        <v>590898956</v>
      </c>
      <c r="D524" s="79">
        <v>0</v>
      </c>
      <c r="E524" s="79" t="s">
        <v>1124</v>
      </c>
      <c r="F524" s="79" t="s">
        <v>2539</v>
      </c>
      <c r="G524" s="79" t="s">
        <v>1130</v>
      </c>
      <c r="H524" s="79"/>
      <c r="I524" s="79"/>
    </row>
    <row r="525" spans="1:9" ht="15">
      <c r="A525" s="79" t="s">
        <v>2646</v>
      </c>
      <c r="B525" s="79" t="s">
        <v>2647</v>
      </c>
      <c r="C525" s="79">
        <v>590898956</v>
      </c>
      <c r="D525" s="79">
        <v>0</v>
      </c>
      <c r="E525" s="79" t="s">
        <v>1124</v>
      </c>
      <c r="F525" s="79" t="s">
        <v>2539</v>
      </c>
      <c r="G525" s="79" t="s">
        <v>1131</v>
      </c>
      <c r="H525" s="79" t="s">
        <v>1132</v>
      </c>
      <c r="I525" s="79"/>
    </row>
    <row r="526" spans="1:9" ht="15">
      <c r="A526" s="79" t="s">
        <v>2646</v>
      </c>
      <c r="B526" s="79" t="s">
        <v>2647</v>
      </c>
      <c r="C526" s="79">
        <v>590898956</v>
      </c>
      <c r="D526" s="79">
        <v>0</v>
      </c>
      <c r="E526" s="79" t="s">
        <v>1124</v>
      </c>
      <c r="F526" s="79" t="s">
        <v>2539</v>
      </c>
      <c r="G526" s="79" t="s">
        <v>2578</v>
      </c>
      <c r="H526" s="79"/>
      <c r="I526" s="79"/>
    </row>
    <row r="527" spans="1:9" ht="15">
      <c r="A527" s="79" t="s">
        <v>2648</v>
      </c>
      <c r="B527" s="79" t="s">
        <v>2649</v>
      </c>
      <c r="C527" s="79">
        <v>590899556</v>
      </c>
      <c r="D527" s="79">
        <v>0</v>
      </c>
      <c r="E527" s="79" t="s">
        <v>1124</v>
      </c>
      <c r="F527" s="79" t="s">
        <v>2539</v>
      </c>
      <c r="G527" s="79" t="s">
        <v>2546</v>
      </c>
      <c r="H527" s="79" t="s">
        <v>2547</v>
      </c>
      <c r="I527" s="79"/>
    </row>
    <row r="528" spans="1:9" ht="15">
      <c r="A528" s="79" t="s">
        <v>2648</v>
      </c>
      <c r="B528" s="79" t="s">
        <v>2649</v>
      </c>
      <c r="C528" s="79">
        <v>590899556</v>
      </c>
      <c r="D528" s="79">
        <v>0</v>
      </c>
      <c r="E528" s="79" t="s">
        <v>1124</v>
      </c>
      <c r="F528" s="79" t="s">
        <v>2539</v>
      </c>
      <c r="G528" s="79" t="s">
        <v>2581</v>
      </c>
      <c r="H528" s="79"/>
      <c r="I528" s="79"/>
    </row>
    <row r="529" spans="1:9" ht="15">
      <c r="A529" s="79" t="s">
        <v>2650</v>
      </c>
      <c r="B529" s="79" t="s">
        <v>2651</v>
      </c>
      <c r="C529" s="79">
        <v>590942156</v>
      </c>
      <c r="D529" s="79">
        <v>0</v>
      </c>
      <c r="E529" s="79" t="s">
        <v>1124</v>
      </c>
      <c r="F529" s="79" t="s">
        <v>2539</v>
      </c>
      <c r="G529" s="79" t="s">
        <v>1130</v>
      </c>
      <c r="H529" s="79"/>
      <c r="I529" s="79"/>
    </row>
    <row r="530" spans="1:9" ht="15">
      <c r="A530" s="79" t="s">
        <v>2650</v>
      </c>
      <c r="B530" s="79" t="s">
        <v>2651</v>
      </c>
      <c r="C530" s="79">
        <v>590942156</v>
      </c>
      <c r="D530" s="79">
        <v>0</v>
      </c>
      <c r="E530" s="79" t="s">
        <v>1124</v>
      </c>
      <c r="F530" s="79" t="s">
        <v>2539</v>
      </c>
      <c r="G530" s="79" t="s">
        <v>1131</v>
      </c>
      <c r="H530" s="79" t="s">
        <v>1132</v>
      </c>
      <c r="I530" s="79"/>
    </row>
    <row r="531" spans="1:9" ht="15">
      <c r="A531" s="79" t="s">
        <v>2650</v>
      </c>
      <c r="B531" s="79" t="s">
        <v>2651</v>
      </c>
      <c r="C531" s="79">
        <v>590942156</v>
      </c>
      <c r="D531" s="79">
        <v>0</v>
      </c>
      <c r="E531" s="79" t="s">
        <v>1124</v>
      </c>
      <c r="F531" s="79" t="s">
        <v>2539</v>
      </c>
      <c r="G531" s="79" t="s">
        <v>2578</v>
      </c>
      <c r="H531" s="79"/>
      <c r="I531" s="79"/>
    </row>
    <row r="532" spans="1:9" ht="15">
      <c r="A532" s="79" t="s">
        <v>2652</v>
      </c>
      <c r="B532" s="79" t="s">
        <v>2653</v>
      </c>
      <c r="C532" s="79">
        <v>590942756</v>
      </c>
      <c r="D532" s="79">
        <v>0</v>
      </c>
      <c r="E532" s="79" t="s">
        <v>1124</v>
      </c>
      <c r="F532" s="79" t="s">
        <v>2539</v>
      </c>
      <c r="G532" s="79" t="s">
        <v>2546</v>
      </c>
      <c r="H532" s="79" t="s">
        <v>2547</v>
      </c>
      <c r="I532" s="79"/>
    </row>
    <row r="533" spans="1:9" ht="15">
      <c r="A533" s="79" t="s">
        <v>2652</v>
      </c>
      <c r="B533" s="79" t="s">
        <v>2653</v>
      </c>
      <c r="C533" s="79">
        <v>590942756</v>
      </c>
      <c r="D533" s="79">
        <v>0</v>
      </c>
      <c r="E533" s="79" t="s">
        <v>1124</v>
      </c>
      <c r="F533" s="79" t="s">
        <v>2539</v>
      </c>
      <c r="G533" s="79" t="s">
        <v>2581</v>
      </c>
      <c r="H533" s="79"/>
      <c r="I533" s="79"/>
    </row>
    <row r="534" spans="1:9" ht="15">
      <c r="A534" s="79" t="s">
        <v>2654</v>
      </c>
      <c r="B534" s="79" t="s">
        <v>2655</v>
      </c>
      <c r="C534" s="79">
        <v>590985356</v>
      </c>
      <c r="D534" s="79">
        <v>0</v>
      </c>
      <c r="E534" s="79" t="s">
        <v>1124</v>
      </c>
      <c r="F534" s="79" t="s">
        <v>2539</v>
      </c>
      <c r="G534" s="79" t="s">
        <v>1130</v>
      </c>
      <c r="H534" s="79"/>
      <c r="I534" s="79"/>
    </row>
    <row r="535" spans="1:9" ht="15">
      <c r="A535" s="79" t="s">
        <v>2654</v>
      </c>
      <c r="B535" s="79" t="s">
        <v>2655</v>
      </c>
      <c r="C535" s="79">
        <v>590985356</v>
      </c>
      <c r="D535" s="79">
        <v>0</v>
      </c>
      <c r="E535" s="79" t="s">
        <v>1124</v>
      </c>
      <c r="F535" s="79" t="s">
        <v>2539</v>
      </c>
      <c r="G535" s="79" t="s">
        <v>1131</v>
      </c>
      <c r="H535" s="79" t="s">
        <v>1132</v>
      </c>
      <c r="I535" s="79"/>
    </row>
    <row r="536" spans="1:9" ht="15">
      <c r="A536" s="79" t="s">
        <v>2654</v>
      </c>
      <c r="B536" s="79" t="s">
        <v>2655</v>
      </c>
      <c r="C536" s="79">
        <v>590985356</v>
      </c>
      <c r="D536" s="79">
        <v>0</v>
      </c>
      <c r="E536" s="79" t="s">
        <v>1124</v>
      </c>
      <c r="F536" s="79" t="s">
        <v>2539</v>
      </c>
      <c r="G536" s="79" t="s">
        <v>2578</v>
      </c>
      <c r="H536" s="79"/>
      <c r="I536" s="79"/>
    </row>
    <row r="537" spans="1:9" ht="15">
      <c r="A537" s="79" t="s">
        <v>2656</v>
      </c>
      <c r="B537" s="79" t="s">
        <v>2657</v>
      </c>
      <c r="C537" s="79">
        <v>590985956</v>
      </c>
      <c r="D537" s="79">
        <v>0</v>
      </c>
      <c r="E537" s="79" t="s">
        <v>1124</v>
      </c>
      <c r="F537" s="79" t="s">
        <v>2539</v>
      </c>
      <c r="G537" s="79" t="s">
        <v>2546</v>
      </c>
      <c r="H537" s="79" t="s">
        <v>2547</v>
      </c>
      <c r="I537" s="79"/>
    </row>
    <row r="538" spans="1:9" ht="15">
      <c r="A538" s="79" t="s">
        <v>2656</v>
      </c>
      <c r="B538" s="79" t="s">
        <v>2657</v>
      </c>
      <c r="C538" s="79">
        <v>590985956</v>
      </c>
      <c r="D538" s="79">
        <v>0</v>
      </c>
      <c r="E538" s="79" t="s">
        <v>1124</v>
      </c>
      <c r="F538" s="79" t="s">
        <v>2539</v>
      </c>
      <c r="G538" s="79" t="s">
        <v>2581</v>
      </c>
      <c r="H538" s="79"/>
      <c r="I538" s="79"/>
    </row>
    <row r="539" spans="1:9" ht="15">
      <c r="A539" s="79" t="s">
        <v>2658</v>
      </c>
      <c r="B539" s="79" t="s">
        <v>2659</v>
      </c>
      <c r="C539" s="79">
        <v>591028556</v>
      </c>
      <c r="D539" s="79">
        <v>0</v>
      </c>
      <c r="E539" s="79" t="s">
        <v>1124</v>
      </c>
      <c r="F539" s="79" t="s">
        <v>2539</v>
      </c>
      <c r="G539" s="79" t="s">
        <v>1130</v>
      </c>
      <c r="H539" s="79"/>
      <c r="I539" s="79"/>
    </row>
    <row r="540" spans="1:9" ht="15">
      <c r="A540" s="79" t="s">
        <v>2658</v>
      </c>
      <c r="B540" s="79" t="s">
        <v>2659</v>
      </c>
      <c r="C540" s="79">
        <v>591028556</v>
      </c>
      <c r="D540" s="79">
        <v>0</v>
      </c>
      <c r="E540" s="79" t="s">
        <v>1124</v>
      </c>
      <c r="F540" s="79" t="s">
        <v>2539</v>
      </c>
      <c r="G540" s="79" t="s">
        <v>1131</v>
      </c>
      <c r="H540" s="79" t="s">
        <v>1132</v>
      </c>
      <c r="I540" s="79"/>
    </row>
    <row r="541" spans="1:9" ht="15">
      <c r="A541" s="79" t="s">
        <v>2658</v>
      </c>
      <c r="B541" s="79" t="s">
        <v>2659</v>
      </c>
      <c r="C541" s="79">
        <v>591028556</v>
      </c>
      <c r="D541" s="79">
        <v>0</v>
      </c>
      <c r="E541" s="79" t="s">
        <v>1124</v>
      </c>
      <c r="F541" s="79" t="s">
        <v>2539</v>
      </c>
      <c r="G541" s="79" t="s">
        <v>2578</v>
      </c>
      <c r="H541" s="79"/>
      <c r="I541" s="79"/>
    </row>
    <row r="542" spans="1:9" ht="15">
      <c r="A542" s="79" t="s">
        <v>2660</v>
      </c>
      <c r="B542" s="79" t="s">
        <v>2661</v>
      </c>
      <c r="C542" s="79">
        <v>591029156</v>
      </c>
      <c r="D542" s="79">
        <v>0</v>
      </c>
      <c r="E542" s="79" t="s">
        <v>1124</v>
      </c>
      <c r="F542" s="79" t="s">
        <v>2539</v>
      </c>
      <c r="G542" s="79" t="s">
        <v>2546</v>
      </c>
      <c r="H542" s="79" t="s">
        <v>2547</v>
      </c>
      <c r="I542" s="79"/>
    </row>
    <row r="543" spans="1:9" ht="15">
      <c r="A543" s="79" t="s">
        <v>2660</v>
      </c>
      <c r="B543" s="79" t="s">
        <v>2661</v>
      </c>
      <c r="C543" s="79">
        <v>591029156</v>
      </c>
      <c r="D543" s="79">
        <v>0</v>
      </c>
      <c r="E543" s="79" t="s">
        <v>1124</v>
      </c>
      <c r="F543" s="79" t="s">
        <v>2539</v>
      </c>
      <c r="G543" s="79" t="s">
        <v>2581</v>
      </c>
      <c r="H543" s="79"/>
      <c r="I543" s="79"/>
    </row>
    <row r="544" spans="1:9" ht="15">
      <c r="A544" s="79" t="s">
        <v>2662</v>
      </c>
      <c r="B544" s="79" t="s">
        <v>2663</v>
      </c>
      <c r="C544" s="79">
        <v>591071756</v>
      </c>
      <c r="D544" s="79">
        <v>0</v>
      </c>
      <c r="E544" s="79" t="s">
        <v>1124</v>
      </c>
      <c r="F544" s="79" t="s">
        <v>2539</v>
      </c>
      <c r="G544" s="79" t="s">
        <v>1130</v>
      </c>
      <c r="H544" s="79"/>
      <c r="I544" s="79"/>
    </row>
    <row r="545" spans="1:9" ht="15">
      <c r="A545" s="79" t="s">
        <v>2662</v>
      </c>
      <c r="B545" s="79" t="s">
        <v>2663</v>
      </c>
      <c r="C545" s="79">
        <v>591071756</v>
      </c>
      <c r="D545" s="79">
        <v>0</v>
      </c>
      <c r="E545" s="79" t="s">
        <v>1124</v>
      </c>
      <c r="F545" s="79" t="s">
        <v>2539</v>
      </c>
      <c r="G545" s="79" t="s">
        <v>1131</v>
      </c>
      <c r="H545" s="79" t="s">
        <v>1132</v>
      </c>
      <c r="I545" s="79"/>
    </row>
    <row r="546" spans="1:9" ht="15">
      <c r="A546" s="79" t="s">
        <v>2662</v>
      </c>
      <c r="B546" s="79" t="s">
        <v>2663</v>
      </c>
      <c r="C546" s="79">
        <v>591071756</v>
      </c>
      <c r="D546" s="79">
        <v>0</v>
      </c>
      <c r="E546" s="79" t="s">
        <v>1124</v>
      </c>
      <c r="F546" s="79" t="s">
        <v>2539</v>
      </c>
      <c r="G546" s="79" t="s">
        <v>2578</v>
      </c>
      <c r="H546" s="79"/>
      <c r="I546" s="79"/>
    </row>
    <row r="547" spans="1:9" ht="15">
      <c r="A547" s="79" t="s">
        <v>2664</v>
      </c>
      <c r="B547" s="79" t="s">
        <v>2665</v>
      </c>
      <c r="C547" s="79">
        <v>591072356</v>
      </c>
      <c r="D547" s="79">
        <v>0</v>
      </c>
      <c r="E547" s="79" t="s">
        <v>1124</v>
      </c>
      <c r="F547" s="79" t="s">
        <v>2539</v>
      </c>
      <c r="G547" s="79" t="s">
        <v>2546</v>
      </c>
      <c r="H547" s="79" t="s">
        <v>2547</v>
      </c>
      <c r="I547" s="79"/>
    </row>
    <row r="548" spans="1:9" ht="15">
      <c r="A548" s="79" t="s">
        <v>2664</v>
      </c>
      <c r="B548" s="79" t="s">
        <v>2665</v>
      </c>
      <c r="C548" s="79">
        <v>591072356</v>
      </c>
      <c r="D548" s="79">
        <v>0</v>
      </c>
      <c r="E548" s="79" t="s">
        <v>1124</v>
      </c>
      <c r="F548" s="79" t="s">
        <v>2539</v>
      </c>
      <c r="G548" s="79" t="s">
        <v>2581</v>
      </c>
      <c r="H548" s="79"/>
      <c r="I548" s="79"/>
    </row>
    <row r="549" spans="1:9" ht="15">
      <c r="A549" s="79" t="s">
        <v>2666</v>
      </c>
      <c r="B549" s="79" t="s">
        <v>2667</v>
      </c>
      <c r="C549" s="79">
        <v>591114956</v>
      </c>
      <c r="D549" s="79">
        <v>0</v>
      </c>
      <c r="E549" s="79" t="s">
        <v>1124</v>
      </c>
      <c r="F549" s="79" t="s">
        <v>2539</v>
      </c>
      <c r="G549" s="79" t="s">
        <v>1130</v>
      </c>
      <c r="H549" s="79"/>
      <c r="I549" s="79"/>
    </row>
    <row r="550" spans="1:9" ht="15">
      <c r="A550" s="79" t="s">
        <v>2666</v>
      </c>
      <c r="B550" s="79" t="s">
        <v>2667</v>
      </c>
      <c r="C550" s="79">
        <v>591114956</v>
      </c>
      <c r="D550" s="79">
        <v>0</v>
      </c>
      <c r="E550" s="79" t="s">
        <v>1124</v>
      </c>
      <c r="F550" s="79" t="s">
        <v>2539</v>
      </c>
      <c r="G550" s="79" t="s">
        <v>1131</v>
      </c>
      <c r="H550" s="79" t="s">
        <v>1132</v>
      </c>
      <c r="I550" s="79"/>
    </row>
    <row r="551" spans="1:9" ht="15">
      <c r="A551" s="79" t="s">
        <v>2666</v>
      </c>
      <c r="B551" s="79" t="s">
        <v>2667</v>
      </c>
      <c r="C551" s="79">
        <v>591114956</v>
      </c>
      <c r="D551" s="79">
        <v>0</v>
      </c>
      <c r="E551" s="79" t="s">
        <v>1124</v>
      </c>
      <c r="F551" s="79" t="s">
        <v>2539</v>
      </c>
      <c r="G551" s="79" t="s">
        <v>2578</v>
      </c>
      <c r="H551" s="79"/>
      <c r="I551" s="79"/>
    </row>
    <row r="552" spans="1:9" ht="15">
      <c r="A552" s="79" t="s">
        <v>2668</v>
      </c>
      <c r="B552" s="79" t="s">
        <v>2669</v>
      </c>
      <c r="C552" s="79">
        <v>591115556</v>
      </c>
      <c r="D552" s="79">
        <v>0</v>
      </c>
      <c r="E552" s="79" t="s">
        <v>1124</v>
      </c>
      <c r="F552" s="79" t="s">
        <v>2539</v>
      </c>
      <c r="G552" s="79" t="s">
        <v>2546</v>
      </c>
      <c r="H552" s="79" t="s">
        <v>2547</v>
      </c>
      <c r="I552" s="79"/>
    </row>
    <row r="553" spans="1:9" ht="15">
      <c r="A553" s="79" t="s">
        <v>2668</v>
      </c>
      <c r="B553" s="79" t="s">
        <v>2669</v>
      </c>
      <c r="C553" s="79">
        <v>591115556</v>
      </c>
      <c r="D553" s="79">
        <v>0</v>
      </c>
      <c r="E553" s="79" t="s">
        <v>1124</v>
      </c>
      <c r="F553" s="79" t="s">
        <v>2539</v>
      </c>
      <c r="G553" s="79" t="s">
        <v>2581</v>
      </c>
      <c r="H553" s="79"/>
      <c r="I553" s="79"/>
    </row>
    <row r="554" spans="1:9" ht="15">
      <c r="A554" s="79" t="s">
        <v>2670</v>
      </c>
      <c r="B554" s="79" t="s">
        <v>2671</v>
      </c>
      <c r="C554" s="79">
        <v>591158156</v>
      </c>
      <c r="D554" s="79">
        <v>0</v>
      </c>
      <c r="E554" s="79" t="s">
        <v>1124</v>
      </c>
      <c r="F554" s="79" t="s">
        <v>2539</v>
      </c>
      <c r="G554" s="79" t="s">
        <v>1130</v>
      </c>
      <c r="H554" s="79"/>
      <c r="I554" s="79"/>
    </row>
    <row r="555" spans="1:9" ht="15">
      <c r="A555" s="79" t="s">
        <v>2670</v>
      </c>
      <c r="B555" s="79" t="s">
        <v>2671</v>
      </c>
      <c r="C555" s="79">
        <v>591158156</v>
      </c>
      <c r="D555" s="79">
        <v>0</v>
      </c>
      <c r="E555" s="79" t="s">
        <v>1124</v>
      </c>
      <c r="F555" s="79" t="s">
        <v>2539</v>
      </c>
      <c r="G555" s="79" t="s">
        <v>1131</v>
      </c>
      <c r="H555" s="79" t="s">
        <v>1132</v>
      </c>
      <c r="I555" s="79"/>
    </row>
    <row r="556" spans="1:9" ht="15">
      <c r="A556" s="79" t="s">
        <v>2670</v>
      </c>
      <c r="B556" s="79" t="s">
        <v>2671</v>
      </c>
      <c r="C556" s="79">
        <v>591158156</v>
      </c>
      <c r="D556" s="79">
        <v>0</v>
      </c>
      <c r="E556" s="79" t="s">
        <v>1124</v>
      </c>
      <c r="F556" s="79" t="s">
        <v>2539</v>
      </c>
      <c r="G556" s="79" t="s">
        <v>2578</v>
      </c>
      <c r="H556" s="79"/>
      <c r="I556" s="79"/>
    </row>
    <row r="557" spans="1:9" ht="15">
      <c r="A557" s="79" t="s">
        <v>2672</v>
      </c>
      <c r="B557" s="79" t="s">
        <v>2673</v>
      </c>
      <c r="C557" s="79">
        <v>591158756</v>
      </c>
      <c r="D557" s="79">
        <v>0</v>
      </c>
      <c r="E557" s="79" t="s">
        <v>1124</v>
      </c>
      <c r="F557" s="79" t="s">
        <v>2539</v>
      </c>
      <c r="G557" s="79" t="s">
        <v>2546</v>
      </c>
      <c r="H557" s="79" t="s">
        <v>2547</v>
      </c>
      <c r="I557" s="79"/>
    </row>
    <row r="558" spans="1:9" ht="15">
      <c r="A558" s="79" t="s">
        <v>2672</v>
      </c>
      <c r="B558" s="79" t="s">
        <v>2673</v>
      </c>
      <c r="C558" s="79">
        <v>591158756</v>
      </c>
      <c r="D558" s="79">
        <v>0</v>
      </c>
      <c r="E558" s="79" t="s">
        <v>1124</v>
      </c>
      <c r="F558" s="79" t="s">
        <v>2539</v>
      </c>
      <c r="G558" s="79" t="s">
        <v>2581</v>
      </c>
      <c r="H558" s="79"/>
      <c r="I558" s="79"/>
    </row>
    <row r="559" spans="1:9" ht="15">
      <c r="A559" s="79" t="s">
        <v>2674</v>
      </c>
      <c r="B559" s="79" t="s">
        <v>2675</v>
      </c>
      <c r="C559" s="79">
        <v>591201356</v>
      </c>
      <c r="D559" s="79">
        <v>0</v>
      </c>
      <c r="E559" s="79" t="s">
        <v>1124</v>
      </c>
      <c r="F559" s="79" t="s">
        <v>2539</v>
      </c>
      <c r="G559" s="79" t="s">
        <v>1130</v>
      </c>
      <c r="H559" s="79"/>
      <c r="I559" s="79"/>
    </row>
    <row r="560" spans="1:9" ht="15">
      <c r="A560" s="79" t="s">
        <v>2674</v>
      </c>
      <c r="B560" s="79" t="s">
        <v>2675</v>
      </c>
      <c r="C560" s="79">
        <v>591201356</v>
      </c>
      <c r="D560" s="79">
        <v>0</v>
      </c>
      <c r="E560" s="79" t="s">
        <v>1124</v>
      </c>
      <c r="F560" s="79" t="s">
        <v>2539</v>
      </c>
      <c r="G560" s="79" t="s">
        <v>1131</v>
      </c>
      <c r="H560" s="79" t="s">
        <v>1132</v>
      </c>
      <c r="I560" s="79"/>
    </row>
    <row r="561" spans="1:9" ht="15">
      <c r="A561" s="79" t="s">
        <v>2674</v>
      </c>
      <c r="B561" s="79" t="s">
        <v>2675</v>
      </c>
      <c r="C561" s="79">
        <v>591201356</v>
      </c>
      <c r="D561" s="79">
        <v>0</v>
      </c>
      <c r="E561" s="79" t="s">
        <v>1124</v>
      </c>
      <c r="F561" s="79" t="s">
        <v>2539</v>
      </c>
      <c r="G561" s="79" t="s">
        <v>2578</v>
      </c>
      <c r="H561" s="79"/>
      <c r="I561" s="79"/>
    </row>
    <row r="562" spans="1:9" ht="15">
      <c r="A562" s="79" t="s">
        <v>2676</v>
      </c>
      <c r="B562" s="79" t="s">
        <v>2677</v>
      </c>
      <c r="C562" s="79">
        <v>591201956</v>
      </c>
      <c r="D562" s="79">
        <v>0</v>
      </c>
      <c r="E562" s="79" t="s">
        <v>1124</v>
      </c>
      <c r="F562" s="79" t="s">
        <v>2539</v>
      </c>
      <c r="G562" s="79" t="s">
        <v>2546</v>
      </c>
      <c r="H562" s="79" t="s">
        <v>2547</v>
      </c>
      <c r="I562" s="79"/>
    </row>
    <row r="563" spans="1:9" ht="15">
      <c r="A563" s="79" t="s">
        <v>2676</v>
      </c>
      <c r="B563" s="79" t="s">
        <v>2677</v>
      </c>
      <c r="C563" s="79">
        <v>591201956</v>
      </c>
      <c r="D563" s="79">
        <v>0</v>
      </c>
      <c r="E563" s="79" t="s">
        <v>1124</v>
      </c>
      <c r="F563" s="79" t="s">
        <v>2539</v>
      </c>
      <c r="G563" s="79" t="s">
        <v>2581</v>
      </c>
      <c r="H563" s="79"/>
      <c r="I563" s="79"/>
    </row>
    <row r="564" spans="1:9" ht="15">
      <c r="A564" s="79" t="s">
        <v>2678</v>
      </c>
      <c r="B564" s="79" t="s">
        <v>2679</v>
      </c>
      <c r="C564" s="79">
        <v>591244556</v>
      </c>
      <c r="D564" s="79">
        <v>0</v>
      </c>
      <c r="E564" s="79" t="s">
        <v>1124</v>
      </c>
      <c r="F564" s="79" t="s">
        <v>2539</v>
      </c>
      <c r="G564" s="79" t="s">
        <v>1130</v>
      </c>
      <c r="H564" s="79"/>
      <c r="I564" s="79"/>
    </row>
    <row r="565" spans="1:9" ht="15">
      <c r="A565" s="79" t="s">
        <v>2678</v>
      </c>
      <c r="B565" s="79" t="s">
        <v>2679</v>
      </c>
      <c r="C565" s="79">
        <v>591244556</v>
      </c>
      <c r="D565" s="79">
        <v>0</v>
      </c>
      <c r="E565" s="79" t="s">
        <v>1124</v>
      </c>
      <c r="F565" s="79" t="s">
        <v>2539</v>
      </c>
      <c r="G565" s="79" t="s">
        <v>1131</v>
      </c>
      <c r="H565" s="79" t="s">
        <v>1132</v>
      </c>
      <c r="I565" s="79"/>
    </row>
    <row r="566" spans="1:9" ht="15">
      <c r="A566" s="79" t="s">
        <v>2678</v>
      </c>
      <c r="B566" s="79" t="s">
        <v>2679</v>
      </c>
      <c r="C566" s="79">
        <v>591244556</v>
      </c>
      <c r="D566" s="79">
        <v>0</v>
      </c>
      <c r="E566" s="79" t="s">
        <v>1124</v>
      </c>
      <c r="F566" s="79" t="s">
        <v>2539</v>
      </c>
      <c r="G566" s="79" t="s">
        <v>2578</v>
      </c>
      <c r="H566" s="79"/>
      <c r="I566" s="79"/>
    </row>
    <row r="567" spans="1:9" ht="15">
      <c r="A567" s="79" t="s">
        <v>2680</v>
      </c>
      <c r="B567" s="79" t="s">
        <v>2681</v>
      </c>
      <c r="C567" s="79">
        <v>591245156</v>
      </c>
      <c r="D567" s="79">
        <v>0</v>
      </c>
      <c r="E567" s="79" t="s">
        <v>1124</v>
      </c>
      <c r="F567" s="79" t="s">
        <v>2539</v>
      </c>
      <c r="G567" s="79" t="s">
        <v>2546</v>
      </c>
      <c r="H567" s="79" t="s">
        <v>2547</v>
      </c>
      <c r="I567" s="79"/>
    </row>
    <row r="568" spans="1:9" ht="15">
      <c r="A568" s="79" t="s">
        <v>2680</v>
      </c>
      <c r="B568" s="79" t="s">
        <v>2681</v>
      </c>
      <c r="C568" s="79">
        <v>591245156</v>
      </c>
      <c r="D568" s="79">
        <v>0</v>
      </c>
      <c r="E568" s="79" t="s">
        <v>1124</v>
      </c>
      <c r="F568" s="79" t="s">
        <v>2539</v>
      </c>
      <c r="G568" s="79" t="s">
        <v>2581</v>
      </c>
      <c r="H568" s="79"/>
      <c r="I568" s="79"/>
    </row>
    <row r="569" spans="1:9" ht="15">
      <c r="A569" s="79" t="s">
        <v>2682</v>
      </c>
      <c r="B569" s="79" t="s">
        <v>2683</v>
      </c>
      <c r="C569" s="79">
        <v>591287756</v>
      </c>
      <c r="D569" s="79">
        <v>0</v>
      </c>
      <c r="E569" s="79" t="s">
        <v>1124</v>
      </c>
      <c r="F569" s="79" t="s">
        <v>2539</v>
      </c>
      <c r="G569" s="79" t="s">
        <v>1130</v>
      </c>
      <c r="H569" s="79"/>
      <c r="I569" s="79"/>
    </row>
    <row r="570" spans="1:9" ht="15">
      <c r="A570" s="79" t="s">
        <v>2682</v>
      </c>
      <c r="B570" s="79" t="s">
        <v>2683</v>
      </c>
      <c r="C570" s="79">
        <v>591287756</v>
      </c>
      <c r="D570" s="79">
        <v>0</v>
      </c>
      <c r="E570" s="79" t="s">
        <v>1124</v>
      </c>
      <c r="F570" s="79" t="s">
        <v>2539</v>
      </c>
      <c r="G570" s="79" t="s">
        <v>1131</v>
      </c>
      <c r="H570" s="79" t="s">
        <v>1132</v>
      </c>
      <c r="I570" s="79"/>
    </row>
    <row r="571" spans="1:9" ht="15">
      <c r="A571" s="79" t="s">
        <v>2682</v>
      </c>
      <c r="B571" s="79" t="s">
        <v>2683</v>
      </c>
      <c r="C571" s="79">
        <v>591287756</v>
      </c>
      <c r="D571" s="79">
        <v>0</v>
      </c>
      <c r="E571" s="79" t="s">
        <v>1124</v>
      </c>
      <c r="F571" s="79" t="s">
        <v>2539</v>
      </c>
      <c r="G571" s="79" t="s">
        <v>2578</v>
      </c>
      <c r="H571" s="79"/>
      <c r="I571" s="79"/>
    </row>
    <row r="572" spans="1:9" ht="15">
      <c r="A572" s="79" t="s">
        <v>2684</v>
      </c>
      <c r="B572" s="79" t="s">
        <v>2685</v>
      </c>
      <c r="C572" s="79">
        <v>591288356</v>
      </c>
      <c r="D572" s="79">
        <v>0</v>
      </c>
      <c r="E572" s="79" t="s">
        <v>1124</v>
      </c>
      <c r="F572" s="79" t="s">
        <v>2539</v>
      </c>
      <c r="G572" s="79" t="s">
        <v>2546</v>
      </c>
      <c r="H572" s="79" t="s">
        <v>2547</v>
      </c>
      <c r="I572" s="79"/>
    </row>
    <row r="573" spans="1:9" ht="15">
      <c r="A573" s="79" t="s">
        <v>2684</v>
      </c>
      <c r="B573" s="79" t="s">
        <v>2685</v>
      </c>
      <c r="C573" s="79">
        <v>591288356</v>
      </c>
      <c r="D573" s="79">
        <v>0</v>
      </c>
      <c r="E573" s="79" t="s">
        <v>1124</v>
      </c>
      <c r="F573" s="79" t="s">
        <v>2539</v>
      </c>
      <c r="G573" s="79" t="s">
        <v>2581</v>
      </c>
      <c r="H573" s="79"/>
      <c r="I573" s="79"/>
    </row>
    <row r="574" spans="1:9" ht="15">
      <c r="A574" s="79" t="s">
        <v>2686</v>
      </c>
      <c r="B574" s="79" t="s">
        <v>2687</v>
      </c>
      <c r="C574" s="79">
        <v>591330956</v>
      </c>
      <c r="D574" s="79">
        <v>0</v>
      </c>
      <c r="E574" s="79" t="s">
        <v>1124</v>
      </c>
      <c r="F574" s="79" t="s">
        <v>2539</v>
      </c>
      <c r="G574" s="79" t="s">
        <v>1130</v>
      </c>
      <c r="H574" s="79"/>
      <c r="I574" s="79"/>
    </row>
    <row r="575" spans="1:9" ht="15">
      <c r="A575" s="79" t="s">
        <v>2686</v>
      </c>
      <c r="B575" s="79" t="s">
        <v>2687</v>
      </c>
      <c r="C575" s="79">
        <v>591330956</v>
      </c>
      <c r="D575" s="79">
        <v>0</v>
      </c>
      <c r="E575" s="79" t="s">
        <v>1124</v>
      </c>
      <c r="F575" s="79" t="s">
        <v>2539</v>
      </c>
      <c r="G575" s="79" t="s">
        <v>1131</v>
      </c>
      <c r="H575" s="79" t="s">
        <v>1132</v>
      </c>
      <c r="I575" s="79"/>
    </row>
    <row r="576" spans="1:9" ht="15">
      <c r="A576" s="79" t="s">
        <v>2686</v>
      </c>
      <c r="B576" s="79" t="s">
        <v>2687</v>
      </c>
      <c r="C576" s="79">
        <v>591330956</v>
      </c>
      <c r="D576" s="79">
        <v>0</v>
      </c>
      <c r="E576" s="79" t="s">
        <v>1124</v>
      </c>
      <c r="F576" s="79" t="s">
        <v>2539</v>
      </c>
      <c r="G576" s="79" t="s">
        <v>2578</v>
      </c>
      <c r="H576" s="79"/>
      <c r="I576" s="79"/>
    </row>
    <row r="577" spans="1:9" ht="15">
      <c r="A577" s="79" t="s">
        <v>2688</v>
      </c>
      <c r="B577" s="79" t="s">
        <v>2689</v>
      </c>
      <c r="C577" s="79">
        <v>591331556</v>
      </c>
      <c r="D577" s="79">
        <v>0</v>
      </c>
      <c r="E577" s="79" t="s">
        <v>1124</v>
      </c>
      <c r="F577" s="79" t="s">
        <v>2539</v>
      </c>
      <c r="G577" s="79" t="s">
        <v>2546</v>
      </c>
      <c r="H577" s="79" t="s">
        <v>2547</v>
      </c>
      <c r="I577" s="79"/>
    </row>
    <row r="578" spans="1:9" ht="15">
      <c r="A578" s="79" t="s">
        <v>2688</v>
      </c>
      <c r="B578" s="79" t="s">
        <v>2689</v>
      </c>
      <c r="C578" s="79">
        <v>591331556</v>
      </c>
      <c r="D578" s="79">
        <v>0</v>
      </c>
      <c r="E578" s="79" t="s">
        <v>1124</v>
      </c>
      <c r="F578" s="79" t="s">
        <v>2539</v>
      </c>
      <c r="G578" s="79" t="s">
        <v>2581</v>
      </c>
      <c r="H578" s="79"/>
      <c r="I578" s="79"/>
    </row>
    <row r="579" spans="1:9" ht="15">
      <c r="A579" s="79" t="s">
        <v>2690</v>
      </c>
      <c r="B579" s="79" t="s">
        <v>2691</v>
      </c>
      <c r="C579" s="79">
        <v>591374156</v>
      </c>
      <c r="D579" s="79">
        <v>0</v>
      </c>
      <c r="E579" s="79" t="s">
        <v>1124</v>
      </c>
      <c r="F579" s="79" t="s">
        <v>2539</v>
      </c>
      <c r="G579" s="79" t="s">
        <v>1130</v>
      </c>
      <c r="H579" s="79"/>
      <c r="I579" s="79"/>
    </row>
    <row r="580" spans="1:9" ht="15">
      <c r="A580" s="79" t="s">
        <v>2690</v>
      </c>
      <c r="B580" s="79" t="s">
        <v>2691</v>
      </c>
      <c r="C580" s="79">
        <v>591374156</v>
      </c>
      <c r="D580" s="79">
        <v>0</v>
      </c>
      <c r="E580" s="79" t="s">
        <v>1124</v>
      </c>
      <c r="F580" s="79" t="s">
        <v>2539</v>
      </c>
      <c r="G580" s="79" t="s">
        <v>1131</v>
      </c>
      <c r="H580" s="79" t="s">
        <v>1132</v>
      </c>
      <c r="I580" s="79"/>
    </row>
    <row r="581" spans="1:9" ht="15">
      <c r="A581" s="79" t="s">
        <v>2690</v>
      </c>
      <c r="B581" s="79" t="s">
        <v>2691</v>
      </c>
      <c r="C581" s="79">
        <v>591374156</v>
      </c>
      <c r="D581" s="79">
        <v>0</v>
      </c>
      <c r="E581" s="79" t="s">
        <v>1124</v>
      </c>
      <c r="F581" s="79" t="s">
        <v>2539</v>
      </c>
      <c r="G581" s="79" t="s">
        <v>2578</v>
      </c>
      <c r="H581" s="79"/>
      <c r="I581" s="79"/>
    </row>
    <row r="582" spans="1:9" ht="15">
      <c r="A582" s="79" t="s">
        <v>2692</v>
      </c>
      <c r="B582" s="79" t="s">
        <v>2693</v>
      </c>
      <c r="C582" s="79">
        <v>591374756</v>
      </c>
      <c r="D582" s="79">
        <v>0</v>
      </c>
      <c r="E582" s="79" t="s">
        <v>1124</v>
      </c>
      <c r="F582" s="79" t="s">
        <v>2539</v>
      </c>
      <c r="G582" s="79" t="s">
        <v>2546</v>
      </c>
      <c r="H582" s="79" t="s">
        <v>2547</v>
      </c>
      <c r="I582" s="79"/>
    </row>
    <row r="583" spans="1:9" ht="15">
      <c r="A583" s="79" t="s">
        <v>2692</v>
      </c>
      <c r="B583" s="79" t="s">
        <v>2693</v>
      </c>
      <c r="C583" s="79">
        <v>591374756</v>
      </c>
      <c r="D583" s="79">
        <v>0</v>
      </c>
      <c r="E583" s="79" t="s">
        <v>1124</v>
      </c>
      <c r="F583" s="79" t="s">
        <v>2539</v>
      </c>
      <c r="G583" s="79" t="s">
        <v>2581</v>
      </c>
      <c r="H583" s="79"/>
      <c r="I583" s="79"/>
    </row>
    <row r="584" spans="1:9" ht="15">
      <c r="A584" s="79" t="s">
        <v>2694</v>
      </c>
      <c r="B584" s="79" t="s">
        <v>2695</v>
      </c>
      <c r="C584" s="79">
        <v>591417356</v>
      </c>
      <c r="D584" s="79">
        <v>0</v>
      </c>
      <c r="E584" s="79" t="s">
        <v>1124</v>
      </c>
      <c r="F584" s="79" t="s">
        <v>2539</v>
      </c>
      <c r="G584" s="79" t="s">
        <v>1130</v>
      </c>
      <c r="H584" s="79"/>
      <c r="I584" s="79"/>
    </row>
    <row r="585" spans="1:9" ht="15">
      <c r="A585" s="79" t="s">
        <v>2694</v>
      </c>
      <c r="B585" s="79" t="s">
        <v>2695</v>
      </c>
      <c r="C585" s="79">
        <v>591417356</v>
      </c>
      <c r="D585" s="79">
        <v>0</v>
      </c>
      <c r="E585" s="79" t="s">
        <v>1124</v>
      </c>
      <c r="F585" s="79" t="s">
        <v>2539</v>
      </c>
      <c r="G585" s="79" t="s">
        <v>1131</v>
      </c>
      <c r="H585" s="79" t="s">
        <v>1132</v>
      </c>
      <c r="I585" s="79"/>
    </row>
    <row r="586" spans="1:9" ht="15">
      <c r="A586" s="79" t="s">
        <v>2694</v>
      </c>
      <c r="B586" s="79" t="s">
        <v>2695</v>
      </c>
      <c r="C586" s="79">
        <v>591417356</v>
      </c>
      <c r="D586" s="79">
        <v>0</v>
      </c>
      <c r="E586" s="79" t="s">
        <v>1124</v>
      </c>
      <c r="F586" s="79" t="s">
        <v>2539</v>
      </c>
      <c r="G586" s="79" t="s">
        <v>2578</v>
      </c>
      <c r="H586" s="79"/>
      <c r="I586" s="79"/>
    </row>
    <row r="587" spans="1:9" ht="15">
      <c r="A587" s="79" t="s">
        <v>2696</v>
      </c>
      <c r="B587" s="79" t="s">
        <v>2697</v>
      </c>
      <c r="C587" s="79">
        <v>591417956</v>
      </c>
      <c r="D587" s="79">
        <v>0</v>
      </c>
      <c r="E587" s="79" t="s">
        <v>1124</v>
      </c>
      <c r="F587" s="79" t="s">
        <v>2539</v>
      </c>
      <c r="G587" s="79" t="s">
        <v>2546</v>
      </c>
      <c r="H587" s="79" t="s">
        <v>2547</v>
      </c>
      <c r="I587" s="79"/>
    </row>
    <row r="588" spans="1:9" ht="15">
      <c r="A588" s="79" t="s">
        <v>2696</v>
      </c>
      <c r="B588" s="79" t="s">
        <v>2697</v>
      </c>
      <c r="C588" s="79">
        <v>591417956</v>
      </c>
      <c r="D588" s="79">
        <v>0</v>
      </c>
      <c r="E588" s="79" t="s">
        <v>1124</v>
      </c>
      <c r="F588" s="79" t="s">
        <v>2539</v>
      </c>
      <c r="G588" s="79" t="s">
        <v>2581</v>
      </c>
      <c r="H588" s="79"/>
      <c r="I588" s="79"/>
    </row>
    <row r="589" spans="1:9" ht="15">
      <c r="A589" s="79" t="s">
        <v>2698</v>
      </c>
      <c r="B589" s="79" t="s">
        <v>2699</v>
      </c>
      <c r="C589" s="79">
        <v>591460556</v>
      </c>
      <c r="D589" s="79">
        <v>0</v>
      </c>
      <c r="E589" s="79" t="s">
        <v>1124</v>
      </c>
      <c r="F589" s="79" t="s">
        <v>2539</v>
      </c>
      <c r="G589" s="79" t="s">
        <v>1130</v>
      </c>
      <c r="H589" s="79"/>
      <c r="I589" s="79"/>
    </row>
    <row r="590" spans="1:9" ht="15">
      <c r="A590" s="79" t="s">
        <v>2698</v>
      </c>
      <c r="B590" s="79" t="s">
        <v>2699</v>
      </c>
      <c r="C590" s="79">
        <v>591460556</v>
      </c>
      <c r="D590" s="79">
        <v>0</v>
      </c>
      <c r="E590" s="79" t="s">
        <v>1124</v>
      </c>
      <c r="F590" s="79" t="s">
        <v>2539</v>
      </c>
      <c r="G590" s="79" t="s">
        <v>1131</v>
      </c>
      <c r="H590" s="79" t="s">
        <v>1132</v>
      </c>
      <c r="I590" s="79"/>
    </row>
    <row r="591" spans="1:9" ht="15">
      <c r="A591" s="79" t="s">
        <v>2698</v>
      </c>
      <c r="B591" s="79" t="s">
        <v>2699</v>
      </c>
      <c r="C591" s="79">
        <v>591460556</v>
      </c>
      <c r="D591" s="79">
        <v>0</v>
      </c>
      <c r="E591" s="79" t="s">
        <v>1124</v>
      </c>
      <c r="F591" s="79" t="s">
        <v>2539</v>
      </c>
      <c r="G591" s="79" t="s">
        <v>2578</v>
      </c>
      <c r="H591" s="79"/>
      <c r="I591" s="79"/>
    </row>
    <row r="592" spans="1:9" ht="15">
      <c r="A592" s="79" t="s">
        <v>2700</v>
      </c>
      <c r="B592" s="79" t="s">
        <v>2701</v>
      </c>
      <c r="C592" s="79">
        <v>591461156</v>
      </c>
      <c r="D592" s="79">
        <v>0</v>
      </c>
      <c r="E592" s="79" t="s">
        <v>1124</v>
      </c>
      <c r="F592" s="79" t="s">
        <v>2539</v>
      </c>
      <c r="G592" s="79" t="s">
        <v>2546</v>
      </c>
      <c r="H592" s="79" t="s">
        <v>2547</v>
      </c>
      <c r="I592" s="79"/>
    </row>
    <row r="593" spans="1:9" ht="15">
      <c r="A593" s="79" t="s">
        <v>2700</v>
      </c>
      <c r="B593" s="79" t="s">
        <v>2701</v>
      </c>
      <c r="C593" s="79">
        <v>591461156</v>
      </c>
      <c r="D593" s="79">
        <v>0</v>
      </c>
      <c r="E593" s="79" t="s">
        <v>1124</v>
      </c>
      <c r="F593" s="79" t="s">
        <v>2539</v>
      </c>
      <c r="G593" s="79" t="s">
        <v>2581</v>
      </c>
      <c r="H593" s="79"/>
      <c r="I593" s="79"/>
    </row>
    <row r="594" spans="1:9" ht="15">
      <c r="A594" s="79" t="s">
        <v>2702</v>
      </c>
      <c r="B594" s="79" t="s">
        <v>2703</v>
      </c>
      <c r="C594" s="79">
        <v>591503756</v>
      </c>
      <c r="D594" s="79">
        <v>0</v>
      </c>
      <c r="E594" s="79" t="s">
        <v>1124</v>
      </c>
      <c r="F594" s="79" t="s">
        <v>2539</v>
      </c>
      <c r="G594" s="79" t="s">
        <v>1130</v>
      </c>
      <c r="H594" s="79"/>
      <c r="I594" s="79"/>
    </row>
    <row r="595" spans="1:9" ht="15">
      <c r="A595" s="79" t="s">
        <v>2702</v>
      </c>
      <c r="B595" s="79" t="s">
        <v>2703</v>
      </c>
      <c r="C595" s="79">
        <v>591503756</v>
      </c>
      <c r="D595" s="79">
        <v>0</v>
      </c>
      <c r="E595" s="79" t="s">
        <v>1124</v>
      </c>
      <c r="F595" s="79" t="s">
        <v>2539</v>
      </c>
      <c r="G595" s="79" t="s">
        <v>1131</v>
      </c>
      <c r="H595" s="79" t="s">
        <v>1132</v>
      </c>
      <c r="I595" s="79"/>
    </row>
    <row r="596" spans="1:9" ht="15">
      <c r="A596" s="79" t="s">
        <v>2702</v>
      </c>
      <c r="B596" s="79" t="s">
        <v>2703</v>
      </c>
      <c r="C596" s="79">
        <v>591503756</v>
      </c>
      <c r="D596" s="79">
        <v>0</v>
      </c>
      <c r="E596" s="79" t="s">
        <v>1124</v>
      </c>
      <c r="F596" s="79" t="s">
        <v>2539</v>
      </c>
      <c r="G596" s="79" t="s">
        <v>2578</v>
      </c>
      <c r="H596" s="79"/>
      <c r="I596" s="79"/>
    </row>
    <row r="597" spans="1:9" ht="15">
      <c r="A597" s="79" t="s">
        <v>2704</v>
      </c>
      <c r="B597" s="79" t="s">
        <v>2705</v>
      </c>
      <c r="C597" s="79">
        <v>591504356</v>
      </c>
      <c r="D597" s="79">
        <v>0</v>
      </c>
      <c r="E597" s="79" t="s">
        <v>1124</v>
      </c>
      <c r="F597" s="79" t="s">
        <v>2539</v>
      </c>
      <c r="G597" s="79" t="s">
        <v>2546</v>
      </c>
      <c r="H597" s="79" t="s">
        <v>2547</v>
      </c>
      <c r="I597" s="79"/>
    </row>
    <row r="598" spans="1:9" ht="15">
      <c r="A598" s="79" t="s">
        <v>2704</v>
      </c>
      <c r="B598" s="79" t="s">
        <v>2705</v>
      </c>
      <c r="C598" s="79">
        <v>591504356</v>
      </c>
      <c r="D598" s="79">
        <v>0</v>
      </c>
      <c r="E598" s="79" t="s">
        <v>1124</v>
      </c>
      <c r="F598" s="79" t="s">
        <v>2539</v>
      </c>
      <c r="G598" s="79" t="s">
        <v>2581</v>
      </c>
      <c r="H598" s="79"/>
      <c r="I598" s="79"/>
    </row>
    <row r="599" spans="1:9" ht="15">
      <c r="A599" s="79" t="s">
        <v>2706</v>
      </c>
      <c r="B599" s="79" t="s">
        <v>2707</v>
      </c>
      <c r="C599" s="79">
        <v>591546956</v>
      </c>
      <c r="D599" s="79">
        <v>0</v>
      </c>
      <c r="E599" s="79" t="s">
        <v>1124</v>
      </c>
      <c r="F599" s="79" t="s">
        <v>2539</v>
      </c>
      <c r="G599" s="79" t="s">
        <v>1130</v>
      </c>
      <c r="H599" s="79"/>
      <c r="I599" s="79"/>
    </row>
    <row r="600" spans="1:9" ht="15">
      <c r="A600" s="79" t="s">
        <v>2706</v>
      </c>
      <c r="B600" s="79" t="s">
        <v>2707</v>
      </c>
      <c r="C600" s="79">
        <v>591546956</v>
      </c>
      <c r="D600" s="79">
        <v>0</v>
      </c>
      <c r="E600" s="79" t="s">
        <v>1124</v>
      </c>
      <c r="F600" s="79" t="s">
        <v>2539</v>
      </c>
      <c r="G600" s="79" t="s">
        <v>1131</v>
      </c>
      <c r="H600" s="79" t="s">
        <v>1132</v>
      </c>
      <c r="I600" s="79"/>
    </row>
    <row r="601" spans="1:9" ht="15">
      <c r="A601" s="79" t="s">
        <v>2706</v>
      </c>
      <c r="B601" s="79" t="s">
        <v>2707</v>
      </c>
      <c r="C601" s="79">
        <v>591546956</v>
      </c>
      <c r="D601" s="79">
        <v>0</v>
      </c>
      <c r="E601" s="79" t="s">
        <v>1124</v>
      </c>
      <c r="F601" s="79" t="s">
        <v>2539</v>
      </c>
      <c r="G601" s="79" t="s">
        <v>2578</v>
      </c>
      <c r="H601" s="79"/>
      <c r="I601" s="79"/>
    </row>
    <row r="602" spans="1:9" ht="15">
      <c r="A602" s="79" t="s">
        <v>2708</v>
      </c>
      <c r="B602" s="79" t="s">
        <v>2709</v>
      </c>
      <c r="C602" s="79">
        <v>591547556</v>
      </c>
      <c r="D602" s="79">
        <v>0</v>
      </c>
      <c r="E602" s="79" t="s">
        <v>1124</v>
      </c>
      <c r="F602" s="79" t="s">
        <v>2539</v>
      </c>
      <c r="G602" s="79" t="s">
        <v>2546</v>
      </c>
      <c r="H602" s="79" t="s">
        <v>2547</v>
      </c>
      <c r="I602" s="79"/>
    </row>
    <row r="603" spans="1:9" ht="15">
      <c r="A603" s="79" t="s">
        <v>2708</v>
      </c>
      <c r="B603" s="79" t="s">
        <v>2709</v>
      </c>
      <c r="C603" s="79">
        <v>591547556</v>
      </c>
      <c r="D603" s="79">
        <v>0</v>
      </c>
      <c r="E603" s="79" t="s">
        <v>1124</v>
      </c>
      <c r="F603" s="79" t="s">
        <v>2539</v>
      </c>
      <c r="G603" s="79" t="s">
        <v>2581</v>
      </c>
      <c r="H603" s="79"/>
      <c r="I603" s="79"/>
    </row>
    <row r="604" spans="1:9" ht="15">
      <c r="A604" s="79" t="s">
        <v>2710</v>
      </c>
      <c r="B604" s="79" t="s">
        <v>2711</v>
      </c>
      <c r="C604" s="79">
        <v>591590156</v>
      </c>
      <c r="D604" s="79">
        <v>0</v>
      </c>
      <c r="E604" s="79" t="s">
        <v>1124</v>
      </c>
      <c r="F604" s="79" t="s">
        <v>2539</v>
      </c>
      <c r="G604" s="79" t="s">
        <v>1130</v>
      </c>
      <c r="H604" s="79"/>
      <c r="I604" s="79"/>
    </row>
    <row r="605" spans="1:9" ht="15">
      <c r="A605" s="79" t="s">
        <v>2710</v>
      </c>
      <c r="B605" s="79" t="s">
        <v>2711</v>
      </c>
      <c r="C605" s="79">
        <v>591590156</v>
      </c>
      <c r="D605" s="79">
        <v>0</v>
      </c>
      <c r="E605" s="79" t="s">
        <v>1124</v>
      </c>
      <c r="F605" s="79" t="s">
        <v>2539</v>
      </c>
      <c r="G605" s="79" t="s">
        <v>1131</v>
      </c>
      <c r="H605" s="79" t="s">
        <v>1132</v>
      </c>
      <c r="I605" s="79"/>
    </row>
    <row r="606" spans="1:9" ht="15">
      <c r="A606" s="79" t="s">
        <v>2710</v>
      </c>
      <c r="B606" s="79" t="s">
        <v>2711</v>
      </c>
      <c r="C606" s="79">
        <v>591590156</v>
      </c>
      <c r="D606" s="79">
        <v>0</v>
      </c>
      <c r="E606" s="79" t="s">
        <v>1124</v>
      </c>
      <c r="F606" s="79" t="s">
        <v>2539</v>
      </c>
      <c r="G606" s="79" t="s">
        <v>2578</v>
      </c>
      <c r="H606" s="79"/>
      <c r="I606" s="79"/>
    </row>
    <row r="607" spans="1:9" ht="15">
      <c r="A607" s="79" t="s">
        <v>2712</v>
      </c>
      <c r="B607" s="79" t="s">
        <v>2713</v>
      </c>
      <c r="C607" s="79">
        <v>591590756</v>
      </c>
      <c r="D607" s="79">
        <v>0</v>
      </c>
      <c r="E607" s="79" t="s">
        <v>1124</v>
      </c>
      <c r="F607" s="79" t="s">
        <v>2539</v>
      </c>
      <c r="G607" s="79" t="s">
        <v>2546</v>
      </c>
      <c r="H607" s="79" t="s">
        <v>2547</v>
      </c>
      <c r="I607" s="79"/>
    </row>
    <row r="608" spans="1:9" ht="15">
      <c r="A608" s="79" t="s">
        <v>2712</v>
      </c>
      <c r="B608" s="79" t="s">
        <v>2713</v>
      </c>
      <c r="C608" s="79">
        <v>591590756</v>
      </c>
      <c r="D608" s="79">
        <v>0</v>
      </c>
      <c r="E608" s="79" t="s">
        <v>1124</v>
      </c>
      <c r="F608" s="79" t="s">
        <v>2539</v>
      </c>
      <c r="G608" s="79" t="s">
        <v>2581</v>
      </c>
      <c r="H608" s="79"/>
      <c r="I608" s="79"/>
    </row>
    <row r="609" spans="1:9" ht="15">
      <c r="A609" s="79" t="s">
        <v>2714</v>
      </c>
      <c r="B609" s="79" t="s">
        <v>2715</v>
      </c>
      <c r="C609" s="79">
        <v>591633356</v>
      </c>
      <c r="D609" s="79">
        <v>0</v>
      </c>
      <c r="E609" s="79" t="s">
        <v>1124</v>
      </c>
      <c r="F609" s="79" t="s">
        <v>2539</v>
      </c>
      <c r="G609" s="79" t="s">
        <v>1130</v>
      </c>
      <c r="H609" s="79"/>
      <c r="I609" s="79"/>
    </row>
    <row r="610" spans="1:9" ht="15">
      <c r="A610" s="79" t="s">
        <v>2714</v>
      </c>
      <c r="B610" s="79" t="s">
        <v>2715</v>
      </c>
      <c r="C610" s="79">
        <v>591633356</v>
      </c>
      <c r="D610" s="79">
        <v>0</v>
      </c>
      <c r="E610" s="79" t="s">
        <v>1124</v>
      </c>
      <c r="F610" s="79" t="s">
        <v>2539</v>
      </c>
      <c r="G610" s="79" t="s">
        <v>1131</v>
      </c>
      <c r="H610" s="79" t="s">
        <v>1132</v>
      </c>
      <c r="I610" s="79"/>
    </row>
    <row r="611" spans="1:9" ht="15">
      <c r="A611" s="79" t="s">
        <v>2714</v>
      </c>
      <c r="B611" s="79" t="s">
        <v>2715</v>
      </c>
      <c r="C611" s="79">
        <v>591633356</v>
      </c>
      <c r="D611" s="79">
        <v>0</v>
      </c>
      <c r="E611" s="79" t="s">
        <v>1124</v>
      </c>
      <c r="F611" s="79" t="s">
        <v>2539</v>
      </c>
      <c r="G611" s="79" t="s">
        <v>2578</v>
      </c>
      <c r="H611" s="79"/>
      <c r="I611" s="79"/>
    </row>
    <row r="612" spans="1:9" ht="15">
      <c r="A612" s="79" t="s">
        <v>2716</v>
      </c>
      <c r="B612" s="79" t="s">
        <v>2717</v>
      </c>
      <c r="C612" s="79">
        <v>591633956</v>
      </c>
      <c r="D612" s="79">
        <v>0</v>
      </c>
      <c r="E612" s="79" t="s">
        <v>1124</v>
      </c>
      <c r="F612" s="79" t="s">
        <v>2539</v>
      </c>
      <c r="G612" s="79" t="s">
        <v>2546</v>
      </c>
      <c r="H612" s="79" t="s">
        <v>2547</v>
      </c>
      <c r="I612" s="79"/>
    </row>
    <row r="613" spans="1:9" ht="15">
      <c r="A613" s="79" t="s">
        <v>2716</v>
      </c>
      <c r="B613" s="79" t="s">
        <v>2717</v>
      </c>
      <c r="C613" s="79">
        <v>591633956</v>
      </c>
      <c r="D613" s="79">
        <v>0</v>
      </c>
      <c r="E613" s="79" t="s">
        <v>1124</v>
      </c>
      <c r="F613" s="79" t="s">
        <v>2539</v>
      </c>
      <c r="G613" s="79" t="s">
        <v>2581</v>
      </c>
      <c r="H613" s="79"/>
      <c r="I613" s="79"/>
    </row>
    <row r="614" spans="1:9" ht="15">
      <c r="A614" s="79" t="s">
        <v>2718</v>
      </c>
      <c r="B614" s="79" t="s">
        <v>2719</v>
      </c>
      <c r="C614" s="79">
        <v>591676556</v>
      </c>
      <c r="D614" s="79">
        <v>0</v>
      </c>
      <c r="E614" s="79" t="s">
        <v>1124</v>
      </c>
      <c r="F614" s="79" t="s">
        <v>2539</v>
      </c>
      <c r="G614" s="79" t="s">
        <v>1130</v>
      </c>
      <c r="H614" s="79"/>
      <c r="I614" s="79"/>
    </row>
    <row r="615" spans="1:9" ht="15">
      <c r="A615" s="79" t="s">
        <v>2718</v>
      </c>
      <c r="B615" s="79" t="s">
        <v>2719</v>
      </c>
      <c r="C615" s="79">
        <v>591676556</v>
      </c>
      <c r="D615" s="79">
        <v>0</v>
      </c>
      <c r="E615" s="79" t="s">
        <v>1124</v>
      </c>
      <c r="F615" s="79" t="s">
        <v>2539</v>
      </c>
      <c r="G615" s="79" t="s">
        <v>1131</v>
      </c>
      <c r="H615" s="79" t="s">
        <v>1132</v>
      </c>
      <c r="I615" s="79"/>
    </row>
    <row r="616" spans="1:9" ht="15">
      <c r="A616" s="79" t="s">
        <v>2718</v>
      </c>
      <c r="B616" s="79" t="s">
        <v>2719</v>
      </c>
      <c r="C616" s="79">
        <v>591676556</v>
      </c>
      <c r="D616" s="79">
        <v>0</v>
      </c>
      <c r="E616" s="79" t="s">
        <v>1124</v>
      </c>
      <c r="F616" s="79" t="s">
        <v>2539</v>
      </c>
      <c r="G616" s="79" t="s">
        <v>2578</v>
      </c>
      <c r="H616" s="79"/>
      <c r="I616" s="79"/>
    </row>
    <row r="617" spans="1:9" ht="15">
      <c r="A617" s="79" t="s">
        <v>2720</v>
      </c>
      <c r="B617" s="79" t="s">
        <v>2721</v>
      </c>
      <c r="C617" s="79">
        <v>591677156</v>
      </c>
      <c r="D617" s="79">
        <v>0</v>
      </c>
      <c r="E617" s="79" t="s">
        <v>1124</v>
      </c>
      <c r="F617" s="79" t="s">
        <v>2539</v>
      </c>
      <c r="G617" s="79" t="s">
        <v>2546</v>
      </c>
      <c r="H617" s="79" t="s">
        <v>2547</v>
      </c>
      <c r="I617" s="79"/>
    </row>
    <row r="618" spans="1:9" ht="15">
      <c r="A618" s="79" t="s">
        <v>2720</v>
      </c>
      <c r="B618" s="79" t="s">
        <v>2721</v>
      </c>
      <c r="C618" s="79">
        <v>591677156</v>
      </c>
      <c r="D618" s="79">
        <v>0</v>
      </c>
      <c r="E618" s="79" t="s">
        <v>1124</v>
      </c>
      <c r="F618" s="79" t="s">
        <v>2539</v>
      </c>
      <c r="G618" s="79" t="s">
        <v>2581</v>
      </c>
      <c r="H618" s="79"/>
      <c r="I618" s="79"/>
    </row>
    <row r="619" spans="1:9" ht="15">
      <c r="A619" s="79" t="s">
        <v>2722</v>
      </c>
      <c r="B619" s="79" t="s">
        <v>2723</v>
      </c>
      <c r="C619" s="79">
        <v>591719756</v>
      </c>
      <c r="D619" s="79">
        <v>0</v>
      </c>
      <c r="E619" s="79" t="s">
        <v>1124</v>
      </c>
      <c r="F619" s="79" t="s">
        <v>2539</v>
      </c>
      <c r="G619" s="79" t="s">
        <v>1130</v>
      </c>
      <c r="H619" s="79"/>
      <c r="I619" s="79"/>
    </row>
    <row r="620" spans="1:9" ht="15">
      <c r="A620" s="79" t="s">
        <v>2722</v>
      </c>
      <c r="B620" s="79" t="s">
        <v>2723</v>
      </c>
      <c r="C620" s="79">
        <v>591719756</v>
      </c>
      <c r="D620" s="79">
        <v>0</v>
      </c>
      <c r="E620" s="79" t="s">
        <v>1124</v>
      </c>
      <c r="F620" s="79" t="s">
        <v>2539</v>
      </c>
      <c r="G620" s="79" t="s">
        <v>1131</v>
      </c>
      <c r="H620" s="79" t="s">
        <v>1132</v>
      </c>
      <c r="I620" s="79"/>
    </row>
    <row r="621" spans="1:9" ht="15">
      <c r="A621" s="79" t="s">
        <v>2722</v>
      </c>
      <c r="B621" s="79" t="s">
        <v>2723</v>
      </c>
      <c r="C621" s="79">
        <v>591719756</v>
      </c>
      <c r="D621" s="79">
        <v>0</v>
      </c>
      <c r="E621" s="79" t="s">
        <v>1124</v>
      </c>
      <c r="F621" s="79" t="s">
        <v>2539</v>
      </c>
      <c r="G621" s="79" t="s">
        <v>2578</v>
      </c>
      <c r="H621" s="79"/>
      <c r="I621" s="79"/>
    </row>
    <row r="622" spans="1:9" ht="15">
      <c r="A622" s="79" t="s">
        <v>2724</v>
      </c>
      <c r="B622" s="79" t="s">
        <v>2725</v>
      </c>
      <c r="C622" s="79">
        <v>591720356</v>
      </c>
      <c r="D622" s="79">
        <v>0</v>
      </c>
      <c r="E622" s="79" t="s">
        <v>1124</v>
      </c>
      <c r="F622" s="79" t="s">
        <v>2539</v>
      </c>
      <c r="G622" s="79" t="s">
        <v>2546</v>
      </c>
      <c r="H622" s="79" t="s">
        <v>2547</v>
      </c>
      <c r="I622" s="79"/>
    </row>
    <row r="623" spans="1:9" ht="15">
      <c r="A623" s="79" t="s">
        <v>2724</v>
      </c>
      <c r="B623" s="79" t="s">
        <v>2725</v>
      </c>
      <c r="C623" s="79">
        <v>591720356</v>
      </c>
      <c r="D623" s="79">
        <v>0</v>
      </c>
      <c r="E623" s="79" t="s">
        <v>1124</v>
      </c>
      <c r="F623" s="79" t="s">
        <v>2539</v>
      </c>
      <c r="G623" s="79" t="s">
        <v>2581</v>
      </c>
      <c r="H623" s="79"/>
      <c r="I623" s="79"/>
    </row>
    <row r="624" spans="1:9" ht="15">
      <c r="A624" s="79" t="s">
        <v>2726</v>
      </c>
      <c r="B624" s="79" t="s">
        <v>2727</v>
      </c>
      <c r="C624" s="79">
        <v>591762956</v>
      </c>
      <c r="D624" s="79">
        <v>0</v>
      </c>
      <c r="E624" s="79" t="s">
        <v>1124</v>
      </c>
      <c r="F624" s="79" t="s">
        <v>2539</v>
      </c>
      <c r="G624" s="79" t="s">
        <v>1130</v>
      </c>
      <c r="H624" s="79"/>
      <c r="I624" s="79"/>
    </row>
    <row r="625" spans="1:9" ht="15">
      <c r="A625" s="79" t="s">
        <v>2726</v>
      </c>
      <c r="B625" s="79" t="s">
        <v>2727</v>
      </c>
      <c r="C625" s="79">
        <v>591762956</v>
      </c>
      <c r="D625" s="79">
        <v>0</v>
      </c>
      <c r="E625" s="79" t="s">
        <v>1124</v>
      </c>
      <c r="F625" s="79" t="s">
        <v>2539</v>
      </c>
      <c r="G625" s="79" t="s">
        <v>1131</v>
      </c>
      <c r="H625" s="79" t="s">
        <v>1132</v>
      </c>
      <c r="I625" s="79"/>
    </row>
    <row r="626" spans="1:9" ht="15">
      <c r="A626" s="79" t="s">
        <v>2726</v>
      </c>
      <c r="B626" s="79" t="s">
        <v>2727</v>
      </c>
      <c r="C626" s="79">
        <v>591762956</v>
      </c>
      <c r="D626" s="79">
        <v>0</v>
      </c>
      <c r="E626" s="79" t="s">
        <v>1124</v>
      </c>
      <c r="F626" s="79" t="s">
        <v>2539</v>
      </c>
      <c r="G626" s="79" t="s">
        <v>2578</v>
      </c>
      <c r="H626" s="79"/>
      <c r="I626" s="79"/>
    </row>
    <row r="627" spans="1:9" ht="15">
      <c r="A627" s="79" t="s">
        <v>2728</v>
      </c>
      <c r="B627" s="79" t="s">
        <v>2729</v>
      </c>
      <c r="C627" s="79">
        <v>591763556</v>
      </c>
      <c r="D627" s="79">
        <v>0</v>
      </c>
      <c r="E627" s="79" t="s">
        <v>1124</v>
      </c>
      <c r="F627" s="79" t="s">
        <v>2539</v>
      </c>
      <c r="G627" s="79" t="s">
        <v>2546</v>
      </c>
      <c r="H627" s="79" t="s">
        <v>2547</v>
      </c>
      <c r="I627" s="79"/>
    </row>
    <row r="628" spans="1:9" ht="15">
      <c r="A628" s="79" t="s">
        <v>2728</v>
      </c>
      <c r="B628" s="79" t="s">
        <v>2729</v>
      </c>
      <c r="C628" s="79">
        <v>591763556</v>
      </c>
      <c r="D628" s="79">
        <v>0</v>
      </c>
      <c r="E628" s="79" t="s">
        <v>1124</v>
      </c>
      <c r="F628" s="79" t="s">
        <v>2539</v>
      </c>
      <c r="G628" s="79" t="s">
        <v>2581</v>
      </c>
      <c r="H628" s="79"/>
      <c r="I628" s="79"/>
    </row>
    <row r="629" spans="1:9" ht="15">
      <c r="A629" s="79" t="s">
        <v>2730</v>
      </c>
      <c r="B629" s="79" t="s">
        <v>2731</v>
      </c>
      <c r="C629" s="79">
        <v>591806156</v>
      </c>
      <c r="D629" s="79">
        <v>0</v>
      </c>
      <c r="E629" s="79" t="s">
        <v>1124</v>
      </c>
      <c r="F629" s="79" t="s">
        <v>2539</v>
      </c>
      <c r="G629" s="79" t="s">
        <v>1130</v>
      </c>
      <c r="H629" s="79"/>
      <c r="I629" s="79"/>
    </row>
    <row r="630" spans="1:9" ht="15">
      <c r="A630" s="79" t="s">
        <v>2730</v>
      </c>
      <c r="B630" s="79" t="s">
        <v>2731</v>
      </c>
      <c r="C630" s="79">
        <v>591806156</v>
      </c>
      <c r="D630" s="79">
        <v>0</v>
      </c>
      <c r="E630" s="79" t="s">
        <v>1124</v>
      </c>
      <c r="F630" s="79" t="s">
        <v>2539</v>
      </c>
      <c r="G630" s="79" t="s">
        <v>1131</v>
      </c>
      <c r="H630" s="79" t="s">
        <v>1132</v>
      </c>
      <c r="I630" s="79"/>
    </row>
    <row r="631" spans="1:9" ht="15">
      <c r="A631" s="79" t="s">
        <v>2730</v>
      </c>
      <c r="B631" s="79" t="s">
        <v>2731</v>
      </c>
      <c r="C631" s="79">
        <v>591806156</v>
      </c>
      <c r="D631" s="79">
        <v>0</v>
      </c>
      <c r="E631" s="79" t="s">
        <v>1124</v>
      </c>
      <c r="F631" s="79" t="s">
        <v>2539</v>
      </c>
      <c r="G631" s="79" t="s">
        <v>2578</v>
      </c>
      <c r="H631" s="79"/>
      <c r="I631" s="79"/>
    </row>
    <row r="632" spans="1:9" ht="15">
      <c r="A632" s="79" t="s">
        <v>2732</v>
      </c>
      <c r="B632" s="79" t="s">
        <v>2733</v>
      </c>
      <c r="C632" s="79">
        <v>591806756</v>
      </c>
      <c r="D632" s="79">
        <v>0</v>
      </c>
      <c r="E632" s="79" t="s">
        <v>1124</v>
      </c>
      <c r="F632" s="79" t="s">
        <v>2539</v>
      </c>
      <c r="G632" s="79" t="s">
        <v>2546</v>
      </c>
      <c r="H632" s="79" t="s">
        <v>2547</v>
      </c>
      <c r="I632" s="79"/>
    </row>
    <row r="633" spans="1:9" ht="15">
      <c r="A633" s="79" t="s">
        <v>2732</v>
      </c>
      <c r="B633" s="79" t="s">
        <v>2733</v>
      </c>
      <c r="C633" s="79">
        <v>591806756</v>
      </c>
      <c r="D633" s="79">
        <v>0</v>
      </c>
      <c r="E633" s="79" t="s">
        <v>1124</v>
      </c>
      <c r="F633" s="79" t="s">
        <v>2539</v>
      </c>
      <c r="G633" s="79" t="s">
        <v>2581</v>
      </c>
      <c r="H633" s="79"/>
      <c r="I633" s="79"/>
    </row>
    <row r="634" spans="1:9" ht="15">
      <c r="A634" s="79" t="s">
        <v>2734</v>
      </c>
      <c r="B634" s="79" t="s">
        <v>2735</v>
      </c>
      <c r="C634" s="79">
        <v>591849356</v>
      </c>
      <c r="D634" s="79">
        <v>0</v>
      </c>
      <c r="E634" s="79" t="s">
        <v>1124</v>
      </c>
      <c r="F634" s="79" t="s">
        <v>2539</v>
      </c>
      <c r="G634" s="79" t="s">
        <v>1130</v>
      </c>
      <c r="H634" s="79"/>
      <c r="I634" s="79"/>
    </row>
    <row r="635" spans="1:9" ht="15">
      <c r="A635" s="79" t="s">
        <v>2734</v>
      </c>
      <c r="B635" s="79" t="s">
        <v>2735</v>
      </c>
      <c r="C635" s="79">
        <v>591849356</v>
      </c>
      <c r="D635" s="79">
        <v>0</v>
      </c>
      <c r="E635" s="79" t="s">
        <v>1124</v>
      </c>
      <c r="F635" s="79" t="s">
        <v>2539</v>
      </c>
      <c r="G635" s="79" t="s">
        <v>1131</v>
      </c>
      <c r="H635" s="79" t="s">
        <v>1132</v>
      </c>
      <c r="I635" s="79"/>
    </row>
    <row r="636" spans="1:9" ht="15">
      <c r="A636" s="79" t="s">
        <v>2734</v>
      </c>
      <c r="B636" s="79" t="s">
        <v>2735</v>
      </c>
      <c r="C636" s="79">
        <v>591849356</v>
      </c>
      <c r="D636" s="79">
        <v>0</v>
      </c>
      <c r="E636" s="79" t="s">
        <v>1124</v>
      </c>
      <c r="F636" s="79" t="s">
        <v>2539</v>
      </c>
      <c r="G636" s="79" t="s">
        <v>2578</v>
      </c>
      <c r="H636" s="79"/>
      <c r="I636" s="79"/>
    </row>
    <row r="637" spans="1:9" ht="15">
      <c r="A637" s="79" t="s">
        <v>2736</v>
      </c>
      <c r="B637" s="79" t="s">
        <v>2737</v>
      </c>
      <c r="C637" s="79">
        <v>591849956</v>
      </c>
      <c r="D637" s="79">
        <v>0</v>
      </c>
      <c r="E637" s="79" t="s">
        <v>1124</v>
      </c>
      <c r="F637" s="79" t="s">
        <v>2539</v>
      </c>
      <c r="G637" s="79" t="s">
        <v>2546</v>
      </c>
      <c r="H637" s="79" t="s">
        <v>2547</v>
      </c>
      <c r="I637" s="79"/>
    </row>
    <row r="638" spans="1:9" ht="15">
      <c r="A638" s="79" t="s">
        <v>2736</v>
      </c>
      <c r="B638" s="79" t="s">
        <v>2737</v>
      </c>
      <c r="C638" s="79">
        <v>591849956</v>
      </c>
      <c r="D638" s="79">
        <v>0</v>
      </c>
      <c r="E638" s="79" t="s">
        <v>1124</v>
      </c>
      <c r="F638" s="79" t="s">
        <v>2539</v>
      </c>
      <c r="G638" s="79" t="s">
        <v>2581</v>
      </c>
      <c r="H638" s="79"/>
      <c r="I638" s="79"/>
    </row>
    <row r="639" spans="1:9" ht="15">
      <c r="A639" s="79" t="s">
        <v>2738</v>
      </c>
      <c r="B639" s="79" t="s">
        <v>2739</v>
      </c>
      <c r="C639" s="79">
        <v>591892556</v>
      </c>
      <c r="D639" s="79">
        <v>0</v>
      </c>
      <c r="E639" s="79" t="s">
        <v>1124</v>
      </c>
      <c r="F639" s="79" t="s">
        <v>2539</v>
      </c>
      <c r="G639" s="79" t="s">
        <v>1130</v>
      </c>
      <c r="H639" s="79"/>
      <c r="I639" s="79"/>
    </row>
    <row r="640" spans="1:9" ht="15">
      <c r="A640" s="79" t="s">
        <v>2738</v>
      </c>
      <c r="B640" s="79" t="s">
        <v>2739</v>
      </c>
      <c r="C640" s="79">
        <v>591892556</v>
      </c>
      <c r="D640" s="79">
        <v>0</v>
      </c>
      <c r="E640" s="79" t="s">
        <v>1124</v>
      </c>
      <c r="F640" s="79" t="s">
        <v>2539</v>
      </c>
      <c r="G640" s="79" t="s">
        <v>1131</v>
      </c>
      <c r="H640" s="79" t="s">
        <v>1132</v>
      </c>
      <c r="I640" s="79"/>
    </row>
    <row r="641" spans="1:9" ht="15">
      <c r="A641" s="79" t="s">
        <v>2738</v>
      </c>
      <c r="B641" s="79" t="s">
        <v>2739</v>
      </c>
      <c r="C641" s="79">
        <v>591892556</v>
      </c>
      <c r="D641" s="79">
        <v>0</v>
      </c>
      <c r="E641" s="79" t="s">
        <v>1124</v>
      </c>
      <c r="F641" s="79" t="s">
        <v>2539</v>
      </c>
      <c r="G641" s="79" t="s">
        <v>2578</v>
      </c>
      <c r="H641" s="79"/>
      <c r="I641" s="79"/>
    </row>
    <row r="642" spans="1:9" ht="15">
      <c r="A642" s="79" t="s">
        <v>2740</v>
      </c>
      <c r="B642" s="79" t="s">
        <v>2741</v>
      </c>
      <c r="C642" s="79">
        <v>591893156</v>
      </c>
      <c r="D642" s="79">
        <v>0</v>
      </c>
      <c r="E642" s="79" t="s">
        <v>1124</v>
      </c>
      <c r="F642" s="79" t="s">
        <v>2539</v>
      </c>
      <c r="G642" s="79" t="s">
        <v>2546</v>
      </c>
      <c r="H642" s="79" t="s">
        <v>2547</v>
      </c>
      <c r="I642" s="79"/>
    </row>
    <row r="643" spans="1:9" ht="15">
      <c r="A643" s="79" t="s">
        <v>2740</v>
      </c>
      <c r="B643" s="79" t="s">
        <v>2741</v>
      </c>
      <c r="C643" s="79">
        <v>591893156</v>
      </c>
      <c r="D643" s="79">
        <v>0</v>
      </c>
      <c r="E643" s="79" t="s">
        <v>1124</v>
      </c>
      <c r="F643" s="79" t="s">
        <v>2539</v>
      </c>
      <c r="G643" s="79" t="s">
        <v>2581</v>
      </c>
      <c r="H643" s="79"/>
      <c r="I643" s="79"/>
    </row>
    <row r="644" spans="1:9" ht="15">
      <c r="A644" s="79" t="s">
        <v>2742</v>
      </c>
      <c r="B644" s="79" t="s">
        <v>2743</v>
      </c>
      <c r="C644" s="79">
        <v>591935756</v>
      </c>
      <c r="D644" s="79">
        <v>0</v>
      </c>
      <c r="E644" s="79" t="s">
        <v>1124</v>
      </c>
      <c r="F644" s="79" t="s">
        <v>2539</v>
      </c>
      <c r="G644" s="79" t="s">
        <v>1130</v>
      </c>
      <c r="H644" s="79"/>
      <c r="I644" s="79"/>
    </row>
    <row r="645" spans="1:9" ht="15">
      <c r="A645" s="79" t="s">
        <v>2742</v>
      </c>
      <c r="B645" s="79" t="s">
        <v>2743</v>
      </c>
      <c r="C645" s="79">
        <v>591935756</v>
      </c>
      <c r="D645" s="79">
        <v>0</v>
      </c>
      <c r="E645" s="79" t="s">
        <v>1124</v>
      </c>
      <c r="F645" s="79" t="s">
        <v>2539</v>
      </c>
      <c r="G645" s="79" t="s">
        <v>1131</v>
      </c>
      <c r="H645" s="79" t="s">
        <v>1132</v>
      </c>
      <c r="I645" s="79"/>
    </row>
    <row r="646" spans="1:9" ht="15">
      <c r="A646" s="79" t="s">
        <v>2742</v>
      </c>
      <c r="B646" s="79" t="s">
        <v>2743</v>
      </c>
      <c r="C646" s="79">
        <v>591935756</v>
      </c>
      <c r="D646" s="79">
        <v>0</v>
      </c>
      <c r="E646" s="79" t="s">
        <v>1124</v>
      </c>
      <c r="F646" s="79" t="s">
        <v>2539</v>
      </c>
      <c r="G646" s="79" t="s">
        <v>2578</v>
      </c>
      <c r="H646" s="79"/>
      <c r="I646" s="79"/>
    </row>
    <row r="647" spans="1:9" ht="15">
      <c r="A647" s="79" t="s">
        <v>2744</v>
      </c>
      <c r="B647" s="79" t="s">
        <v>2745</v>
      </c>
      <c r="C647" s="79">
        <v>591936356</v>
      </c>
      <c r="D647" s="79">
        <v>0</v>
      </c>
      <c r="E647" s="79" t="s">
        <v>1124</v>
      </c>
      <c r="F647" s="79" t="s">
        <v>2539</v>
      </c>
      <c r="G647" s="79" t="s">
        <v>2546</v>
      </c>
      <c r="H647" s="79" t="s">
        <v>2547</v>
      </c>
      <c r="I647" s="79"/>
    </row>
    <row r="648" spans="1:9" ht="15">
      <c r="A648" s="79" t="s">
        <v>2744</v>
      </c>
      <c r="B648" s="79" t="s">
        <v>2745</v>
      </c>
      <c r="C648" s="79">
        <v>591936356</v>
      </c>
      <c r="D648" s="79">
        <v>0</v>
      </c>
      <c r="E648" s="79" t="s">
        <v>1124</v>
      </c>
      <c r="F648" s="79" t="s">
        <v>2539</v>
      </c>
      <c r="G648" s="79" t="s">
        <v>2581</v>
      </c>
      <c r="H648" s="79"/>
      <c r="I648" s="79"/>
    </row>
    <row r="649" spans="1:9" ht="15">
      <c r="A649" s="79" t="s">
        <v>2746</v>
      </c>
      <c r="B649" s="79" t="s">
        <v>2747</v>
      </c>
      <c r="C649" s="79">
        <v>591978956</v>
      </c>
      <c r="D649" s="79">
        <v>0</v>
      </c>
      <c r="E649" s="79" t="s">
        <v>1124</v>
      </c>
      <c r="F649" s="79" t="s">
        <v>2539</v>
      </c>
      <c r="G649" s="79" t="s">
        <v>1130</v>
      </c>
      <c r="H649" s="79"/>
      <c r="I649" s="79"/>
    </row>
    <row r="650" spans="1:9" ht="15">
      <c r="A650" s="79" t="s">
        <v>2746</v>
      </c>
      <c r="B650" s="79" t="s">
        <v>2747</v>
      </c>
      <c r="C650" s="79">
        <v>591978956</v>
      </c>
      <c r="D650" s="79">
        <v>0</v>
      </c>
      <c r="E650" s="79" t="s">
        <v>1124</v>
      </c>
      <c r="F650" s="79" t="s">
        <v>2539</v>
      </c>
      <c r="G650" s="79" t="s">
        <v>2109</v>
      </c>
      <c r="H650" s="79"/>
      <c r="I650" s="79"/>
    </row>
    <row r="651" spans="1:9" ht="15">
      <c r="A651" s="79" t="s">
        <v>2748</v>
      </c>
      <c r="B651" s="79" t="s">
        <v>2749</v>
      </c>
      <c r="C651" s="79">
        <v>591978959</v>
      </c>
      <c r="D651" s="79">
        <v>0</v>
      </c>
      <c r="E651" s="79" t="s">
        <v>1124</v>
      </c>
      <c r="F651" s="79" t="s">
        <v>2539</v>
      </c>
      <c r="G651" s="79" t="s">
        <v>1130</v>
      </c>
      <c r="H651" s="79"/>
      <c r="I651" s="79"/>
    </row>
    <row r="652" spans="1:9" ht="15">
      <c r="A652" s="79" t="s">
        <v>2748</v>
      </c>
      <c r="B652" s="79" t="s">
        <v>2749</v>
      </c>
      <c r="C652" s="79">
        <v>591978959</v>
      </c>
      <c r="D652" s="79">
        <v>0</v>
      </c>
      <c r="E652" s="79" t="s">
        <v>1124</v>
      </c>
      <c r="F652" s="79" t="s">
        <v>2539</v>
      </c>
      <c r="G652" s="79" t="s">
        <v>2572</v>
      </c>
      <c r="H652" s="79" t="s">
        <v>2573</v>
      </c>
      <c r="I652" s="79"/>
    </row>
    <row r="653" spans="1:9" ht="15">
      <c r="A653" s="79" t="s">
        <v>2748</v>
      </c>
      <c r="B653" s="79" t="s">
        <v>2749</v>
      </c>
      <c r="C653" s="79">
        <v>591978959</v>
      </c>
      <c r="D653" s="79">
        <v>0</v>
      </c>
      <c r="E653" s="79" t="s">
        <v>1124</v>
      </c>
      <c r="F653" s="79" t="s">
        <v>2539</v>
      </c>
      <c r="G653" s="79" t="s">
        <v>2568</v>
      </c>
      <c r="H653" s="79"/>
      <c r="I653" s="79"/>
    </row>
    <row r="654" spans="1:9" ht="15">
      <c r="A654" s="79" t="s">
        <v>2750</v>
      </c>
      <c r="B654" s="79" t="s">
        <v>2751</v>
      </c>
      <c r="C654" s="79">
        <v>591979319</v>
      </c>
      <c r="D654" s="79">
        <v>0</v>
      </c>
      <c r="E654" s="79" t="s">
        <v>1124</v>
      </c>
      <c r="F654" s="79" t="s">
        <v>2539</v>
      </c>
      <c r="G654" s="79" t="s">
        <v>2576</v>
      </c>
      <c r="H654" s="79"/>
      <c r="I654" s="79"/>
    </row>
    <row r="655" spans="1:9" ht="15">
      <c r="A655" s="79" t="s">
        <v>2750</v>
      </c>
      <c r="B655" s="79" t="s">
        <v>2751</v>
      </c>
      <c r="C655" s="79">
        <v>591979319</v>
      </c>
      <c r="D655" s="79">
        <v>0</v>
      </c>
      <c r="E655" s="79" t="s">
        <v>1124</v>
      </c>
      <c r="F655" s="79" t="s">
        <v>2539</v>
      </c>
      <c r="G655" s="79" t="s">
        <v>2577</v>
      </c>
      <c r="H655" s="79"/>
      <c r="I655" s="79"/>
    </row>
    <row r="656" spans="1:9" ht="15">
      <c r="A656" s="79" t="s">
        <v>2750</v>
      </c>
      <c r="B656" s="79" t="s">
        <v>2751</v>
      </c>
      <c r="C656" s="79">
        <v>591979319</v>
      </c>
      <c r="D656" s="79">
        <v>0</v>
      </c>
      <c r="E656" s="79" t="s">
        <v>1124</v>
      </c>
      <c r="F656" s="79" t="s">
        <v>2539</v>
      </c>
      <c r="G656" s="79" t="s">
        <v>1131</v>
      </c>
      <c r="H656" s="79" t="s">
        <v>1132</v>
      </c>
      <c r="I656" s="79"/>
    </row>
    <row r="657" spans="1:9" ht="15">
      <c r="A657" s="79" t="s">
        <v>2750</v>
      </c>
      <c r="B657" s="79" t="s">
        <v>2751</v>
      </c>
      <c r="C657" s="79">
        <v>591979319</v>
      </c>
      <c r="D657" s="79">
        <v>0</v>
      </c>
      <c r="E657" s="79" t="s">
        <v>1124</v>
      </c>
      <c r="F657" s="79" t="s">
        <v>2539</v>
      </c>
      <c r="G657" s="79" t="s">
        <v>2578</v>
      </c>
      <c r="H657" s="79"/>
      <c r="I657" s="79"/>
    </row>
    <row r="658" spans="1:9" ht="15">
      <c r="A658" s="79" t="s">
        <v>2752</v>
      </c>
      <c r="B658" s="79" t="s">
        <v>2753</v>
      </c>
      <c r="C658" s="79">
        <v>591979919</v>
      </c>
      <c r="D658" s="79">
        <v>0</v>
      </c>
      <c r="E658" s="79" t="s">
        <v>1124</v>
      </c>
      <c r="F658" s="79" t="s">
        <v>2539</v>
      </c>
      <c r="G658" s="79" t="s">
        <v>2546</v>
      </c>
      <c r="H658" s="79" t="s">
        <v>2547</v>
      </c>
      <c r="I658" s="79"/>
    </row>
    <row r="659" spans="1:9" ht="15">
      <c r="A659" s="79" t="s">
        <v>2752</v>
      </c>
      <c r="B659" s="79" t="s">
        <v>2753</v>
      </c>
      <c r="C659" s="79">
        <v>591979919</v>
      </c>
      <c r="D659" s="79">
        <v>0</v>
      </c>
      <c r="E659" s="79" t="s">
        <v>1124</v>
      </c>
      <c r="F659" s="79" t="s">
        <v>2539</v>
      </c>
      <c r="G659" s="79" t="s">
        <v>2581</v>
      </c>
      <c r="H659" s="79"/>
      <c r="I659" s="79"/>
    </row>
    <row r="660" spans="1:9" ht="15">
      <c r="A660" s="79" t="s">
        <v>2754</v>
      </c>
      <c r="B660" s="79" t="s">
        <v>2755</v>
      </c>
      <c r="C660" s="79">
        <v>592022519</v>
      </c>
      <c r="D660" s="79">
        <v>0</v>
      </c>
      <c r="E660" s="79" t="s">
        <v>1124</v>
      </c>
      <c r="F660" s="79" t="s">
        <v>2539</v>
      </c>
      <c r="G660" s="79" t="s">
        <v>1130</v>
      </c>
      <c r="H660" s="79"/>
      <c r="I660" s="79"/>
    </row>
    <row r="661" spans="1:9" ht="15">
      <c r="A661" s="79" t="s">
        <v>2754</v>
      </c>
      <c r="B661" s="79" t="s">
        <v>2755</v>
      </c>
      <c r="C661" s="79">
        <v>592022519</v>
      </c>
      <c r="D661" s="79">
        <v>0</v>
      </c>
      <c r="E661" s="79" t="s">
        <v>1124</v>
      </c>
      <c r="F661" s="79" t="s">
        <v>2539</v>
      </c>
      <c r="G661" s="79" t="s">
        <v>1131</v>
      </c>
      <c r="H661" s="79" t="s">
        <v>1132</v>
      </c>
      <c r="I661" s="79"/>
    </row>
    <row r="662" spans="1:9" ht="15">
      <c r="A662" s="79" t="s">
        <v>2754</v>
      </c>
      <c r="B662" s="79" t="s">
        <v>2755</v>
      </c>
      <c r="C662" s="79">
        <v>592022519</v>
      </c>
      <c r="D662" s="79">
        <v>0</v>
      </c>
      <c r="E662" s="79" t="s">
        <v>1124</v>
      </c>
      <c r="F662" s="79" t="s">
        <v>2539</v>
      </c>
      <c r="G662" s="79" t="s">
        <v>2578</v>
      </c>
      <c r="H662" s="79"/>
      <c r="I662" s="79"/>
    </row>
    <row r="663" spans="1:9" ht="15">
      <c r="A663" s="79" t="s">
        <v>2756</v>
      </c>
      <c r="B663" s="79" t="s">
        <v>2757</v>
      </c>
      <c r="C663" s="79">
        <v>592023119</v>
      </c>
      <c r="D663" s="79">
        <v>0</v>
      </c>
      <c r="E663" s="79" t="s">
        <v>1124</v>
      </c>
      <c r="F663" s="79" t="s">
        <v>2539</v>
      </c>
      <c r="G663" s="79" t="s">
        <v>2546</v>
      </c>
      <c r="H663" s="79" t="s">
        <v>2547</v>
      </c>
      <c r="I663" s="79"/>
    </row>
    <row r="664" spans="1:9" ht="15">
      <c r="A664" s="79" t="s">
        <v>2756</v>
      </c>
      <c r="B664" s="79" t="s">
        <v>2757</v>
      </c>
      <c r="C664" s="79">
        <v>592023119</v>
      </c>
      <c r="D664" s="79">
        <v>0</v>
      </c>
      <c r="E664" s="79" t="s">
        <v>1124</v>
      </c>
      <c r="F664" s="79" t="s">
        <v>2539</v>
      </c>
      <c r="G664" s="79" t="s">
        <v>2581</v>
      </c>
      <c r="H664" s="79"/>
      <c r="I664" s="79"/>
    </row>
    <row r="665" spans="1:9" ht="15">
      <c r="A665" s="79" t="s">
        <v>2758</v>
      </c>
      <c r="B665" s="79" t="s">
        <v>2759</v>
      </c>
      <c r="C665" s="79">
        <v>592065719</v>
      </c>
      <c r="D665" s="79">
        <v>0</v>
      </c>
      <c r="E665" s="79" t="s">
        <v>1124</v>
      </c>
      <c r="F665" s="79" t="s">
        <v>2539</v>
      </c>
      <c r="G665" s="79" t="s">
        <v>1130</v>
      </c>
      <c r="H665" s="79"/>
      <c r="I665" s="79"/>
    </row>
    <row r="666" spans="1:9" ht="15">
      <c r="A666" s="79" t="s">
        <v>2758</v>
      </c>
      <c r="B666" s="79" t="s">
        <v>2759</v>
      </c>
      <c r="C666" s="79">
        <v>592065719</v>
      </c>
      <c r="D666" s="79">
        <v>0</v>
      </c>
      <c r="E666" s="79" t="s">
        <v>1124</v>
      </c>
      <c r="F666" s="79" t="s">
        <v>2539</v>
      </c>
      <c r="G666" s="79" t="s">
        <v>1131</v>
      </c>
      <c r="H666" s="79" t="s">
        <v>1132</v>
      </c>
      <c r="I666" s="79"/>
    </row>
    <row r="667" spans="1:9" ht="15">
      <c r="A667" s="79" t="s">
        <v>2758</v>
      </c>
      <c r="B667" s="79" t="s">
        <v>2759</v>
      </c>
      <c r="C667" s="79">
        <v>592065719</v>
      </c>
      <c r="D667" s="79">
        <v>0</v>
      </c>
      <c r="E667" s="79" t="s">
        <v>1124</v>
      </c>
      <c r="F667" s="79" t="s">
        <v>2539</v>
      </c>
      <c r="G667" s="79" t="s">
        <v>2578</v>
      </c>
      <c r="H667" s="79"/>
      <c r="I667" s="79"/>
    </row>
    <row r="668" spans="1:9" ht="15">
      <c r="A668" s="79" t="s">
        <v>2760</v>
      </c>
      <c r="B668" s="79" t="s">
        <v>2761</v>
      </c>
      <c r="C668" s="79">
        <v>592066319</v>
      </c>
      <c r="D668" s="79">
        <v>0</v>
      </c>
      <c r="E668" s="79" t="s">
        <v>1124</v>
      </c>
      <c r="F668" s="79" t="s">
        <v>2539</v>
      </c>
      <c r="G668" s="79" t="s">
        <v>2546</v>
      </c>
      <c r="H668" s="79" t="s">
        <v>2547</v>
      </c>
      <c r="I668" s="79"/>
    </row>
    <row r="669" spans="1:9" ht="15">
      <c r="A669" s="79" t="s">
        <v>2760</v>
      </c>
      <c r="B669" s="79" t="s">
        <v>2761</v>
      </c>
      <c r="C669" s="79">
        <v>592066319</v>
      </c>
      <c r="D669" s="79">
        <v>0</v>
      </c>
      <c r="E669" s="79" t="s">
        <v>1124</v>
      </c>
      <c r="F669" s="79" t="s">
        <v>2539</v>
      </c>
      <c r="G669" s="79" t="s">
        <v>2581</v>
      </c>
      <c r="H669" s="79"/>
      <c r="I669" s="79"/>
    </row>
    <row r="670" spans="1:9" ht="15">
      <c r="A670" s="79" t="s">
        <v>2762</v>
      </c>
      <c r="B670" s="79" t="s">
        <v>2763</v>
      </c>
      <c r="C670" s="79">
        <v>592108919</v>
      </c>
      <c r="D670" s="79">
        <v>0</v>
      </c>
      <c r="E670" s="79" t="s">
        <v>1124</v>
      </c>
      <c r="F670" s="79" t="s">
        <v>2539</v>
      </c>
      <c r="G670" s="79" t="s">
        <v>1130</v>
      </c>
      <c r="H670" s="79"/>
      <c r="I670" s="79"/>
    </row>
    <row r="671" spans="1:9" ht="15">
      <c r="A671" s="79" t="s">
        <v>2762</v>
      </c>
      <c r="B671" s="79" t="s">
        <v>2763</v>
      </c>
      <c r="C671" s="79">
        <v>592108919</v>
      </c>
      <c r="D671" s="79">
        <v>0</v>
      </c>
      <c r="E671" s="79" t="s">
        <v>1124</v>
      </c>
      <c r="F671" s="79" t="s">
        <v>2539</v>
      </c>
      <c r="G671" s="79" t="s">
        <v>1131</v>
      </c>
      <c r="H671" s="79" t="s">
        <v>1132</v>
      </c>
      <c r="I671" s="79"/>
    </row>
    <row r="672" spans="1:9" ht="15">
      <c r="A672" s="79" t="s">
        <v>2762</v>
      </c>
      <c r="B672" s="79" t="s">
        <v>2763</v>
      </c>
      <c r="C672" s="79">
        <v>592108919</v>
      </c>
      <c r="D672" s="79">
        <v>0</v>
      </c>
      <c r="E672" s="79" t="s">
        <v>1124</v>
      </c>
      <c r="F672" s="79" t="s">
        <v>2539</v>
      </c>
      <c r="G672" s="79" t="s">
        <v>2578</v>
      </c>
      <c r="H672" s="79"/>
      <c r="I672" s="79"/>
    </row>
    <row r="673" spans="1:9" ht="15">
      <c r="A673" s="79" t="s">
        <v>2764</v>
      </c>
      <c r="B673" s="79" t="s">
        <v>2765</v>
      </c>
      <c r="C673" s="79">
        <v>592109519</v>
      </c>
      <c r="D673" s="79">
        <v>0</v>
      </c>
      <c r="E673" s="79" t="s">
        <v>1124</v>
      </c>
      <c r="F673" s="79" t="s">
        <v>2539</v>
      </c>
      <c r="G673" s="79" t="s">
        <v>2546</v>
      </c>
      <c r="H673" s="79" t="s">
        <v>2547</v>
      </c>
      <c r="I673" s="79"/>
    </row>
    <row r="674" spans="1:9" ht="15">
      <c r="A674" s="79" t="s">
        <v>2764</v>
      </c>
      <c r="B674" s="79" t="s">
        <v>2765</v>
      </c>
      <c r="C674" s="79">
        <v>592109519</v>
      </c>
      <c r="D674" s="79">
        <v>0</v>
      </c>
      <c r="E674" s="79" t="s">
        <v>1124</v>
      </c>
      <c r="F674" s="79" t="s">
        <v>2539</v>
      </c>
      <c r="G674" s="79" t="s">
        <v>2581</v>
      </c>
      <c r="H674" s="79"/>
      <c r="I674" s="79"/>
    </row>
    <row r="675" spans="1:9" ht="15">
      <c r="A675" s="79" t="s">
        <v>2766</v>
      </c>
      <c r="B675" s="79" t="s">
        <v>2767</v>
      </c>
      <c r="C675" s="79">
        <v>592152119</v>
      </c>
      <c r="D675" s="79">
        <v>0</v>
      </c>
      <c r="E675" s="79" t="s">
        <v>1124</v>
      </c>
      <c r="F675" s="79" t="s">
        <v>2539</v>
      </c>
      <c r="G675" s="79" t="s">
        <v>1130</v>
      </c>
      <c r="H675" s="79"/>
      <c r="I675" s="79"/>
    </row>
    <row r="676" spans="1:9" ht="15">
      <c r="A676" s="79" t="s">
        <v>2766</v>
      </c>
      <c r="B676" s="79" t="s">
        <v>2767</v>
      </c>
      <c r="C676" s="79">
        <v>592152119</v>
      </c>
      <c r="D676" s="79">
        <v>0</v>
      </c>
      <c r="E676" s="79" t="s">
        <v>1124</v>
      </c>
      <c r="F676" s="79" t="s">
        <v>2539</v>
      </c>
      <c r="G676" s="79" t="s">
        <v>1131</v>
      </c>
      <c r="H676" s="79" t="s">
        <v>1132</v>
      </c>
      <c r="I676" s="79"/>
    </row>
    <row r="677" spans="1:9" ht="15">
      <c r="A677" s="79" t="s">
        <v>2766</v>
      </c>
      <c r="B677" s="79" t="s">
        <v>2767</v>
      </c>
      <c r="C677" s="79">
        <v>592152119</v>
      </c>
      <c r="D677" s="79">
        <v>0</v>
      </c>
      <c r="E677" s="79" t="s">
        <v>1124</v>
      </c>
      <c r="F677" s="79" t="s">
        <v>2539</v>
      </c>
      <c r="G677" s="79" t="s">
        <v>2578</v>
      </c>
      <c r="H677" s="79"/>
      <c r="I677" s="79"/>
    </row>
    <row r="678" spans="1:9" ht="15">
      <c r="A678" s="79" t="s">
        <v>2768</v>
      </c>
      <c r="B678" s="79" t="s">
        <v>2769</v>
      </c>
      <c r="C678" s="79">
        <v>592152719</v>
      </c>
      <c r="D678" s="79">
        <v>0</v>
      </c>
      <c r="E678" s="79" t="s">
        <v>1124</v>
      </c>
      <c r="F678" s="79" t="s">
        <v>2539</v>
      </c>
      <c r="G678" s="79" t="s">
        <v>2546</v>
      </c>
      <c r="H678" s="79" t="s">
        <v>2547</v>
      </c>
      <c r="I678" s="79"/>
    </row>
    <row r="679" spans="1:9" ht="15">
      <c r="A679" s="79" t="s">
        <v>2768</v>
      </c>
      <c r="B679" s="79" t="s">
        <v>2769</v>
      </c>
      <c r="C679" s="79">
        <v>592152719</v>
      </c>
      <c r="D679" s="79">
        <v>0</v>
      </c>
      <c r="E679" s="79" t="s">
        <v>1124</v>
      </c>
      <c r="F679" s="79" t="s">
        <v>2539</v>
      </c>
      <c r="G679" s="79" t="s">
        <v>2581</v>
      </c>
      <c r="H679" s="79"/>
      <c r="I679" s="79"/>
    </row>
    <row r="680" spans="1:9" ht="15">
      <c r="A680" s="79" t="s">
        <v>2770</v>
      </c>
      <c r="B680" s="79" t="s">
        <v>2771</v>
      </c>
      <c r="C680" s="79">
        <v>592195319</v>
      </c>
      <c r="D680" s="79">
        <v>0</v>
      </c>
      <c r="E680" s="79" t="s">
        <v>1124</v>
      </c>
      <c r="F680" s="79" t="s">
        <v>2539</v>
      </c>
      <c r="G680" s="79" t="s">
        <v>1130</v>
      </c>
      <c r="H680" s="79"/>
      <c r="I680" s="79"/>
    </row>
    <row r="681" spans="1:9" ht="15">
      <c r="A681" s="79" t="s">
        <v>2770</v>
      </c>
      <c r="B681" s="79" t="s">
        <v>2771</v>
      </c>
      <c r="C681" s="79">
        <v>592195319</v>
      </c>
      <c r="D681" s="79">
        <v>0</v>
      </c>
      <c r="E681" s="79" t="s">
        <v>1124</v>
      </c>
      <c r="F681" s="79" t="s">
        <v>2539</v>
      </c>
      <c r="G681" s="79" t="s">
        <v>1131</v>
      </c>
      <c r="H681" s="79" t="s">
        <v>1132</v>
      </c>
      <c r="I681" s="79"/>
    </row>
    <row r="682" spans="1:9" ht="15">
      <c r="A682" s="79" t="s">
        <v>2770</v>
      </c>
      <c r="B682" s="79" t="s">
        <v>2771</v>
      </c>
      <c r="C682" s="79">
        <v>592195319</v>
      </c>
      <c r="D682" s="79">
        <v>0</v>
      </c>
      <c r="E682" s="79" t="s">
        <v>1124</v>
      </c>
      <c r="F682" s="79" t="s">
        <v>2539</v>
      </c>
      <c r="G682" s="79" t="s">
        <v>2578</v>
      </c>
      <c r="H682" s="79"/>
      <c r="I682" s="79"/>
    </row>
    <row r="683" spans="1:9" ht="15">
      <c r="A683" s="79" t="s">
        <v>2772</v>
      </c>
      <c r="B683" s="79" t="s">
        <v>2773</v>
      </c>
      <c r="C683" s="79">
        <v>592195919</v>
      </c>
      <c r="D683" s="79">
        <v>0</v>
      </c>
      <c r="E683" s="79" t="s">
        <v>1124</v>
      </c>
      <c r="F683" s="79" t="s">
        <v>2539</v>
      </c>
      <c r="G683" s="79" t="s">
        <v>2546</v>
      </c>
      <c r="H683" s="79" t="s">
        <v>2547</v>
      </c>
      <c r="I683" s="79"/>
    </row>
    <row r="684" spans="1:9" ht="15">
      <c r="A684" s="79" t="s">
        <v>2772</v>
      </c>
      <c r="B684" s="79" t="s">
        <v>2773</v>
      </c>
      <c r="C684" s="79">
        <v>592195919</v>
      </c>
      <c r="D684" s="79">
        <v>0</v>
      </c>
      <c r="E684" s="79" t="s">
        <v>1124</v>
      </c>
      <c r="F684" s="79" t="s">
        <v>2539</v>
      </c>
      <c r="G684" s="79" t="s">
        <v>2581</v>
      </c>
      <c r="H684" s="79"/>
      <c r="I684" s="79"/>
    </row>
    <row r="685" spans="1:9" ht="15">
      <c r="A685" s="79" t="s">
        <v>2774</v>
      </c>
      <c r="B685" s="79" t="s">
        <v>2775</v>
      </c>
      <c r="C685" s="79">
        <v>592238519</v>
      </c>
      <c r="D685" s="79">
        <v>0</v>
      </c>
      <c r="E685" s="79" t="s">
        <v>1124</v>
      </c>
      <c r="F685" s="79" t="s">
        <v>2539</v>
      </c>
      <c r="G685" s="79" t="s">
        <v>1130</v>
      </c>
      <c r="H685" s="79"/>
      <c r="I685" s="79"/>
    </row>
    <row r="686" spans="1:9" ht="15">
      <c r="A686" s="79" t="s">
        <v>2774</v>
      </c>
      <c r="B686" s="79" t="s">
        <v>2775</v>
      </c>
      <c r="C686" s="79">
        <v>592238519</v>
      </c>
      <c r="D686" s="79">
        <v>0</v>
      </c>
      <c r="E686" s="79" t="s">
        <v>1124</v>
      </c>
      <c r="F686" s="79" t="s">
        <v>2539</v>
      </c>
      <c r="G686" s="79" t="s">
        <v>1131</v>
      </c>
      <c r="H686" s="79" t="s">
        <v>1132</v>
      </c>
      <c r="I686" s="79"/>
    </row>
    <row r="687" spans="1:9" ht="15">
      <c r="A687" s="79" t="s">
        <v>2774</v>
      </c>
      <c r="B687" s="79" t="s">
        <v>2775</v>
      </c>
      <c r="C687" s="79">
        <v>592238519</v>
      </c>
      <c r="D687" s="79">
        <v>0</v>
      </c>
      <c r="E687" s="79" t="s">
        <v>1124</v>
      </c>
      <c r="F687" s="79" t="s">
        <v>2539</v>
      </c>
      <c r="G687" s="79" t="s">
        <v>2578</v>
      </c>
      <c r="H687" s="79"/>
      <c r="I687" s="79"/>
    </row>
    <row r="688" spans="1:9" ht="15">
      <c r="A688" s="79" t="s">
        <v>2776</v>
      </c>
      <c r="B688" s="79" t="s">
        <v>2777</v>
      </c>
      <c r="C688" s="79">
        <v>592239119</v>
      </c>
      <c r="D688" s="79">
        <v>0</v>
      </c>
      <c r="E688" s="79" t="s">
        <v>1124</v>
      </c>
      <c r="F688" s="79" t="s">
        <v>2539</v>
      </c>
      <c r="G688" s="79" t="s">
        <v>2546</v>
      </c>
      <c r="H688" s="79" t="s">
        <v>2547</v>
      </c>
      <c r="I688" s="79"/>
    </row>
    <row r="689" spans="1:9" ht="15">
      <c r="A689" s="79" t="s">
        <v>2776</v>
      </c>
      <c r="B689" s="79" t="s">
        <v>2777</v>
      </c>
      <c r="C689" s="79">
        <v>592239119</v>
      </c>
      <c r="D689" s="79">
        <v>0</v>
      </c>
      <c r="E689" s="79" t="s">
        <v>1124</v>
      </c>
      <c r="F689" s="79" t="s">
        <v>2539</v>
      </c>
      <c r="G689" s="79" t="s">
        <v>2581</v>
      </c>
      <c r="H689" s="79"/>
      <c r="I689" s="79"/>
    </row>
    <row r="690" spans="1:9" ht="15">
      <c r="A690" s="79" t="s">
        <v>2778</v>
      </c>
      <c r="B690" s="79" t="s">
        <v>2779</v>
      </c>
      <c r="C690" s="79">
        <v>592281719</v>
      </c>
      <c r="D690" s="79">
        <v>0</v>
      </c>
      <c r="E690" s="79" t="s">
        <v>1124</v>
      </c>
      <c r="F690" s="79" t="s">
        <v>2539</v>
      </c>
      <c r="G690" s="79" t="s">
        <v>1130</v>
      </c>
      <c r="H690" s="79"/>
      <c r="I690" s="79"/>
    </row>
    <row r="691" spans="1:9" ht="15">
      <c r="A691" s="79" t="s">
        <v>2778</v>
      </c>
      <c r="B691" s="79" t="s">
        <v>2779</v>
      </c>
      <c r="C691" s="79">
        <v>592281719</v>
      </c>
      <c r="D691" s="79">
        <v>0</v>
      </c>
      <c r="E691" s="79" t="s">
        <v>1124</v>
      </c>
      <c r="F691" s="79" t="s">
        <v>2539</v>
      </c>
      <c r="G691" s="79" t="s">
        <v>1131</v>
      </c>
      <c r="H691" s="79" t="s">
        <v>1132</v>
      </c>
      <c r="I691" s="79"/>
    </row>
    <row r="692" spans="1:9" ht="15">
      <c r="A692" s="79" t="s">
        <v>2778</v>
      </c>
      <c r="B692" s="79" t="s">
        <v>2779</v>
      </c>
      <c r="C692" s="79">
        <v>592281719</v>
      </c>
      <c r="D692" s="79">
        <v>0</v>
      </c>
      <c r="E692" s="79" t="s">
        <v>1124</v>
      </c>
      <c r="F692" s="79" t="s">
        <v>2539</v>
      </c>
      <c r="G692" s="79" t="s">
        <v>2578</v>
      </c>
      <c r="H692" s="79"/>
      <c r="I692" s="79"/>
    </row>
    <row r="693" spans="1:9" ht="15">
      <c r="A693" s="79" t="s">
        <v>2780</v>
      </c>
      <c r="B693" s="79" t="s">
        <v>2781</v>
      </c>
      <c r="C693" s="79">
        <v>592282319</v>
      </c>
      <c r="D693" s="79">
        <v>0</v>
      </c>
      <c r="E693" s="79" t="s">
        <v>1124</v>
      </c>
      <c r="F693" s="79" t="s">
        <v>2539</v>
      </c>
      <c r="G693" s="79" t="s">
        <v>2546</v>
      </c>
      <c r="H693" s="79" t="s">
        <v>2547</v>
      </c>
      <c r="I693" s="79"/>
    </row>
    <row r="694" spans="1:9" ht="15">
      <c r="A694" s="79" t="s">
        <v>2780</v>
      </c>
      <c r="B694" s="79" t="s">
        <v>2781</v>
      </c>
      <c r="C694" s="79">
        <v>592282319</v>
      </c>
      <c r="D694" s="79">
        <v>0</v>
      </c>
      <c r="E694" s="79" t="s">
        <v>1124</v>
      </c>
      <c r="F694" s="79" t="s">
        <v>2539</v>
      </c>
      <c r="G694" s="79" t="s">
        <v>2581</v>
      </c>
      <c r="H694" s="79"/>
      <c r="I694" s="79"/>
    </row>
    <row r="695" spans="1:9" ht="15">
      <c r="A695" s="79" t="s">
        <v>2782</v>
      </c>
      <c r="B695" s="79" t="s">
        <v>2783</v>
      </c>
      <c r="C695" s="79">
        <v>592324919</v>
      </c>
      <c r="D695" s="79">
        <v>0</v>
      </c>
      <c r="E695" s="79" t="s">
        <v>1124</v>
      </c>
      <c r="F695" s="79" t="s">
        <v>2539</v>
      </c>
      <c r="G695" s="79" t="s">
        <v>1130</v>
      </c>
      <c r="H695" s="79"/>
      <c r="I695" s="79"/>
    </row>
    <row r="696" spans="1:9" ht="15">
      <c r="A696" s="79" t="s">
        <v>2782</v>
      </c>
      <c r="B696" s="79" t="s">
        <v>2783</v>
      </c>
      <c r="C696" s="79">
        <v>592324919</v>
      </c>
      <c r="D696" s="79">
        <v>0</v>
      </c>
      <c r="E696" s="79" t="s">
        <v>1124</v>
      </c>
      <c r="F696" s="79" t="s">
        <v>2539</v>
      </c>
      <c r="G696" s="79" t="s">
        <v>1131</v>
      </c>
      <c r="H696" s="79" t="s">
        <v>1132</v>
      </c>
      <c r="I696" s="79"/>
    </row>
    <row r="697" spans="1:9" ht="15">
      <c r="A697" s="79" t="s">
        <v>2782</v>
      </c>
      <c r="B697" s="79" t="s">
        <v>2783</v>
      </c>
      <c r="C697" s="79">
        <v>592324919</v>
      </c>
      <c r="D697" s="79">
        <v>0</v>
      </c>
      <c r="E697" s="79" t="s">
        <v>1124</v>
      </c>
      <c r="F697" s="79" t="s">
        <v>2539</v>
      </c>
      <c r="G697" s="79" t="s">
        <v>2578</v>
      </c>
      <c r="H697" s="79"/>
      <c r="I697" s="79"/>
    </row>
    <row r="698" spans="1:9" ht="15">
      <c r="A698" s="79" t="s">
        <v>2784</v>
      </c>
      <c r="B698" s="79" t="s">
        <v>2785</v>
      </c>
      <c r="C698" s="79">
        <v>592325519</v>
      </c>
      <c r="D698" s="79">
        <v>0</v>
      </c>
      <c r="E698" s="79" t="s">
        <v>1124</v>
      </c>
      <c r="F698" s="79" t="s">
        <v>2539</v>
      </c>
      <c r="G698" s="79" t="s">
        <v>2546</v>
      </c>
      <c r="H698" s="79" t="s">
        <v>2547</v>
      </c>
      <c r="I698" s="79"/>
    </row>
    <row r="699" spans="1:9" ht="15">
      <c r="A699" s="79" t="s">
        <v>2784</v>
      </c>
      <c r="B699" s="79" t="s">
        <v>2785</v>
      </c>
      <c r="C699" s="79">
        <v>592325519</v>
      </c>
      <c r="D699" s="79">
        <v>0</v>
      </c>
      <c r="E699" s="79" t="s">
        <v>1124</v>
      </c>
      <c r="F699" s="79" t="s">
        <v>2539</v>
      </c>
      <c r="G699" s="79" t="s">
        <v>2581</v>
      </c>
      <c r="H699" s="79"/>
      <c r="I699" s="79"/>
    </row>
    <row r="700" spans="1:9" ht="15">
      <c r="A700" s="79" t="s">
        <v>2786</v>
      </c>
      <c r="B700" s="79" t="s">
        <v>2787</v>
      </c>
      <c r="C700" s="79">
        <v>592368119</v>
      </c>
      <c r="D700" s="79">
        <v>0</v>
      </c>
      <c r="E700" s="79" t="s">
        <v>1124</v>
      </c>
      <c r="F700" s="79" t="s">
        <v>2539</v>
      </c>
      <c r="G700" s="79" t="s">
        <v>1130</v>
      </c>
      <c r="H700" s="79"/>
      <c r="I700" s="79"/>
    </row>
    <row r="701" spans="1:9" ht="15">
      <c r="A701" s="79" t="s">
        <v>2786</v>
      </c>
      <c r="B701" s="79" t="s">
        <v>2787</v>
      </c>
      <c r="C701" s="79">
        <v>592368119</v>
      </c>
      <c r="D701" s="79">
        <v>0</v>
      </c>
      <c r="E701" s="79" t="s">
        <v>1124</v>
      </c>
      <c r="F701" s="79" t="s">
        <v>2539</v>
      </c>
      <c r="G701" s="79" t="s">
        <v>1131</v>
      </c>
      <c r="H701" s="79" t="s">
        <v>1132</v>
      </c>
      <c r="I701" s="79"/>
    </row>
    <row r="702" spans="1:9" ht="15">
      <c r="A702" s="79" t="s">
        <v>2786</v>
      </c>
      <c r="B702" s="79" t="s">
        <v>2787</v>
      </c>
      <c r="C702" s="79">
        <v>592368119</v>
      </c>
      <c r="D702" s="79">
        <v>0</v>
      </c>
      <c r="E702" s="79" t="s">
        <v>1124</v>
      </c>
      <c r="F702" s="79" t="s">
        <v>2539</v>
      </c>
      <c r="G702" s="79" t="s">
        <v>2578</v>
      </c>
      <c r="H702" s="79"/>
      <c r="I702" s="79"/>
    </row>
    <row r="703" spans="1:9" ht="15">
      <c r="A703" s="79" t="s">
        <v>2788</v>
      </c>
      <c r="B703" s="79" t="s">
        <v>2789</v>
      </c>
      <c r="C703" s="79">
        <v>592368719</v>
      </c>
      <c r="D703" s="79">
        <v>0</v>
      </c>
      <c r="E703" s="79" t="s">
        <v>1124</v>
      </c>
      <c r="F703" s="79" t="s">
        <v>2539</v>
      </c>
      <c r="G703" s="79" t="s">
        <v>2546</v>
      </c>
      <c r="H703" s="79" t="s">
        <v>2547</v>
      </c>
      <c r="I703" s="79"/>
    </row>
    <row r="704" spans="1:9" ht="15">
      <c r="A704" s="79" t="s">
        <v>2788</v>
      </c>
      <c r="B704" s="79" t="s">
        <v>2789</v>
      </c>
      <c r="C704" s="79">
        <v>592368719</v>
      </c>
      <c r="D704" s="79">
        <v>0</v>
      </c>
      <c r="E704" s="79" t="s">
        <v>1124</v>
      </c>
      <c r="F704" s="79" t="s">
        <v>2539</v>
      </c>
      <c r="G704" s="79" t="s">
        <v>2581</v>
      </c>
      <c r="H704" s="79"/>
      <c r="I704" s="79"/>
    </row>
    <row r="705" spans="1:9" ht="15">
      <c r="A705" s="79" t="s">
        <v>2790</v>
      </c>
      <c r="B705" s="79" t="s">
        <v>2791</v>
      </c>
      <c r="C705" s="79">
        <v>592411319</v>
      </c>
      <c r="D705" s="79">
        <v>0</v>
      </c>
      <c r="E705" s="79" t="s">
        <v>1124</v>
      </c>
      <c r="F705" s="79" t="s">
        <v>2539</v>
      </c>
      <c r="G705" s="79" t="s">
        <v>1130</v>
      </c>
      <c r="H705" s="79"/>
      <c r="I705" s="79"/>
    </row>
    <row r="706" spans="1:9" ht="15">
      <c r="A706" s="79" t="s">
        <v>2790</v>
      </c>
      <c r="B706" s="79" t="s">
        <v>2791</v>
      </c>
      <c r="C706" s="79">
        <v>592411319</v>
      </c>
      <c r="D706" s="79">
        <v>0</v>
      </c>
      <c r="E706" s="79" t="s">
        <v>1124</v>
      </c>
      <c r="F706" s="79" t="s">
        <v>2539</v>
      </c>
      <c r="G706" s="79" t="s">
        <v>1131</v>
      </c>
      <c r="H706" s="79" t="s">
        <v>1132</v>
      </c>
      <c r="I706" s="79"/>
    </row>
    <row r="707" spans="1:9" ht="15">
      <c r="A707" s="79" t="s">
        <v>2790</v>
      </c>
      <c r="B707" s="79" t="s">
        <v>2791</v>
      </c>
      <c r="C707" s="79">
        <v>592411319</v>
      </c>
      <c r="D707" s="79">
        <v>0</v>
      </c>
      <c r="E707" s="79" t="s">
        <v>1124</v>
      </c>
      <c r="F707" s="79" t="s">
        <v>2539</v>
      </c>
      <c r="G707" s="79" t="s">
        <v>2578</v>
      </c>
      <c r="H707" s="79"/>
      <c r="I707" s="79"/>
    </row>
    <row r="708" spans="1:9" ht="15">
      <c r="A708" s="79" t="s">
        <v>2792</v>
      </c>
      <c r="B708" s="79" t="s">
        <v>2793</v>
      </c>
      <c r="C708" s="79">
        <v>592411919</v>
      </c>
      <c r="D708" s="79">
        <v>0</v>
      </c>
      <c r="E708" s="79" t="s">
        <v>1124</v>
      </c>
      <c r="F708" s="79" t="s">
        <v>2539</v>
      </c>
      <c r="G708" s="79" t="s">
        <v>2546</v>
      </c>
      <c r="H708" s="79" t="s">
        <v>2547</v>
      </c>
      <c r="I708" s="79"/>
    </row>
    <row r="709" spans="1:9" ht="15">
      <c r="A709" s="79" t="s">
        <v>2792</v>
      </c>
      <c r="B709" s="79" t="s">
        <v>2793</v>
      </c>
      <c r="C709" s="79">
        <v>592411919</v>
      </c>
      <c r="D709" s="79">
        <v>0</v>
      </c>
      <c r="E709" s="79" t="s">
        <v>1124</v>
      </c>
      <c r="F709" s="79" t="s">
        <v>2539</v>
      </c>
      <c r="G709" s="79" t="s">
        <v>2581</v>
      </c>
      <c r="H709" s="79"/>
      <c r="I709" s="79"/>
    </row>
    <row r="710" spans="1:9" ht="15">
      <c r="A710" s="79" t="s">
        <v>2794</v>
      </c>
      <c r="B710" s="79" t="s">
        <v>2795</v>
      </c>
      <c r="C710" s="79">
        <v>592454519</v>
      </c>
      <c r="D710" s="79">
        <v>0</v>
      </c>
      <c r="E710" s="79" t="s">
        <v>1124</v>
      </c>
      <c r="F710" s="79" t="s">
        <v>2539</v>
      </c>
      <c r="G710" s="79" t="s">
        <v>1130</v>
      </c>
      <c r="H710" s="79"/>
      <c r="I710" s="79"/>
    </row>
    <row r="711" spans="1:9" ht="15">
      <c r="A711" s="79" t="s">
        <v>2794</v>
      </c>
      <c r="B711" s="79" t="s">
        <v>2795</v>
      </c>
      <c r="C711" s="79">
        <v>592454519</v>
      </c>
      <c r="D711" s="79">
        <v>0</v>
      </c>
      <c r="E711" s="79" t="s">
        <v>1124</v>
      </c>
      <c r="F711" s="79" t="s">
        <v>2539</v>
      </c>
      <c r="G711" s="79" t="s">
        <v>1131</v>
      </c>
      <c r="H711" s="79" t="s">
        <v>1132</v>
      </c>
      <c r="I711" s="79"/>
    </row>
    <row r="712" spans="1:9" ht="15">
      <c r="A712" s="79" t="s">
        <v>2794</v>
      </c>
      <c r="B712" s="79" t="s">
        <v>2795</v>
      </c>
      <c r="C712" s="79">
        <v>592454519</v>
      </c>
      <c r="D712" s="79">
        <v>0</v>
      </c>
      <c r="E712" s="79" t="s">
        <v>1124</v>
      </c>
      <c r="F712" s="79" t="s">
        <v>2539</v>
      </c>
      <c r="G712" s="79" t="s">
        <v>2578</v>
      </c>
      <c r="H712" s="79"/>
      <c r="I712" s="79"/>
    </row>
    <row r="713" spans="1:9" ht="15">
      <c r="A713" s="79" t="s">
        <v>2796</v>
      </c>
      <c r="B713" s="79" t="s">
        <v>2797</v>
      </c>
      <c r="C713" s="79">
        <v>592455119</v>
      </c>
      <c r="D713" s="79">
        <v>0</v>
      </c>
      <c r="E713" s="79" t="s">
        <v>1124</v>
      </c>
      <c r="F713" s="79" t="s">
        <v>2539</v>
      </c>
      <c r="G713" s="79" t="s">
        <v>2546</v>
      </c>
      <c r="H713" s="79" t="s">
        <v>2547</v>
      </c>
      <c r="I713" s="79"/>
    </row>
    <row r="714" spans="1:9" ht="15">
      <c r="A714" s="79" t="s">
        <v>2796</v>
      </c>
      <c r="B714" s="79" t="s">
        <v>2797</v>
      </c>
      <c r="C714" s="79">
        <v>592455119</v>
      </c>
      <c r="D714" s="79">
        <v>0</v>
      </c>
      <c r="E714" s="79" t="s">
        <v>1124</v>
      </c>
      <c r="F714" s="79" t="s">
        <v>2539</v>
      </c>
      <c r="G714" s="79" t="s">
        <v>2581</v>
      </c>
      <c r="H714" s="79"/>
      <c r="I714" s="79"/>
    </row>
    <row r="715" spans="1:9" ht="15">
      <c r="A715" s="79" t="s">
        <v>2798</v>
      </c>
      <c r="B715" s="79" t="s">
        <v>2799</v>
      </c>
      <c r="C715" s="79">
        <v>592497719</v>
      </c>
      <c r="D715" s="79">
        <v>0</v>
      </c>
      <c r="E715" s="79" t="s">
        <v>1124</v>
      </c>
      <c r="F715" s="79" t="s">
        <v>2539</v>
      </c>
      <c r="G715" s="79" t="s">
        <v>1130</v>
      </c>
      <c r="H715" s="79"/>
      <c r="I715" s="79"/>
    </row>
    <row r="716" spans="1:9" ht="15">
      <c r="A716" s="79" t="s">
        <v>2798</v>
      </c>
      <c r="B716" s="79" t="s">
        <v>2799</v>
      </c>
      <c r="C716" s="79">
        <v>592497719</v>
      </c>
      <c r="D716" s="79">
        <v>0</v>
      </c>
      <c r="E716" s="79" t="s">
        <v>1124</v>
      </c>
      <c r="F716" s="79" t="s">
        <v>2539</v>
      </c>
      <c r="G716" s="79" t="s">
        <v>1131</v>
      </c>
      <c r="H716" s="79" t="s">
        <v>1132</v>
      </c>
      <c r="I716" s="79"/>
    </row>
    <row r="717" spans="1:9" ht="15">
      <c r="A717" s="79" t="s">
        <v>2798</v>
      </c>
      <c r="B717" s="79" t="s">
        <v>2799</v>
      </c>
      <c r="C717" s="79">
        <v>592497719</v>
      </c>
      <c r="D717" s="79">
        <v>0</v>
      </c>
      <c r="E717" s="79" t="s">
        <v>1124</v>
      </c>
      <c r="F717" s="79" t="s">
        <v>2539</v>
      </c>
      <c r="G717" s="79" t="s">
        <v>2578</v>
      </c>
      <c r="H717" s="79"/>
      <c r="I717" s="79"/>
    </row>
    <row r="718" spans="1:9" ht="15">
      <c r="A718" s="79" t="s">
        <v>2800</v>
      </c>
      <c r="B718" s="79" t="s">
        <v>2801</v>
      </c>
      <c r="C718" s="79">
        <v>592498319</v>
      </c>
      <c r="D718" s="79">
        <v>0</v>
      </c>
      <c r="E718" s="79" t="s">
        <v>1124</v>
      </c>
      <c r="F718" s="79" t="s">
        <v>2539</v>
      </c>
      <c r="G718" s="79" t="s">
        <v>2546</v>
      </c>
      <c r="H718" s="79" t="s">
        <v>2547</v>
      </c>
      <c r="I718" s="79"/>
    </row>
    <row r="719" spans="1:9" ht="15">
      <c r="A719" s="79" t="s">
        <v>2800</v>
      </c>
      <c r="B719" s="79" t="s">
        <v>2801</v>
      </c>
      <c r="C719" s="79">
        <v>592498319</v>
      </c>
      <c r="D719" s="79">
        <v>0</v>
      </c>
      <c r="E719" s="79" t="s">
        <v>1124</v>
      </c>
      <c r="F719" s="79" t="s">
        <v>2539</v>
      </c>
      <c r="G719" s="79" t="s">
        <v>2581</v>
      </c>
      <c r="H719" s="79"/>
      <c r="I719" s="79"/>
    </row>
    <row r="720" spans="1:9" ht="15">
      <c r="A720" s="79" t="s">
        <v>2802</v>
      </c>
      <c r="B720" s="79" t="s">
        <v>2803</v>
      </c>
      <c r="C720" s="79">
        <v>592540919</v>
      </c>
      <c r="D720" s="79">
        <v>0</v>
      </c>
      <c r="E720" s="79" t="s">
        <v>1124</v>
      </c>
      <c r="F720" s="79" t="s">
        <v>2539</v>
      </c>
      <c r="G720" s="79" t="s">
        <v>1130</v>
      </c>
      <c r="H720" s="79"/>
      <c r="I720" s="79"/>
    </row>
    <row r="721" spans="1:9" ht="15">
      <c r="A721" s="79" t="s">
        <v>2802</v>
      </c>
      <c r="B721" s="79" t="s">
        <v>2803</v>
      </c>
      <c r="C721" s="79">
        <v>592540919</v>
      </c>
      <c r="D721" s="79">
        <v>0</v>
      </c>
      <c r="E721" s="79" t="s">
        <v>1124</v>
      </c>
      <c r="F721" s="79" t="s">
        <v>2539</v>
      </c>
      <c r="G721" s="79" t="s">
        <v>1131</v>
      </c>
      <c r="H721" s="79" t="s">
        <v>1132</v>
      </c>
      <c r="I721" s="79"/>
    </row>
    <row r="722" spans="1:9" ht="15">
      <c r="A722" s="79" t="s">
        <v>2802</v>
      </c>
      <c r="B722" s="79" t="s">
        <v>2803</v>
      </c>
      <c r="C722" s="79">
        <v>592540919</v>
      </c>
      <c r="D722" s="79">
        <v>0</v>
      </c>
      <c r="E722" s="79" t="s">
        <v>1124</v>
      </c>
      <c r="F722" s="79" t="s">
        <v>2539</v>
      </c>
      <c r="G722" s="79" t="s">
        <v>2578</v>
      </c>
      <c r="H722" s="79"/>
      <c r="I722" s="79"/>
    </row>
    <row r="723" spans="1:9" ht="15">
      <c r="A723" s="79" t="s">
        <v>2804</v>
      </c>
      <c r="B723" s="79" t="s">
        <v>2805</v>
      </c>
      <c r="C723" s="79">
        <v>592541519</v>
      </c>
      <c r="D723" s="79">
        <v>0</v>
      </c>
      <c r="E723" s="79" t="s">
        <v>1124</v>
      </c>
      <c r="F723" s="79" t="s">
        <v>2539</v>
      </c>
      <c r="G723" s="79" t="s">
        <v>2546</v>
      </c>
      <c r="H723" s="79" t="s">
        <v>2547</v>
      </c>
      <c r="I723" s="79"/>
    </row>
    <row r="724" spans="1:9" ht="15">
      <c r="A724" s="79" t="s">
        <v>2804</v>
      </c>
      <c r="B724" s="79" t="s">
        <v>2805</v>
      </c>
      <c r="C724" s="79">
        <v>592541519</v>
      </c>
      <c r="D724" s="79">
        <v>0</v>
      </c>
      <c r="E724" s="79" t="s">
        <v>1124</v>
      </c>
      <c r="F724" s="79" t="s">
        <v>2539</v>
      </c>
      <c r="G724" s="79" t="s">
        <v>2581</v>
      </c>
      <c r="H724" s="79"/>
      <c r="I724" s="79"/>
    </row>
    <row r="725" spans="1:9" ht="15">
      <c r="A725" s="79" t="s">
        <v>2806</v>
      </c>
      <c r="B725" s="79" t="s">
        <v>2807</v>
      </c>
      <c r="C725" s="79">
        <v>592584119</v>
      </c>
      <c r="D725" s="79">
        <v>0</v>
      </c>
      <c r="E725" s="79" t="s">
        <v>1124</v>
      </c>
      <c r="F725" s="79" t="s">
        <v>2539</v>
      </c>
      <c r="G725" s="79" t="s">
        <v>1130</v>
      </c>
      <c r="H725" s="79"/>
      <c r="I725" s="79"/>
    </row>
    <row r="726" spans="1:9" ht="15">
      <c r="A726" s="79" t="s">
        <v>2806</v>
      </c>
      <c r="B726" s="79" t="s">
        <v>2807</v>
      </c>
      <c r="C726" s="79">
        <v>592584119</v>
      </c>
      <c r="D726" s="79">
        <v>0</v>
      </c>
      <c r="E726" s="79" t="s">
        <v>1124</v>
      </c>
      <c r="F726" s="79" t="s">
        <v>2539</v>
      </c>
      <c r="G726" s="79" t="s">
        <v>1131</v>
      </c>
      <c r="H726" s="79" t="s">
        <v>1132</v>
      </c>
      <c r="I726" s="79"/>
    </row>
    <row r="727" spans="1:9" ht="15">
      <c r="A727" s="79" t="s">
        <v>2806</v>
      </c>
      <c r="B727" s="79" t="s">
        <v>2807</v>
      </c>
      <c r="C727" s="79">
        <v>592584119</v>
      </c>
      <c r="D727" s="79">
        <v>0</v>
      </c>
      <c r="E727" s="79" t="s">
        <v>1124</v>
      </c>
      <c r="F727" s="79" t="s">
        <v>2539</v>
      </c>
      <c r="G727" s="79" t="s">
        <v>2578</v>
      </c>
      <c r="H727" s="79"/>
      <c r="I727" s="79"/>
    </row>
    <row r="728" spans="1:9" ht="15">
      <c r="A728" s="79" t="s">
        <v>2808</v>
      </c>
      <c r="B728" s="79" t="s">
        <v>2809</v>
      </c>
      <c r="C728" s="79">
        <v>592584719</v>
      </c>
      <c r="D728" s="79">
        <v>0</v>
      </c>
      <c r="E728" s="79" t="s">
        <v>1124</v>
      </c>
      <c r="F728" s="79" t="s">
        <v>2539</v>
      </c>
      <c r="G728" s="79" t="s">
        <v>2546</v>
      </c>
      <c r="H728" s="79" t="s">
        <v>2547</v>
      </c>
      <c r="I728" s="79"/>
    </row>
    <row r="729" spans="1:9" ht="15">
      <c r="A729" s="79" t="s">
        <v>2808</v>
      </c>
      <c r="B729" s="79" t="s">
        <v>2809</v>
      </c>
      <c r="C729" s="79">
        <v>592584719</v>
      </c>
      <c r="D729" s="79">
        <v>0</v>
      </c>
      <c r="E729" s="79" t="s">
        <v>1124</v>
      </c>
      <c r="F729" s="79" t="s">
        <v>2539</v>
      </c>
      <c r="G729" s="79" t="s">
        <v>2581</v>
      </c>
      <c r="H729" s="79"/>
      <c r="I729" s="79"/>
    </row>
    <row r="730" spans="1:9" ht="15">
      <c r="A730" s="79" t="s">
        <v>2810</v>
      </c>
      <c r="B730" s="79" t="s">
        <v>2811</v>
      </c>
      <c r="C730" s="79">
        <v>592627319</v>
      </c>
      <c r="D730" s="79">
        <v>0</v>
      </c>
      <c r="E730" s="79" t="s">
        <v>1124</v>
      </c>
      <c r="F730" s="79" t="s">
        <v>2539</v>
      </c>
      <c r="G730" s="79" t="s">
        <v>1130</v>
      </c>
      <c r="H730" s="79"/>
      <c r="I730" s="79"/>
    </row>
    <row r="731" spans="1:9" ht="15">
      <c r="A731" s="79" t="s">
        <v>2810</v>
      </c>
      <c r="B731" s="79" t="s">
        <v>2811</v>
      </c>
      <c r="C731" s="79">
        <v>592627319</v>
      </c>
      <c r="D731" s="79">
        <v>0</v>
      </c>
      <c r="E731" s="79" t="s">
        <v>1124</v>
      </c>
      <c r="F731" s="79" t="s">
        <v>2539</v>
      </c>
      <c r="G731" s="79" t="s">
        <v>1131</v>
      </c>
      <c r="H731" s="79" t="s">
        <v>1132</v>
      </c>
      <c r="I731" s="79"/>
    </row>
    <row r="732" spans="1:9" ht="15">
      <c r="A732" s="79" t="s">
        <v>2810</v>
      </c>
      <c r="B732" s="79" t="s">
        <v>2811</v>
      </c>
      <c r="C732" s="79">
        <v>592627319</v>
      </c>
      <c r="D732" s="79">
        <v>0</v>
      </c>
      <c r="E732" s="79" t="s">
        <v>1124</v>
      </c>
      <c r="F732" s="79" t="s">
        <v>2539</v>
      </c>
      <c r="G732" s="79" t="s">
        <v>2578</v>
      </c>
      <c r="H732" s="79"/>
      <c r="I732" s="79"/>
    </row>
    <row r="733" spans="1:9" ht="15">
      <c r="A733" s="79" t="s">
        <v>2812</v>
      </c>
      <c r="B733" s="79" t="s">
        <v>2813</v>
      </c>
      <c r="C733" s="79">
        <v>592627919</v>
      </c>
      <c r="D733" s="79">
        <v>0</v>
      </c>
      <c r="E733" s="79" t="s">
        <v>1124</v>
      </c>
      <c r="F733" s="79" t="s">
        <v>2539</v>
      </c>
      <c r="G733" s="79" t="s">
        <v>2546</v>
      </c>
      <c r="H733" s="79" t="s">
        <v>2547</v>
      </c>
      <c r="I733" s="79"/>
    </row>
    <row r="734" spans="1:9" ht="15">
      <c r="A734" s="79" t="s">
        <v>2812</v>
      </c>
      <c r="B734" s="79" t="s">
        <v>2813</v>
      </c>
      <c r="C734" s="79">
        <v>592627919</v>
      </c>
      <c r="D734" s="79">
        <v>0</v>
      </c>
      <c r="E734" s="79" t="s">
        <v>1124</v>
      </c>
      <c r="F734" s="79" t="s">
        <v>2539</v>
      </c>
      <c r="G734" s="79" t="s">
        <v>2581</v>
      </c>
      <c r="H734" s="79"/>
      <c r="I734" s="79"/>
    </row>
    <row r="735" spans="1:9" ht="15">
      <c r="A735" s="79" t="s">
        <v>2814</v>
      </c>
      <c r="B735" s="79" t="s">
        <v>2815</v>
      </c>
      <c r="C735" s="79">
        <v>592670519</v>
      </c>
      <c r="D735" s="79">
        <v>0</v>
      </c>
      <c r="E735" s="79" t="s">
        <v>1124</v>
      </c>
      <c r="F735" s="79" t="s">
        <v>2539</v>
      </c>
      <c r="G735" s="79" t="s">
        <v>1130</v>
      </c>
      <c r="H735" s="79"/>
      <c r="I735" s="79"/>
    </row>
    <row r="736" spans="1:9" ht="15">
      <c r="A736" s="79" t="s">
        <v>2814</v>
      </c>
      <c r="B736" s="79" t="s">
        <v>2815</v>
      </c>
      <c r="C736" s="79">
        <v>592670519</v>
      </c>
      <c r="D736" s="79">
        <v>0</v>
      </c>
      <c r="E736" s="79" t="s">
        <v>1124</v>
      </c>
      <c r="F736" s="79" t="s">
        <v>2539</v>
      </c>
      <c r="G736" s="79" t="s">
        <v>1131</v>
      </c>
      <c r="H736" s="79" t="s">
        <v>1132</v>
      </c>
      <c r="I736" s="79"/>
    </row>
    <row r="737" spans="1:9" ht="15">
      <c r="A737" s="79" t="s">
        <v>2814</v>
      </c>
      <c r="B737" s="79" t="s">
        <v>2815</v>
      </c>
      <c r="C737" s="79">
        <v>592670519</v>
      </c>
      <c r="D737" s="79">
        <v>0</v>
      </c>
      <c r="E737" s="79" t="s">
        <v>1124</v>
      </c>
      <c r="F737" s="79" t="s">
        <v>2539</v>
      </c>
      <c r="G737" s="79" t="s">
        <v>2578</v>
      </c>
      <c r="H737" s="79"/>
      <c r="I737" s="79"/>
    </row>
    <row r="738" spans="1:9" ht="15">
      <c r="A738" s="79" t="s">
        <v>2816</v>
      </c>
      <c r="B738" s="79" t="s">
        <v>2817</v>
      </c>
      <c r="C738" s="79">
        <v>592671119</v>
      </c>
      <c r="D738" s="79">
        <v>0</v>
      </c>
      <c r="E738" s="79" t="s">
        <v>1124</v>
      </c>
      <c r="F738" s="79" t="s">
        <v>2539</v>
      </c>
      <c r="G738" s="79" t="s">
        <v>2546</v>
      </c>
      <c r="H738" s="79" t="s">
        <v>2547</v>
      </c>
      <c r="I738" s="79"/>
    </row>
    <row r="739" spans="1:9" ht="15">
      <c r="A739" s="79" t="s">
        <v>2816</v>
      </c>
      <c r="B739" s="79" t="s">
        <v>2817</v>
      </c>
      <c r="C739" s="79">
        <v>592671119</v>
      </c>
      <c r="D739" s="79">
        <v>0</v>
      </c>
      <c r="E739" s="79" t="s">
        <v>1124</v>
      </c>
      <c r="F739" s="79" t="s">
        <v>2539</v>
      </c>
      <c r="G739" s="79" t="s">
        <v>2581</v>
      </c>
      <c r="H739" s="79"/>
      <c r="I739" s="79"/>
    </row>
    <row r="740" spans="1:9" ht="15">
      <c r="A740" s="79" t="s">
        <v>2818</v>
      </c>
      <c r="B740" s="79" t="s">
        <v>2819</v>
      </c>
      <c r="C740" s="79">
        <v>592713719</v>
      </c>
      <c r="D740" s="79">
        <v>0</v>
      </c>
      <c r="E740" s="79" t="s">
        <v>1124</v>
      </c>
      <c r="F740" s="79" t="s">
        <v>2539</v>
      </c>
      <c r="G740" s="79" t="s">
        <v>1130</v>
      </c>
      <c r="H740" s="79"/>
      <c r="I740" s="79"/>
    </row>
    <row r="741" spans="1:9" ht="15">
      <c r="A741" s="79" t="s">
        <v>2818</v>
      </c>
      <c r="B741" s="79" t="s">
        <v>2819</v>
      </c>
      <c r="C741" s="79">
        <v>592713719</v>
      </c>
      <c r="D741" s="79">
        <v>0</v>
      </c>
      <c r="E741" s="79" t="s">
        <v>1124</v>
      </c>
      <c r="F741" s="79" t="s">
        <v>2539</v>
      </c>
      <c r="G741" s="79" t="s">
        <v>1131</v>
      </c>
      <c r="H741" s="79" t="s">
        <v>1132</v>
      </c>
      <c r="I741" s="79"/>
    </row>
    <row r="742" spans="1:9" ht="15">
      <c r="A742" s="79" t="s">
        <v>2818</v>
      </c>
      <c r="B742" s="79" t="s">
        <v>2819</v>
      </c>
      <c r="C742" s="79">
        <v>592713719</v>
      </c>
      <c r="D742" s="79">
        <v>0</v>
      </c>
      <c r="E742" s="79" t="s">
        <v>1124</v>
      </c>
      <c r="F742" s="79" t="s">
        <v>2539</v>
      </c>
      <c r="G742" s="79" t="s">
        <v>2578</v>
      </c>
      <c r="H742" s="79"/>
      <c r="I742" s="79"/>
    </row>
    <row r="743" spans="1:9" ht="15">
      <c r="A743" s="79" t="s">
        <v>2820</v>
      </c>
      <c r="B743" s="79" t="s">
        <v>2821</v>
      </c>
      <c r="C743" s="79">
        <v>592714319</v>
      </c>
      <c r="D743" s="79">
        <v>0</v>
      </c>
      <c r="E743" s="79" t="s">
        <v>1124</v>
      </c>
      <c r="F743" s="79" t="s">
        <v>2539</v>
      </c>
      <c r="G743" s="79" t="s">
        <v>2546</v>
      </c>
      <c r="H743" s="79" t="s">
        <v>2547</v>
      </c>
      <c r="I743" s="79"/>
    </row>
    <row r="744" spans="1:9" ht="15">
      <c r="A744" s="79" t="s">
        <v>2820</v>
      </c>
      <c r="B744" s="79" t="s">
        <v>2821</v>
      </c>
      <c r="C744" s="79">
        <v>592714319</v>
      </c>
      <c r="D744" s="79">
        <v>0</v>
      </c>
      <c r="E744" s="79" t="s">
        <v>1124</v>
      </c>
      <c r="F744" s="79" t="s">
        <v>2539</v>
      </c>
      <c r="G744" s="79" t="s">
        <v>2581</v>
      </c>
      <c r="H744" s="79"/>
      <c r="I744" s="79"/>
    </row>
    <row r="745" spans="1:9" ht="15">
      <c r="A745" s="79" t="s">
        <v>2822</v>
      </c>
      <c r="B745" s="79" t="s">
        <v>2823</v>
      </c>
      <c r="C745" s="79">
        <v>592756919</v>
      </c>
      <c r="D745" s="79">
        <v>0</v>
      </c>
      <c r="E745" s="79" t="s">
        <v>1124</v>
      </c>
      <c r="F745" s="79" t="s">
        <v>2539</v>
      </c>
      <c r="G745" s="79" t="s">
        <v>1130</v>
      </c>
      <c r="H745" s="79"/>
      <c r="I745" s="79"/>
    </row>
    <row r="746" spans="1:9" ht="15">
      <c r="A746" s="79" t="s">
        <v>2822</v>
      </c>
      <c r="B746" s="79" t="s">
        <v>2823</v>
      </c>
      <c r="C746" s="79">
        <v>592756919</v>
      </c>
      <c r="D746" s="79">
        <v>0</v>
      </c>
      <c r="E746" s="79" t="s">
        <v>1124</v>
      </c>
      <c r="F746" s="79" t="s">
        <v>2539</v>
      </c>
      <c r="G746" s="79" t="s">
        <v>1131</v>
      </c>
      <c r="H746" s="79" t="s">
        <v>1132</v>
      </c>
      <c r="I746" s="79"/>
    </row>
    <row r="747" spans="1:9" ht="15">
      <c r="A747" s="79" t="s">
        <v>2822</v>
      </c>
      <c r="B747" s="79" t="s">
        <v>2823</v>
      </c>
      <c r="C747" s="79">
        <v>592756919</v>
      </c>
      <c r="D747" s="79">
        <v>0</v>
      </c>
      <c r="E747" s="79" t="s">
        <v>1124</v>
      </c>
      <c r="F747" s="79" t="s">
        <v>2539</v>
      </c>
      <c r="G747" s="79" t="s">
        <v>2578</v>
      </c>
      <c r="H747" s="79"/>
      <c r="I747" s="79"/>
    </row>
    <row r="748" spans="1:9" ht="15">
      <c r="A748" s="79" t="s">
        <v>2824</v>
      </c>
      <c r="B748" s="79" t="s">
        <v>2825</v>
      </c>
      <c r="C748" s="79">
        <v>592757519</v>
      </c>
      <c r="D748" s="79">
        <v>0</v>
      </c>
      <c r="E748" s="79" t="s">
        <v>1124</v>
      </c>
      <c r="F748" s="79" t="s">
        <v>2539</v>
      </c>
      <c r="G748" s="79" t="s">
        <v>2546</v>
      </c>
      <c r="H748" s="79" t="s">
        <v>2547</v>
      </c>
      <c r="I748" s="79"/>
    </row>
    <row r="749" spans="1:9" ht="15">
      <c r="A749" s="79" t="s">
        <v>2824</v>
      </c>
      <c r="B749" s="79" t="s">
        <v>2825</v>
      </c>
      <c r="C749" s="79">
        <v>592757519</v>
      </c>
      <c r="D749" s="79">
        <v>0</v>
      </c>
      <c r="E749" s="79" t="s">
        <v>1124</v>
      </c>
      <c r="F749" s="79" t="s">
        <v>2539</v>
      </c>
      <c r="G749" s="79" t="s">
        <v>2581</v>
      </c>
      <c r="H749" s="79"/>
      <c r="I749" s="79"/>
    </row>
    <row r="750" spans="1:9" ht="15">
      <c r="A750" s="79" t="s">
        <v>2826</v>
      </c>
      <c r="B750" s="79" t="s">
        <v>2827</v>
      </c>
      <c r="C750" s="79">
        <v>592800119</v>
      </c>
      <c r="D750" s="79">
        <v>0</v>
      </c>
      <c r="E750" s="79" t="s">
        <v>1124</v>
      </c>
      <c r="F750" s="79" t="s">
        <v>2539</v>
      </c>
      <c r="G750" s="79" t="s">
        <v>1130</v>
      </c>
      <c r="H750" s="79"/>
      <c r="I750" s="79"/>
    </row>
    <row r="751" spans="1:9" ht="15">
      <c r="A751" s="79" t="s">
        <v>2826</v>
      </c>
      <c r="B751" s="79" t="s">
        <v>2827</v>
      </c>
      <c r="C751" s="79">
        <v>592800119</v>
      </c>
      <c r="D751" s="79">
        <v>0</v>
      </c>
      <c r="E751" s="79" t="s">
        <v>1124</v>
      </c>
      <c r="F751" s="79" t="s">
        <v>2539</v>
      </c>
      <c r="G751" s="79" t="s">
        <v>1131</v>
      </c>
      <c r="H751" s="79" t="s">
        <v>1132</v>
      </c>
      <c r="I751" s="79"/>
    </row>
    <row r="752" spans="1:9" ht="15">
      <c r="A752" s="79" t="s">
        <v>2826</v>
      </c>
      <c r="B752" s="79" t="s">
        <v>2827</v>
      </c>
      <c r="C752" s="79">
        <v>592800119</v>
      </c>
      <c r="D752" s="79">
        <v>0</v>
      </c>
      <c r="E752" s="79" t="s">
        <v>1124</v>
      </c>
      <c r="F752" s="79" t="s">
        <v>2539</v>
      </c>
      <c r="G752" s="79" t="s">
        <v>2578</v>
      </c>
      <c r="H752" s="79"/>
      <c r="I752" s="79"/>
    </row>
    <row r="753" spans="1:9" ht="15">
      <c r="A753" s="79" t="s">
        <v>2828</v>
      </c>
      <c r="B753" s="79" t="s">
        <v>2829</v>
      </c>
      <c r="C753" s="79">
        <v>592800719</v>
      </c>
      <c r="D753" s="79">
        <v>0</v>
      </c>
      <c r="E753" s="79" t="s">
        <v>1124</v>
      </c>
      <c r="F753" s="79" t="s">
        <v>2539</v>
      </c>
      <c r="G753" s="79" t="s">
        <v>2546</v>
      </c>
      <c r="H753" s="79" t="s">
        <v>2547</v>
      </c>
      <c r="I753" s="79"/>
    </row>
    <row r="754" spans="1:9" ht="15">
      <c r="A754" s="79" t="s">
        <v>2828</v>
      </c>
      <c r="B754" s="79" t="s">
        <v>2829</v>
      </c>
      <c r="C754" s="79">
        <v>592800719</v>
      </c>
      <c r="D754" s="79">
        <v>0</v>
      </c>
      <c r="E754" s="79" t="s">
        <v>1124</v>
      </c>
      <c r="F754" s="79" t="s">
        <v>2539</v>
      </c>
      <c r="G754" s="79" t="s">
        <v>2581</v>
      </c>
      <c r="H754" s="79"/>
      <c r="I754" s="79"/>
    </row>
    <row r="755" spans="1:9" ht="15">
      <c r="A755" s="79" t="s">
        <v>2830</v>
      </c>
      <c r="B755" s="79" t="s">
        <v>2831</v>
      </c>
      <c r="C755" s="79">
        <v>592843319</v>
      </c>
      <c r="D755" s="79">
        <v>0</v>
      </c>
      <c r="E755" s="79" t="s">
        <v>1124</v>
      </c>
      <c r="F755" s="79" t="s">
        <v>2539</v>
      </c>
      <c r="G755" s="79" t="s">
        <v>1130</v>
      </c>
      <c r="H755" s="79"/>
      <c r="I755" s="79"/>
    </row>
    <row r="756" spans="1:9" ht="15">
      <c r="A756" s="79" t="s">
        <v>2830</v>
      </c>
      <c r="B756" s="79" t="s">
        <v>2831</v>
      </c>
      <c r="C756" s="79">
        <v>592843319</v>
      </c>
      <c r="D756" s="79">
        <v>0</v>
      </c>
      <c r="E756" s="79" t="s">
        <v>1124</v>
      </c>
      <c r="F756" s="79" t="s">
        <v>2539</v>
      </c>
      <c r="G756" s="79" t="s">
        <v>1131</v>
      </c>
      <c r="H756" s="79" t="s">
        <v>1132</v>
      </c>
      <c r="I756" s="79"/>
    </row>
    <row r="757" spans="1:9" ht="15">
      <c r="A757" s="79" t="s">
        <v>2830</v>
      </c>
      <c r="B757" s="79" t="s">
        <v>2831</v>
      </c>
      <c r="C757" s="79">
        <v>592843319</v>
      </c>
      <c r="D757" s="79">
        <v>0</v>
      </c>
      <c r="E757" s="79" t="s">
        <v>1124</v>
      </c>
      <c r="F757" s="79" t="s">
        <v>2539</v>
      </c>
      <c r="G757" s="79" t="s">
        <v>2578</v>
      </c>
      <c r="H757" s="79"/>
      <c r="I757" s="79"/>
    </row>
    <row r="758" spans="1:9" ht="15">
      <c r="A758" s="79" t="s">
        <v>2832</v>
      </c>
      <c r="B758" s="79" t="s">
        <v>2833</v>
      </c>
      <c r="C758" s="79">
        <v>592843919</v>
      </c>
      <c r="D758" s="79">
        <v>0</v>
      </c>
      <c r="E758" s="79" t="s">
        <v>1124</v>
      </c>
      <c r="F758" s="79" t="s">
        <v>2539</v>
      </c>
      <c r="G758" s="79" t="s">
        <v>2546</v>
      </c>
      <c r="H758" s="79" t="s">
        <v>2547</v>
      </c>
      <c r="I758" s="79"/>
    </row>
    <row r="759" spans="1:9" ht="15">
      <c r="A759" s="79" t="s">
        <v>2832</v>
      </c>
      <c r="B759" s="79" t="s">
        <v>2833</v>
      </c>
      <c r="C759" s="79">
        <v>592843919</v>
      </c>
      <c r="D759" s="79">
        <v>0</v>
      </c>
      <c r="E759" s="79" t="s">
        <v>1124</v>
      </c>
      <c r="F759" s="79" t="s">
        <v>2539</v>
      </c>
      <c r="G759" s="79" t="s">
        <v>2581</v>
      </c>
      <c r="H759" s="79"/>
      <c r="I759" s="79"/>
    </row>
    <row r="760" spans="1:9" ht="15">
      <c r="A760" s="79" t="s">
        <v>2834</v>
      </c>
      <c r="B760" s="79" t="s">
        <v>2835</v>
      </c>
      <c r="C760" s="79">
        <v>592886519</v>
      </c>
      <c r="D760" s="79">
        <v>0</v>
      </c>
      <c r="E760" s="79" t="s">
        <v>1124</v>
      </c>
      <c r="F760" s="79" t="s">
        <v>2539</v>
      </c>
      <c r="G760" s="79" t="s">
        <v>1130</v>
      </c>
      <c r="H760" s="79"/>
      <c r="I760" s="79"/>
    </row>
    <row r="761" spans="1:9" ht="15">
      <c r="A761" s="79" t="s">
        <v>2834</v>
      </c>
      <c r="B761" s="79" t="s">
        <v>2835</v>
      </c>
      <c r="C761" s="79">
        <v>592886519</v>
      </c>
      <c r="D761" s="79">
        <v>0</v>
      </c>
      <c r="E761" s="79" t="s">
        <v>1124</v>
      </c>
      <c r="F761" s="79" t="s">
        <v>2539</v>
      </c>
      <c r="G761" s="79" t="s">
        <v>1131</v>
      </c>
      <c r="H761" s="79" t="s">
        <v>1132</v>
      </c>
      <c r="I761" s="79"/>
    </row>
    <row r="762" spans="1:9" ht="15">
      <c r="A762" s="79" t="s">
        <v>2834</v>
      </c>
      <c r="B762" s="79" t="s">
        <v>2835</v>
      </c>
      <c r="C762" s="79">
        <v>592886519</v>
      </c>
      <c r="D762" s="79">
        <v>0</v>
      </c>
      <c r="E762" s="79" t="s">
        <v>1124</v>
      </c>
      <c r="F762" s="79" t="s">
        <v>2539</v>
      </c>
      <c r="G762" s="79" t="s">
        <v>2578</v>
      </c>
      <c r="H762" s="79"/>
      <c r="I762" s="79"/>
    </row>
    <row r="763" spans="1:9" ht="15">
      <c r="A763" s="79" t="s">
        <v>2836</v>
      </c>
      <c r="B763" s="79" t="s">
        <v>2837</v>
      </c>
      <c r="C763" s="79">
        <v>592887119</v>
      </c>
      <c r="D763" s="79">
        <v>0</v>
      </c>
      <c r="E763" s="79" t="s">
        <v>1124</v>
      </c>
      <c r="F763" s="79" t="s">
        <v>2539</v>
      </c>
      <c r="G763" s="79" t="s">
        <v>2546</v>
      </c>
      <c r="H763" s="79" t="s">
        <v>2547</v>
      </c>
      <c r="I763" s="79"/>
    </row>
    <row r="764" spans="1:9" ht="15">
      <c r="A764" s="79" t="s">
        <v>2836</v>
      </c>
      <c r="B764" s="79" t="s">
        <v>2837</v>
      </c>
      <c r="C764" s="79">
        <v>592887119</v>
      </c>
      <c r="D764" s="79">
        <v>0</v>
      </c>
      <c r="E764" s="79" t="s">
        <v>1124</v>
      </c>
      <c r="F764" s="79" t="s">
        <v>2539</v>
      </c>
      <c r="G764" s="79" t="s">
        <v>2581</v>
      </c>
      <c r="H764" s="79"/>
      <c r="I764" s="79"/>
    </row>
    <row r="765" spans="1:9" ht="15">
      <c r="A765" s="79" t="s">
        <v>2838</v>
      </c>
      <c r="B765" s="79" t="s">
        <v>2839</v>
      </c>
      <c r="C765" s="79">
        <v>592929719</v>
      </c>
      <c r="D765" s="79">
        <v>0</v>
      </c>
      <c r="E765" s="79" t="s">
        <v>1124</v>
      </c>
      <c r="F765" s="79" t="s">
        <v>2539</v>
      </c>
      <c r="G765" s="79" t="s">
        <v>1130</v>
      </c>
      <c r="H765" s="79"/>
      <c r="I765" s="79"/>
    </row>
    <row r="766" spans="1:9" ht="15">
      <c r="A766" s="79" t="s">
        <v>2838</v>
      </c>
      <c r="B766" s="79" t="s">
        <v>2839</v>
      </c>
      <c r="C766" s="79">
        <v>592929719</v>
      </c>
      <c r="D766" s="79">
        <v>0</v>
      </c>
      <c r="E766" s="79" t="s">
        <v>1124</v>
      </c>
      <c r="F766" s="79" t="s">
        <v>2539</v>
      </c>
      <c r="G766" s="79" t="s">
        <v>1131</v>
      </c>
      <c r="H766" s="79" t="s">
        <v>1132</v>
      </c>
      <c r="I766" s="79"/>
    </row>
    <row r="767" spans="1:9" ht="15">
      <c r="A767" s="79" t="s">
        <v>2838</v>
      </c>
      <c r="B767" s="79" t="s">
        <v>2839</v>
      </c>
      <c r="C767" s="79">
        <v>592929719</v>
      </c>
      <c r="D767" s="79">
        <v>0</v>
      </c>
      <c r="E767" s="79" t="s">
        <v>1124</v>
      </c>
      <c r="F767" s="79" t="s">
        <v>2539</v>
      </c>
      <c r="G767" s="79" t="s">
        <v>2578</v>
      </c>
      <c r="H767" s="79"/>
      <c r="I767" s="79"/>
    </row>
    <row r="768" spans="1:9" ht="15">
      <c r="A768" s="79" t="s">
        <v>2840</v>
      </c>
      <c r="B768" s="79" t="s">
        <v>2841</v>
      </c>
      <c r="C768" s="79">
        <v>592930319</v>
      </c>
      <c r="D768" s="79">
        <v>0</v>
      </c>
      <c r="E768" s="79" t="s">
        <v>1124</v>
      </c>
      <c r="F768" s="79" t="s">
        <v>2539</v>
      </c>
      <c r="G768" s="79" t="s">
        <v>2546</v>
      </c>
      <c r="H768" s="79" t="s">
        <v>2547</v>
      </c>
      <c r="I768" s="79"/>
    </row>
    <row r="769" spans="1:9" ht="15">
      <c r="A769" s="79" t="s">
        <v>2840</v>
      </c>
      <c r="B769" s="79" t="s">
        <v>2841</v>
      </c>
      <c r="C769" s="79">
        <v>592930319</v>
      </c>
      <c r="D769" s="79">
        <v>0</v>
      </c>
      <c r="E769" s="79" t="s">
        <v>1124</v>
      </c>
      <c r="F769" s="79" t="s">
        <v>2539</v>
      </c>
      <c r="G769" s="79" t="s">
        <v>2581</v>
      </c>
      <c r="H769" s="79"/>
      <c r="I769" s="79"/>
    </row>
    <row r="770" spans="1:9" ht="15">
      <c r="A770" s="79" t="s">
        <v>2842</v>
      </c>
      <c r="B770" s="79" t="s">
        <v>2843</v>
      </c>
      <c r="C770" s="79">
        <v>592972919</v>
      </c>
      <c r="D770" s="79">
        <v>0</v>
      </c>
      <c r="E770" s="79" t="s">
        <v>1124</v>
      </c>
      <c r="F770" s="79" t="s">
        <v>2539</v>
      </c>
      <c r="G770" s="79" t="s">
        <v>1130</v>
      </c>
      <c r="H770" s="79"/>
      <c r="I770" s="79"/>
    </row>
    <row r="771" spans="1:9" ht="15">
      <c r="A771" s="79" t="s">
        <v>2842</v>
      </c>
      <c r="B771" s="79" t="s">
        <v>2843</v>
      </c>
      <c r="C771" s="79">
        <v>592972919</v>
      </c>
      <c r="D771" s="79">
        <v>0</v>
      </c>
      <c r="E771" s="79" t="s">
        <v>1124</v>
      </c>
      <c r="F771" s="79" t="s">
        <v>2539</v>
      </c>
      <c r="G771" s="79" t="s">
        <v>1131</v>
      </c>
      <c r="H771" s="79" t="s">
        <v>1132</v>
      </c>
      <c r="I771" s="79"/>
    </row>
    <row r="772" spans="1:9" ht="15">
      <c r="A772" s="79" t="s">
        <v>2842</v>
      </c>
      <c r="B772" s="79" t="s">
        <v>2843</v>
      </c>
      <c r="C772" s="79">
        <v>592972919</v>
      </c>
      <c r="D772" s="79">
        <v>0</v>
      </c>
      <c r="E772" s="79" t="s">
        <v>1124</v>
      </c>
      <c r="F772" s="79" t="s">
        <v>2539</v>
      </c>
      <c r="G772" s="79" t="s">
        <v>2578</v>
      </c>
      <c r="H772" s="79"/>
      <c r="I772" s="79"/>
    </row>
    <row r="773" spans="1:9" ht="15">
      <c r="A773" s="79" t="s">
        <v>2844</v>
      </c>
      <c r="B773" s="79" t="s">
        <v>2845</v>
      </c>
      <c r="C773" s="79">
        <v>592973519</v>
      </c>
      <c r="D773" s="79">
        <v>0</v>
      </c>
      <c r="E773" s="79" t="s">
        <v>1124</v>
      </c>
      <c r="F773" s="79" t="s">
        <v>2539</v>
      </c>
      <c r="G773" s="79" t="s">
        <v>2546</v>
      </c>
      <c r="H773" s="79" t="s">
        <v>2547</v>
      </c>
      <c r="I773" s="79"/>
    </row>
    <row r="774" spans="1:9" ht="15">
      <c r="A774" s="79" t="s">
        <v>2844</v>
      </c>
      <c r="B774" s="79" t="s">
        <v>2845</v>
      </c>
      <c r="C774" s="79">
        <v>592973519</v>
      </c>
      <c r="D774" s="79">
        <v>0</v>
      </c>
      <c r="E774" s="79" t="s">
        <v>1124</v>
      </c>
      <c r="F774" s="79" t="s">
        <v>2539</v>
      </c>
      <c r="G774" s="79" t="s">
        <v>2581</v>
      </c>
      <c r="H774" s="79"/>
      <c r="I774" s="79"/>
    </row>
    <row r="775" spans="1:9" ht="15">
      <c r="A775" s="79" t="s">
        <v>2846</v>
      </c>
      <c r="B775" s="79" t="s">
        <v>2847</v>
      </c>
      <c r="C775" s="79">
        <v>593016119</v>
      </c>
      <c r="D775" s="79">
        <v>0</v>
      </c>
      <c r="E775" s="79" t="s">
        <v>1124</v>
      </c>
      <c r="F775" s="79" t="s">
        <v>2539</v>
      </c>
      <c r="G775" s="79" t="s">
        <v>1130</v>
      </c>
      <c r="H775" s="79"/>
      <c r="I775" s="79"/>
    </row>
    <row r="776" spans="1:9" ht="15">
      <c r="A776" s="79" t="s">
        <v>2846</v>
      </c>
      <c r="B776" s="79" t="s">
        <v>2847</v>
      </c>
      <c r="C776" s="79">
        <v>593016119</v>
      </c>
      <c r="D776" s="79">
        <v>0</v>
      </c>
      <c r="E776" s="79" t="s">
        <v>1124</v>
      </c>
      <c r="F776" s="79" t="s">
        <v>2539</v>
      </c>
      <c r="G776" s="79" t="s">
        <v>1131</v>
      </c>
      <c r="H776" s="79" t="s">
        <v>1132</v>
      </c>
      <c r="I776" s="79"/>
    </row>
    <row r="777" spans="1:9" ht="15">
      <c r="A777" s="79" t="s">
        <v>2846</v>
      </c>
      <c r="B777" s="79" t="s">
        <v>2847</v>
      </c>
      <c r="C777" s="79">
        <v>593016119</v>
      </c>
      <c r="D777" s="79">
        <v>0</v>
      </c>
      <c r="E777" s="79" t="s">
        <v>1124</v>
      </c>
      <c r="F777" s="79" t="s">
        <v>2539</v>
      </c>
      <c r="G777" s="79" t="s">
        <v>2578</v>
      </c>
      <c r="H777" s="79"/>
      <c r="I777" s="79"/>
    </row>
    <row r="778" spans="1:9" ht="15">
      <c r="A778" s="79" t="s">
        <v>2848</v>
      </c>
      <c r="B778" s="79" t="s">
        <v>2849</v>
      </c>
      <c r="C778" s="79">
        <v>593016719</v>
      </c>
      <c r="D778" s="79">
        <v>0</v>
      </c>
      <c r="E778" s="79" t="s">
        <v>1124</v>
      </c>
      <c r="F778" s="79" t="s">
        <v>2539</v>
      </c>
      <c r="G778" s="79" t="s">
        <v>2546</v>
      </c>
      <c r="H778" s="79" t="s">
        <v>2547</v>
      </c>
      <c r="I778" s="79"/>
    </row>
    <row r="779" spans="1:9" ht="15">
      <c r="A779" s="79" t="s">
        <v>2848</v>
      </c>
      <c r="B779" s="79" t="s">
        <v>2849</v>
      </c>
      <c r="C779" s="79">
        <v>593016719</v>
      </c>
      <c r="D779" s="79">
        <v>0</v>
      </c>
      <c r="E779" s="79" t="s">
        <v>1124</v>
      </c>
      <c r="F779" s="79" t="s">
        <v>2539</v>
      </c>
      <c r="G779" s="79" t="s">
        <v>2581</v>
      </c>
      <c r="H779" s="79"/>
      <c r="I779" s="79"/>
    </row>
    <row r="780" spans="1:9" ht="15">
      <c r="A780" s="79" t="s">
        <v>2850</v>
      </c>
      <c r="B780" s="79" t="s">
        <v>2851</v>
      </c>
      <c r="C780" s="79">
        <v>593059319</v>
      </c>
      <c r="D780" s="79">
        <v>0</v>
      </c>
      <c r="E780" s="79" t="s">
        <v>1124</v>
      </c>
      <c r="F780" s="79" t="s">
        <v>2539</v>
      </c>
      <c r="G780" s="79" t="s">
        <v>1130</v>
      </c>
      <c r="H780" s="79"/>
      <c r="I780" s="79"/>
    </row>
    <row r="781" spans="1:9" ht="15">
      <c r="A781" s="79" t="s">
        <v>2850</v>
      </c>
      <c r="B781" s="79" t="s">
        <v>2851</v>
      </c>
      <c r="C781" s="79">
        <v>593059319</v>
      </c>
      <c r="D781" s="79">
        <v>0</v>
      </c>
      <c r="E781" s="79" t="s">
        <v>1124</v>
      </c>
      <c r="F781" s="79" t="s">
        <v>2539</v>
      </c>
      <c r="G781" s="79" t="s">
        <v>1131</v>
      </c>
      <c r="H781" s="79" t="s">
        <v>1132</v>
      </c>
      <c r="I781" s="79"/>
    </row>
    <row r="782" spans="1:9" ht="15">
      <c r="A782" s="79" t="s">
        <v>2850</v>
      </c>
      <c r="B782" s="79" t="s">
        <v>2851</v>
      </c>
      <c r="C782" s="79">
        <v>593059319</v>
      </c>
      <c r="D782" s="79">
        <v>0</v>
      </c>
      <c r="E782" s="79" t="s">
        <v>1124</v>
      </c>
      <c r="F782" s="79" t="s">
        <v>2539</v>
      </c>
      <c r="G782" s="79" t="s">
        <v>2578</v>
      </c>
      <c r="H782" s="79"/>
      <c r="I782" s="79"/>
    </row>
    <row r="783" spans="1:9" ht="15">
      <c r="A783" s="79" t="s">
        <v>2852</v>
      </c>
      <c r="B783" s="79" t="s">
        <v>2853</v>
      </c>
      <c r="C783" s="79">
        <v>593059919</v>
      </c>
      <c r="D783" s="79">
        <v>0</v>
      </c>
      <c r="E783" s="79" t="s">
        <v>1124</v>
      </c>
      <c r="F783" s="79" t="s">
        <v>2539</v>
      </c>
      <c r="G783" s="79" t="s">
        <v>2546</v>
      </c>
      <c r="H783" s="79" t="s">
        <v>2547</v>
      </c>
      <c r="I783" s="79"/>
    </row>
    <row r="784" spans="1:9" ht="15">
      <c r="A784" s="79" t="s">
        <v>2852</v>
      </c>
      <c r="B784" s="79" t="s">
        <v>2853</v>
      </c>
      <c r="C784" s="79">
        <v>593059919</v>
      </c>
      <c r="D784" s="79">
        <v>0</v>
      </c>
      <c r="E784" s="79" t="s">
        <v>1124</v>
      </c>
      <c r="F784" s="79" t="s">
        <v>2539</v>
      </c>
      <c r="G784" s="79" t="s">
        <v>2581</v>
      </c>
      <c r="H784" s="79"/>
      <c r="I784" s="79"/>
    </row>
    <row r="785" spans="1:9" ht="15">
      <c r="A785" s="79" t="s">
        <v>2854</v>
      </c>
      <c r="B785" s="79" t="s">
        <v>2855</v>
      </c>
      <c r="C785" s="79">
        <v>593102519</v>
      </c>
      <c r="D785" s="79">
        <v>0</v>
      </c>
      <c r="E785" s="79" t="s">
        <v>1124</v>
      </c>
      <c r="F785" s="79" t="s">
        <v>2539</v>
      </c>
      <c r="G785" s="79" t="s">
        <v>1130</v>
      </c>
      <c r="H785" s="79"/>
      <c r="I785" s="79"/>
    </row>
    <row r="786" spans="1:9" ht="15">
      <c r="A786" s="79" t="s">
        <v>2854</v>
      </c>
      <c r="B786" s="79" t="s">
        <v>2855</v>
      </c>
      <c r="C786" s="79">
        <v>593102519</v>
      </c>
      <c r="D786" s="79">
        <v>0</v>
      </c>
      <c r="E786" s="79" t="s">
        <v>1124</v>
      </c>
      <c r="F786" s="79" t="s">
        <v>2539</v>
      </c>
      <c r="G786" s="79" t="s">
        <v>1131</v>
      </c>
      <c r="H786" s="79" t="s">
        <v>1132</v>
      </c>
      <c r="I786" s="79"/>
    </row>
    <row r="787" spans="1:9" ht="15">
      <c r="A787" s="79" t="s">
        <v>2854</v>
      </c>
      <c r="B787" s="79" t="s">
        <v>2855</v>
      </c>
      <c r="C787" s="79">
        <v>593102519</v>
      </c>
      <c r="D787" s="79">
        <v>0</v>
      </c>
      <c r="E787" s="79" t="s">
        <v>1124</v>
      </c>
      <c r="F787" s="79" t="s">
        <v>2539</v>
      </c>
      <c r="G787" s="79" t="s">
        <v>2578</v>
      </c>
      <c r="H787" s="79"/>
      <c r="I787" s="79"/>
    </row>
    <row r="788" spans="1:9" ht="15">
      <c r="A788" s="79" t="s">
        <v>2856</v>
      </c>
      <c r="B788" s="79" t="s">
        <v>2857</v>
      </c>
      <c r="C788" s="79">
        <v>593103119</v>
      </c>
      <c r="D788" s="79">
        <v>0</v>
      </c>
      <c r="E788" s="79" t="s">
        <v>1124</v>
      </c>
      <c r="F788" s="79" t="s">
        <v>2539</v>
      </c>
      <c r="G788" s="79" t="s">
        <v>2546</v>
      </c>
      <c r="H788" s="79" t="s">
        <v>2547</v>
      </c>
      <c r="I788" s="79"/>
    </row>
    <row r="789" spans="1:9" ht="15">
      <c r="A789" s="79" t="s">
        <v>2856</v>
      </c>
      <c r="B789" s="79" t="s">
        <v>2857</v>
      </c>
      <c r="C789" s="79">
        <v>593103119</v>
      </c>
      <c r="D789" s="79">
        <v>0</v>
      </c>
      <c r="E789" s="79" t="s">
        <v>1124</v>
      </c>
      <c r="F789" s="79" t="s">
        <v>2539</v>
      </c>
      <c r="G789" s="79" t="s">
        <v>2581</v>
      </c>
      <c r="H789" s="79"/>
      <c r="I789" s="79"/>
    </row>
    <row r="790" spans="1:9" ht="15">
      <c r="A790" s="79" t="s">
        <v>2858</v>
      </c>
      <c r="B790" s="79" t="s">
        <v>2859</v>
      </c>
      <c r="C790" s="79">
        <v>593145719</v>
      </c>
      <c r="D790" s="79">
        <v>0</v>
      </c>
      <c r="E790" s="79" t="s">
        <v>1124</v>
      </c>
      <c r="F790" s="79" t="s">
        <v>2539</v>
      </c>
      <c r="G790" s="79" t="s">
        <v>1130</v>
      </c>
      <c r="H790" s="79"/>
      <c r="I790" s="79"/>
    </row>
    <row r="791" spans="1:9" ht="15">
      <c r="A791" s="79" t="s">
        <v>2858</v>
      </c>
      <c r="B791" s="79" t="s">
        <v>2859</v>
      </c>
      <c r="C791" s="79">
        <v>593145719</v>
      </c>
      <c r="D791" s="79">
        <v>0</v>
      </c>
      <c r="E791" s="79" t="s">
        <v>1124</v>
      </c>
      <c r="F791" s="79" t="s">
        <v>2539</v>
      </c>
      <c r="G791" s="79" t="s">
        <v>1131</v>
      </c>
      <c r="H791" s="79" t="s">
        <v>1132</v>
      </c>
      <c r="I791" s="79"/>
    </row>
    <row r="792" spans="1:9" ht="15">
      <c r="A792" s="79" t="s">
        <v>2858</v>
      </c>
      <c r="B792" s="79" t="s">
        <v>2859</v>
      </c>
      <c r="C792" s="79">
        <v>593145719</v>
      </c>
      <c r="D792" s="79">
        <v>0</v>
      </c>
      <c r="E792" s="79" t="s">
        <v>1124</v>
      </c>
      <c r="F792" s="79" t="s">
        <v>2539</v>
      </c>
      <c r="G792" s="79" t="s">
        <v>2578</v>
      </c>
      <c r="H792" s="79"/>
      <c r="I792" s="79"/>
    </row>
    <row r="793" spans="1:9" ht="15">
      <c r="A793" s="79" t="s">
        <v>2860</v>
      </c>
      <c r="B793" s="79" t="s">
        <v>2861</v>
      </c>
      <c r="C793" s="79">
        <v>593146319</v>
      </c>
      <c r="D793" s="79">
        <v>0</v>
      </c>
      <c r="E793" s="79" t="s">
        <v>1124</v>
      </c>
      <c r="F793" s="79" t="s">
        <v>2539</v>
      </c>
      <c r="G793" s="79" t="s">
        <v>2546</v>
      </c>
      <c r="H793" s="79" t="s">
        <v>2547</v>
      </c>
      <c r="I793" s="79"/>
    </row>
    <row r="794" spans="1:9" ht="15">
      <c r="A794" s="79" t="s">
        <v>2860</v>
      </c>
      <c r="B794" s="79" t="s">
        <v>2861</v>
      </c>
      <c r="C794" s="79">
        <v>593146319</v>
      </c>
      <c r="D794" s="79">
        <v>0</v>
      </c>
      <c r="E794" s="79" t="s">
        <v>1124</v>
      </c>
      <c r="F794" s="79" t="s">
        <v>2539</v>
      </c>
      <c r="G794" s="79" t="s">
        <v>2581</v>
      </c>
      <c r="H794" s="79"/>
      <c r="I794" s="79"/>
    </row>
    <row r="795" spans="1:9" ht="15">
      <c r="A795" s="79" t="s">
        <v>2862</v>
      </c>
      <c r="B795" s="79" t="s">
        <v>2863</v>
      </c>
      <c r="C795" s="79">
        <v>593188919</v>
      </c>
      <c r="D795" s="79">
        <v>0</v>
      </c>
      <c r="E795" s="79" t="s">
        <v>1124</v>
      </c>
      <c r="F795" s="79" t="s">
        <v>2539</v>
      </c>
      <c r="G795" s="79" t="s">
        <v>1130</v>
      </c>
      <c r="H795" s="79"/>
      <c r="I795" s="79"/>
    </row>
    <row r="796" spans="1:9" ht="15">
      <c r="A796" s="79" t="s">
        <v>2862</v>
      </c>
      <c r="B796" s="79" t="s">
        <v>2863</v>
      </c>
      <c r="C796" s="79">
        <v>593188919</v>
      </c>
      <c r="D796" s="79">
        <v>0</v>
      </c>
      <c r="E796" s="79" t="s">
        <v>1124</v>
      </c>
      <c r="F796" s="79" t="s">
        <v>2539</v>
      </c>
      <c r="G796" s="79" t="s">
        <v>1131</v>
      </c>
      <c r="H796" s="79" t="s">
        <v>1132</v>
      </c>
      <c r="I796" s="79"/>
    </row>
    <row r="797" spans="1:9" ht="15">
      <c r="A797" s="79" t="s">
        <v>2862</v>
      </c>
      <c r="B797" s="79" t="s">
        <v>2863</v>
      </c>
      <c r="C797" s="79">
        <v>593188919</v>
      </c>
      <c r="D797" s="79">
        <v>0</v>
      </c>
      <c r="E797" s="79" t="s">
        <v>1124</v>
      </c>
      <c r="F797" s="79" t="s">
        <v>2539</v>
      </c>
      <c r="G797" s="79" t="s">
        <v>2578</v>
      </c>
      <c r="H797" s="79"/>
      <c r="I797" s="79"/>
    </row>
    <row r="798" spans="1:9" ht="15">
      <c r="A798" s="79" t="s">
        <v>2864</v>
      </c>
      <c r="B798" s="79" t="s">
        <v>2865</v>
      </c>
      <c r="C798" s="79">
        <v>593189519</v>
      </c>
      <c r="D798" s="79">
        <v>0</v>
      </c>
      <c r="E798" s="79" t="s">
        <v>1124</v>
      </c>
      <c r="F798" s="79" t="s">
        <v>2539</v>
      </c>
      <c r="G798" s="79" t="s">
        <v>2546</v>
      </c>
      <c r="H798" s="79" t="s">
        <v>2547</v>
      </c>
      <c r="I798" s="79"/>
    </row>
    <row r="799" spans="1:9" ht="15">
      <c r="A799" s="79" t="s">
        <v>2864</v>
      </c>
      <c r="B799" s="79" t="s">
        <v>2865</v>
      </c>
      <c r="C799" s="79">
        <v>593189519</v>
      </c>
      <c r="D799" s="79">
        <v>0</v>
      </c>
      <c r="E799" s="79" t="s">
        <v>1124</v>
      </c>
      <c r="F799" s="79" t="s">
        <v>2539</v>
      </c>
      <c r="G799" s="79" t="s">
        <v>2581</v>
      </c>
      <c r="H799" s="79"/>
      <c r="I799" s="79"/>
    </row>
    <row r="800" spans="1:9" ht="15">
      <c r="A800" s="79" t="s">
        <v>2866</v>
      </c>
      <c r="B800" s="79" t="s">
        <v>2867</v>
      </c>
      <c r="C800" s="79">
        <v>593232119</v>
      </c>
      <c r="D800" s="79">
        <v>0</v>
      </c>
      <c r="E800" s="79" t="s">
        <v>1124</v>
      </c>
      <c r="F800" s="79" t="s">
        <v>2539</v>
      </c>
      <c r="G800" s="79" t="s">
        <v>1130</v>
      </c>
      <c r="H800" s="79"/>
      <c r="I800" s="79"/>
    </row>
    <row r="801" spans="1:9" ht="15">
      <c r="A801" s="79" t="s">
        <v>2866</v>
      </c>
      <c r="B801" s="79" t="s">
        <v>2867</v>
      </c>
      <c r="C801" s="79">
        <v>593232119</v>
      </c>
      <c r="D801" s="79">
        <v>0</v>
      </c>
      <c r="E801" s="79" t="s">
        <v>1124</v>
      </c>
      <c r="F801" s="79" t="s">
        <v>2539</v>
      </c>
      <c r="G801" s="79" t="s">
        <v>1131</v>
      </c>
      <c r="H801" s="79" t="s">
        <v>1132</v>
      </c>
      <c r="I801" s="79"/>
    </row>
    <row r="802" spans="1:9" ht="15">
      <c r="A802" s="79" t="s">
        <v>2866</v>
      </c>
      <c r="B802" s="79" t="s">
        <v>2867</v>
      </c>
      <c r="C802" s="79">
        <v>593232119</v>
      </c>
      <c r="D802" s="79">
        <v>0</v>
      </c>
      <c r="E802" s="79" t="s">
        <v>1124</v>
      </c>
      <c r="F802" s="79" t="s">
        <v>2539</v>
      </c>
      <c r="G802" s="79" t="s">
        <v>2578</v>
      </c>
      <c r="H802" s="79"/>
      <c r="I802" s="79"/>
    </row>
    <row r="803" spans="1:9" ht="15">
      <c r="A803" s="79" t="s">
        <v>2868</v>
      </c>
      <c r="B803" s="79" t="s">
        <v>2869</v>
      </c>
      <c r="C803" s="79">
        <v>593232719</v>
      </c>
      <c r="D803" s="79">
        <v>0</v>
      </c>
      <c r="E803" s="79" t="s">
        <v>1124</v>
      </c>
      <c r="F803" s="79" t="s">
        <v>2539</v>
      </c>
      <c r="G803" s="79" t="s">
        <v>2546</v>
      </c>
      <c r="H803" s="79" t="s">
        <v>2547</v>
      </c>
      <c r="I803" s="79"/>
    </row>
    <row r="804" spans="1:9" ht="15">
      <c r="A804" s="79" t="s">
        <v>2868</v>
      </c>
      <c r="B804" s="79" t="s">
        <v>2869</v>
      </c>
      <c r="C804" s="79">
        <v>593232719</v>
      </c>
      <c r="D804" s="79">
        <v>0</v>
      </c>
      <c r="E804" s="79" t="s">
        <v>1124</v>
      </c>
      <c r="F804" s="79" t="s">
        <v>2539</v>
      </c>
      <c r="G804" s="79" t="s">
        <v>2581</v>
      </c>
      <c r="H804" s="79"/>
      <c r="I804" s="79"/>
    </row>
    <row r="805" spans="1:9" ht="15">
      <c r="A805" s="79" t="s">
        <v>2870</v>
      </c>
      <c r="B805" s="79" t="s">
        <v>2871</v>
      </c>
      <c r="C805" s="79">
        <v>593275319</v>
      </c>
      <c r="D805" s="79">
        <v>0</v>
      </c>
      <c r="E805" s="79" t="s">
        <v>1124</v>
      </c>
      <c r="F805" s="79" t="s">
        <v>2539</v>
      </c>
      <c r="G805" s="79" t="s">
        <v>1130</v>
      </c>
      <c r="H805" s="79"/>
      <c r="I805" s="79"/>
    </row>
    <row r="806" spans="1:9" ht="15">
      <c r="A806" s="79" t="s">
        <v>2870</v>
      </c>
      <c r="B806" s="79" t="s">
        <v>2871</v>
      </c>
      <c r="C806" s="79">
        <v>593275319</v>
      </c>
      <c r="D806" s="79">
        <v>0</v>
      </c>
      <c r="E806" s="79" t="s">
        <v>1124</v>
      </c>
      <c r="F806" s="79" t="s">
        <v>2539</v>
      </c>
      <c r="G806" s="79" t="s">
        <v>1131</v>
      </c>
      <c r="H806" s="79" t="s">
        <v>1132</v>
      </c>
      <c r="I806" s="79"/>
    </row>
    <row r="807" spans="1:9" ht="15">
      <c r="A807" s="79" t="s">
        <v>2870</v>
      </c>
      <c r="B807" s="79" t="s">
        <v>2871</v>
      </c>
      <c r="C807" s="79">
        <v>593275319</v>
      </c>
      <c r="D807" s="79">
        <v>0</v>
      </c>
      <c r="E807" s="79" t="s">
        <v>1124</v>
      </c>
      <c r="F807" s="79" t="s">
        <v>2539</v>
      </c>
      <c r="G807" s="79" t="s">
        <v>2578</v>
      </c>
      <c r="H807" s="79"/>
      <c r="I807" s="79"/>
    </row>
    <row r="808" spans="1:9" ht="15">
      <c r="A808" s="79" t="s">
        <v>2872</v>
      </c>
      <c r="B808" s="79" t="s">
        <v>2873</v>
      </c>
      <c r="C808" s="79">
        <v>593275919</v>
      </c>
      <c r="D808" s="79">
        <v>0</v>
      </c>
      <c r="E808" s="79" t="s">
        <v>1124</v>
      </c>
      <c r="F808" s="79" t="s">
        <v>2539</v>
      </c>
      <c r="G808" s="79" t="s">
        <v>2546</v>
      </c>
      <c r="H808" s="79" t="s">
        <v>2547</v>
      </c>
      <c r="I808" s="79"/>
    </row>
    <row r="809" spans="1:9" ht="15">
      <c r="A809" s="79" t="s">
        <v>2872</v>
      </c>
      <c r="B809" s="79" t="s">
        <v>2873</v>
      </c>
      <c r="C809" s="79">
        <v>593275919</v>
      </c>
      <c r="D809" s="79">
        <v>0</v>
      </c>
      <c r="E809" s="79" t="s">
        <v>1124</v>
      </c>
      <c r="F809" s="79" t="s">
        <v>2539</v>
      </c>
      <c r="G809" s="79" t="s">
        <v>2581</v>
      </c>
      <c r="H809" s="79"/>
      <c r="I809" s="79"/>
    </row>
    <row r="810" spans="1:9" ht="15">
      <c r="A810" s="79" t="s">
        <v>2874</v>
      </c>
      <c r="B810" s="79" t="s">
        <v>2875</v>
      </c>
      <c r="C810" s="79">
        <v>593318519</v>
      </c>
      <c r="D810" s="79">
        <v>0</v>
      </c>
      <c r="E810" s="79" t="s">
        <v>1124</v>
      </c>
      <c r="F810" s="79" t="s">
        <v>2539</v>
      </c>
      <c r="G810" s="79" t="s">
        <v>1130</v>
      </c>
      <c r="H810" s="79"/>
      <c r="I810" s="79"/>
    </row>
    <row r="811" spans="1:9" ht="15">
      <c r="A811" s="79" t="s">
        <v>2874</v>
      </c>
      <c r="B811" s="79" t="s">
        <v>2875</v>
      </c>
      <c r="C811" s="79">
        <v>593318519</v>
      </c>
      <c r="D811" s="79">
        <v>0</v>
      </c>
      <c r="E811" s="79" t="s">
        <v>1124</v>
      </c>
      <c r="F811" s="79" t="s">
        <v>2539</v>
      </c>
      <c r="G811" s="79" t="s">
        <v>1131</v>
      </c>
      <c r="H811" s="79" t="s">
        <v>1132</v>
      </c>
      <c r="I811" s="79"/>
    </row>
    <row r="812" spans="1:9" ht="15">
      <c r="A812" s="79" t="s">
        <v>2874</v>
      </c>
      <c r="B812" s="79" t="s">
        <v>2875</v>
      </c>
      <c r="C812" s="79">
        <v>593318519</v>
      </c>
      <c r="D812" s="79">
        <v>0</v>
      </c>
      <c r="E812" s="79" t="s">
        <v>1124</v>
      </c>
      <c r="F812" s="79" t="s">
        <v>2539</v>
      </c>
      <c r="G812" s="79" t="s">
        <v>2578</v>
      </c>
      <c r="H812" s="79"/>
      <c r="I812" s="79"/>
    </row>
    <row r="813" spans="1:9" ht="15">
      <c r="A813" s="79" t="s">
        <v>2876</v>
      </c>
      <c r="B813" s="79" t="s">
        <v>2877</v>
      </c>
      <c r="C813" s="79">
        <v>593319119</v>
      </c>
      <c r="D813" s="79">
        <v>0</v>
      </c>
      <c r="E813" s="79" t="s">
        <v>1124</v>
      </c>
      <c r="F813" s="79" t="s">
        <v>2539</v>
      </c>
      <c r="G813" s="79" t="s">
        <v>2546</v>
      </c>
      <c r="H813" s="79" t="s">
        <v>2547</v>
      </c>
      <c r="I813" s="79"/>
    </row>
    <row r="814" spans="1:9" ht="15">
      <c r="A814" s="79" t="s">
        <v>2876</v>
      </c>
      <c r="B814" s="79" t="s">
        <v>2877</v>
      </c>
      <c r="C814" s="79">
        <v>593319119</v>
      </c>
      <c r="D814" s="79">
        <v>0</v>
      </c>
      <c r="E814" s="79" t="s">
        <v>1124</v>
      </c>
      <c r="F814" s="79" t="s">
        <v>2539</v>
      </c>
      <c r="G814" s="79" t="s">
        <v>2581</v>
      </c>
      <c r="H814" s="79"/>
      <c r="I814" s="79"/>
    </row>
    <row r="815" spans="1:9" ht="15">
      <c r="A815" s="79" t="s">
        <v>2878</v>
      </c>
      <c r="B815" s="79" t="s">
        <v>2879</v>
      </c>
      <c r="C815" s="79">
        <v>593361719</v>
      </c>
      <c r="D815" s="79">
        <v>0</v>
      </c>
      <c r="E815" s="79" t="s">
        <v>1124</v>
      </c>
      <c r="F815" s="79" t="s">
        <v>2539</v>
      </c>
      <c r="G815" s="79" t="s">
        <v>1130</v>
      </c>
      <c r="H815" s="79"/>
      <c r="I815" s="79"/>
    </row>
    <row r="816" spans="1:9" ht="15">
      <c r="A816" s="79" t="s">
        <v>2878</v>
      </c>
      <c r="B816" s="79" t="s">
        <v>2879</v>
      </c>
      <c r="C816" s="79">
        <v>593361719</v>
      </c>
      <c r="D816" s="79">
        <v>0</v>
      </c>
      <c r="E816" s="79" t="s">
        <v>1124</v>
      </c>
      <c r="F816" s="79" t="s">
        <v>2539</v>
      </c>
      <c r="G816" s="79" t="s">
        <v>1131</v>
      </c>
      <c r="H816" s="79" t="s">
        <v>1132</v>
      </c>
      <c r="I816" s="79"/>
    </row>
    <row r="817" spans="1:9" ht="15">
      <c r="A817" s="79" t="s">
        <v>2878</v>
      </c>
      <c r="B817" s="79" t="s">
        <v>2879</v>
      </c>
      <c r="C817" s="79">
        <v>593361719</v>
      </c>
      <c r="D817" s="79">
        <v>0</v>
      </c>
      <c r="E817" s="79" t="s">
        <v>1124</v>
      </c>
      <c r="F817" s="79" t="s">
        <v>2539</v>
      </c>
      <c r="G817" s="79" t="s">
        <v>2578</v>
      </c>
      <c r="H817" s="79"/>
      <c r="I817" s="79"/>
    </row>
    <row r="818" spans="1:9" ht="15">
      <c r="A818" s="79" t="s">
        <v>2880</v>
      </c>
      <c r="B818" s="79" t="s">
        <v>2881</v>
      </c>
      <c r="C818" s="79">
        <v>593362319</v>
      </c>
      <c r="D818" s="79">
        <v>0</v>
      </c>
      <c r="E818" s="79" t="s">
        <v>1124</v>
      </c>
      <c r="F818" s="79" t="s">
        <v>2539</v>
      </c>
      <c r="G818" s="79" t="s">
        <v>2546</v>
      </c>
      <c r="H818" s="79" t="s">
        <v>2547</v>
      </c>
      <c r="I818" s="79"/>
    </row>
    <row r="819" spans="1:9" ht="15">
      <c r="A819" s="79" t="s">
        <v>2880</v>
      </c>
      <c r="B819" s="79" t="s">
        <v>2881</v>
      </c>
      <c r="C819" s="79">
        <v>593362319</v>
      </c>
      <c r="D819" s="79">
        <v>0</v>
      </c>
      <c r="E819" s="79" t="s">
        <v>1124</v>
      </c>
      <c r="F819" s="79" t="s">
        <v>2539</v>
      </c>
      <c r="G819" s="79" t="s">
        <v>2581</v>
      </c>
      <c r="H819" s="79"/>
      <c r="I819" s="79"/>
    </row>
    <row r="820" spans="1:9" ht="15">
      <c r="A820" s="79" t="s">
        <v>2882</v>
      </c>
      <c r="B820" s="79" t="s">
        <v>2883</v>
      </c>
      <c r="C820" s="79">
        <v>593404919</v>
      </c>
      <c r="D820" s="79">
        <v>0</v>
      </c>
      <c r="E820" s="79" t="s">
        <v>1124</v>
      </c>
      <c r="F820" s="79" t="s">
        <v>2539</v>
      </c>
      <c r="G820" s="79" t="s">
        <v>1130</v>
      </c>
      <c r="H820" s="79"/>
      <c r="I820" s="79"/>
    </row>
    <row r="821" spans="1:9" ht="15">
      <c r="A821" s="79" t="s">
        <v>2882</v>
      </c>
      <c r="B821" s="79" t="s">
        <v>2883</v>
      </c>
      <c r="C821" s="79">
        <v>593404919</v>
      </c>
      <c r="D821" s="79">
        <v>0</v>
      </c>
      <c r="E821" s="79" t="s">
        <v>1124</v>
      </c>
      <c r="F821" s="79" t="s">
        <v>2539</v>
      </c>
      <c r="G821" s="79" t="s">
        <v>1131</v>
      </c>
      <c r="H821" s="79" t="s">
        <v>1132</v>
      </c>
      <c r="I821" s="79"/>
    </row>
    <row r="822" spans="1:9" ht="15">
      <c r="A822" s="79" t="s">
        <v>2882</v>
      </c>
      <c r="B822" s="79" t="s">
        <v>2883</v>
      </c>
      <c r="C822" s="79">
        <v>593404919</v>
      </c>
      <c r="D822" s="79">
        <v>0</v>
      </c>
      <c r="E822" s="79" t="s">
        <v>1124</v>
      </c>
      <c r="F822" s="79" t="s">
        <v>2539</v>
      </c>
      <c r="G822" s="79" t="s">
        <v>2578</v>
      </c>
      <c r="H822" s="79"/>
      <c r="I822" s="79"/>
    </row>
    <row r="823" spans="1:9" ht="15">
      <c r="A823" s="79" t="s">
        <v>2884</v>
      </c>
      <c r="B823" s="79" t="s">
        <v>2885</v>
      </c>
      <c r="C823" s="79">
        <v>593405519</v>
      </c>
      <c r="D823" s="79">
        <v>0</v>
      </c>
      <c r="E823" s="79" t="s">
        <v>1124</v>
      </c>
      <c r="F823" s="79" t="s">
        <v>2539</v>
      </c>
      <c r="G823" s="79" t="s">
        <v>2546</v>
      </c>
      <c r="H823" s="79" t="s">
        <v>2547</v>
      </c>
      <c r="I823" s="79"/>
    </row>
    <row r="824" spans="1:9" ht="15">
      <c r="A824" s="79" t="s">
        <v>2884</v>
      </c>
      <c r="B824" s="79" t="s">
        <v>2885</v>
      </c>
      <c r="C824" s="79">
        <v>593405519</v>
      </c>
      <c r="D824" s="79">
        <v>0</v>
      </c>
      <c r="E824" s="79" t="s">
        <v>1124</v>
      </c>
      <c r="F824" s="79" t="s">
        <v>2539</v>
      </c>
      <c r="G824" s="79" t="s">
        <v>2581</v>
      </c>
      <c r="H824" s="79"/>
      <c r="I824" s="79"/>
    </row>
    <row r="825" spans="1:9" ht="15">
      <c r="A825" s="79" t="s">
        <v>2886</v>
      </c>
      <c r="B825" s="79" t="s">
        <v>2887</v>
      </c>
      <c r="C825" s="79">
        <v>593448119</v>
      </c>
      <c r="D825" s="79">
        <v>0</v>
      </c>
      <c r="E825" s="79" t="s">
        <v>1124</v>
      </c>
      <c r="F825" s="79" t="s">
        <v>2539</v>
      </c>
      <c r="G825" s="79" t="s">
        <v>1130</v>
      </c>
      <c r="H825" s="79"/>
      <c r="I825" s="79"/>
    </row>
    <row r="826" spans="1:9" ht="15">
      <c r="A826" s="79" t="s">
        <v>2886</v>
      </c>
      <c r="B826" s="79" t="s">
        <v>2887</v>
      </c>
      <c r="C826" s="79">
        <v>593448119</v>
      </c>
      <c r="D826" s="79">
        <v>0</v>
      </c>
      <c r="E826" s="79" t="s">
        <v>1124</v>
      </c>
      <c r="F826" s="79" t="s">
        <v>2539</v>
      </c>
      <c r="G826" s="79" t="s">
        <v>1131</v>
      </c>
      <c r="H826" s="79" t="s">
        <v>1132</v>
      </c>
      <c r="I826" s="79"/>
    </row>
    <row r="827" spans="1:9" ht="15">
      <c r="A827" s="79" t="s">
        <v>2886</v>
      </c>
      <c r="B827" s="79" t="s">
        <v>2887</v>
      </c>
      <c r="C827" s="79">
        <v>593448119</v>
      </c>
      <c r="D827" s="79">
        <v>0</v>
      </c>
      <c r="E827" s="79" t="s">
        <v>1124</v>
      </c>
      <c r="F827" s="79" t="s">
        <v>2539</v>
      </c>
      <c r="G827" s="79" t="s">
        <v>2578</v>
      </c>
      <c r="H827" s="79"/>
      <c r="I827" s="79"/>
    </row>
    <row r="828" spans="1:9" ht="15">
      <c r="A828" s="79" t="s">
        <v>2888</v>
      </c>
      <c r="B828" s="79" t="s">
        <v>2889</v>
      </c>
      <c r="C828" s="79">
        <v>593448719</v>
      </c>
      <c r="D828" s="79">
        <v>0</v>
      </c>
      <c r="E828" s="79" t="s">
        <v>1124</v>
      </c>
      <c r="F828" s="79" t="s">
        <v>2539</v>
      </c>
      <c r="G828" s="79" t="s">
        <v>2546</v>
      </c>
      <c r="H828" s="79" t="s">
        <v>2547</v>
      </c>
      <c r="I828" s="79"/>
    </row>
    <row r="829" spans="1:9" ht="15">
      <c r="A829" s="79" t="s">
        <v>2888</v>
      </c>
      <c r="B829" s="79" t="s">
        <v>2889</v>
      </c>
      <c r="C829" s="79">
        <v>593448719</v>
      </c>
      <c r="D829" s="79">
        <v>0</v>
      </c>
      <c r="E829" s="79" t="s">
        <v>1124</v>
      </c>
      <c r="F829" s="79" t="s">
        <v>2539</v>
      </c>
      <c r="G829" s="79" t="s">
        <v>2581</v>
      </c>
      <c r="H829" s="79"/>
      <c r="I829" s="79"/>
    </row>
    <row r="830" spans="1:9" ht="15">
      <c r="A830" s="79" t="s">
        <v>2890</v>
      </c>
      <c r="B830" s="79" t="s">
        <v>2891</v>
      </c>
      <c r="C830" s="79">
        <v>593491319</v>
      </c>
      <c r="D830" s="79">
        <v>0</v>
      </c>
      <c r="E830" s="79" t="s">
        <v>1124</v>
      </c>
      <c r="F830" s="79" t="s">
        <v>2539</v>
      </c>
      <c r="G830" s="79" t="s">
        <v>1130</v>
      </c>
      <c r="H830" s="79"/>
      <c r="I830" s="79"/>
    </row>
    <row r="831" spans="1:9" ht="15">
      <c r="A831" s="79" t="s">
        <v>2890</v>
      </c>
      <c r="B831" s="79" t="s">
        <v>2891</v>
      </c>
      <c r="C831" s="79">
        <v>593491319</v>
      </c>
      <c r="D831" s="79">
        <v>0</v>
      </c>
      <c r="E831" s="79" t="s">
        <v>1124</v>
      </c>
      <c r="F831" s="79" t="s">
        <v>2539</v>
      </c>
      <c r="G831" s="79" t="s">
        <v>1131</v>
      </c>
      <c r="H831" s="79" t="s">
        <v>1132</v>
      </c>
      <c r="I831" s="79"/>
    </row>
    <row r="832" spans="1:9" ht="15">
      <c r="A832" s="79" t="s">
        <v>2890</v>
      </c>
      <c r="B832" s="79" t="s">
        <v>2891</v>
      </c>
      <c r="C832" s="79">
        <v>593491319</v>
      </c>
      <c r="D832" s="79">
        <v>0</v>
      </c>
      <c r="E832" s="79" t="s">
        <v>1124</v>
      </c>
      <c r="F832" s="79" t="s">
        <v>2539</v>
      </c>
      <c r="G832" s="79" t="s">
        <v>2578</v>
      </c>
      <c r="H832" s="79"/>
      <c r="I832" s="79"/>
    </row>
    <row r="833" spans="1:9" ht="15">
      <c r="A833" s="79" t="s">
        <v>2892</v>
      </c>
      <c r="B833" s="79" t="s">
        <v>2893</v>
      </c>
      <c r="C833" s="79">
        <v>593491919</v>
      </c>
      <c r="D833" s="79">
        <v>0</v>
      </c>
      <c r="E833" s="79" t="s">
        <v>1124</v>
      </c>
      <c r="F833" s="79" t="s">
        <v>2539</v>
      </c>
      <c r="G833" s="79" t="s">
        <v>2546</v>
      </c>
      <c r="H833" s="79" t="s">
        <v>2547</v>
      </c>
      <c r="I833" s="79"/>
    </row>
    <row r="834" spans="1:9" ht="15">
      <c r="A834" s="79" t="s">
        <v>2892</v>
      </c>
      <c r="B834" s="79" t="s">
        <v>2893</v>
      </c>
      <c r="C834" s="79">
        <v>593491919</v>
      </c>
      <c r="D834" s="79">
        <v>0</v>
      </c>
      <c r="E834" s="79" t="s">
        <v>1124</v>
      </c>
      <c r="F834" s="79" t="s">
        <v>2539</v>
      </c>
      <c r="G834" s="79" t="s">
        <v>2581</v>
      </c>
      <c r="H834" s="79"/>
      <c r="I834" s="79"/>
    </row>
    <row r="835" spans="1:9" ht="15">
      <c r="A835" s="79" t="s">
        <v>2894</v>
      </c>
      <c r="B835" s="79" t="s">
        <v>2895</v>
      </c>
      <c r="C835" s="79">
        <v>593534519</v>
      </c>
      <c r="D835" s="79">
        <v>0</v>
      </c>
      <c r="E835" s="79" t="s">
        <v>1124</v>
      </c>
      <c r="F835" s="79" t="s">
        <v>2539</v>
      </c>
      <c r="G835" s="79" t="s">
        <v>1130</v>
      </c>
      <c r="H835" s="79"/>
      <c r="I835" s="79"/>
    </row>
    <row r="836" spans="1:9" ht="15">
      <c r="A836" s="79" t="s">
        <v>2894</v>
      </c>
      <c r="B836" s="79" t="s">
        <v>2895</v>
      </c>
      <c r="C836" s="79">
        <v>593534519</v>
      </c>
      <c r="D836" s="79">
        <v>0</v>
      </c>
      <c r="E836" s="79" t="s">
        <v>1124</v>
      </c>
      <c r="F836" s="79" t="s">
        <v>2539</v>
      </c>
      <c r="G836" s="79" t="s">
        <v>1131</v>
      </c>
      <c r="H836" s="79" t="s">
        <v>1132</v>
      </c>
      <c r="I836" s="79"/>
    </row>
    <row r="837" spans="1:9" ht="15">
      <c r="A837" s="79" t="s">
        <v>2894</v>
      </c>
      <c r="B837" s="79" t="s">
        <v>2895</v>
      </c>
      <c r="C837" s="79">
        <v>593534519</v>
      </c>
      <c r="D837" s="79">
        <v>0</v>
      </c>
      <c r="E837" s="79" t="s">
        <v>1124</v>
      </c>
      <c r="F837" s="79" t="s">
        <v>2539</v>
      </c>
      <c r="G837" s="79" t="s">
        <v>2578</v>
      </c>
      <c r="H837" s="79"/>
      <c r="I837" s="79"/>
    </row>
    <row r="838" spans="1:9" ht="15">
      <c r="A838" s="79" t="s">
        <v>2896</v>
      </c>
      <c r="B838" s="79" t="s">
        <v>2897</v>
      </c>
      <c r="C838" s="79">
        <v>593535119</v>
      </c>
      <c r="D838" s="79">
        <v>0</v>
      </c>
      <c r="E838" s="79" t="s">
        <v>1124</v>
      </c>
      <c r="F838" s="79" t="s">
        <v>2539</v>
      </c>
      <c r="G838" s="79" t="s">
        <v>2546</v>
      </c>
      <c r="H838" s="79" t="s">
        <v>2547</v>
      </c>
      <c r="I838" s="79"/>
    </row>
    <row r="839" spans="1:9" ht="15">
      <c r="A839" s="79" t="s">
        <v>2896</v>
      </c>
      <c r="B839" s="79" t="s">
        <v>2897</v>
      </c>
      <c r="C839" s="79">
        <v>593535119</v>
      </c>
      <c r="D839" s="79">
        <v>0</v>
      </c>
      <c r="E839" s="79" t="s">
        <v>1124</v>
      </c>
      <c r="F839" s="79" t="s">
        <v>2539</v>
      </c>
      <c r="G839" s="79" t="s">
        <v>2581</v>
      </c>
      <c r="H839" s="79"/>
      <c r="I839" s="79"/>
    </row>
    <row r="840" spans="1:9" ht="15">
      <c r="A840" s="79" t="s">
        <v>2898</v>
      </c>
      <c r="B840" s="79" t="s">
        <v>2899</v>
      </c>
      <c r="C840" s="79">
        <v>593577719</v>
      </c>
      <c r="D840" s="79">
        <v>0</v>
      </c>
      <c r="E840" s="79" t="s">
        <v>1124</v>
      </c>
      <c r="F840" s="79" t="s">
        <v>2539</v>
      </c>
      <c r="G840" s="79" t="s">
        <v>1130</v>
      </c>
      <c r="H840" s="79"/>
      <c r="I840" s="79"/>
    </row>
    <row r="841" spans="1:9" ht="15">
      <c r="A841" s="79" t="s">
        <v>2898</v>
      </c>
      <c r="B841" s="79" t="s">
        <v>2899</v>
      </c>
      <c r="C841" s="79">
        <v>593577719</v>
      </c>
      <c r="D841" s="79">
        <v>0</v>
      </c>
      <c r="E841" s="79" t="s">
        <v>1124</v>
      </c>
      <c r="F841" s="79" t="s">
        <v>2539</v>
      </c>
      <c r="G841" s="79" t="s">
        <v>1131</v>
      </c>
      <c r="H841" s="79" t="s">
        <v>1132</v>
      </c>
      <c r="I841" s="79"/>
    </row>
    <row r="842" spans="1:9" ht="15">
      <c r="A842" s="79" t="s">
        <v>2898</v>
      </c>
      <c r="B842" s="79" t="s">
        <v>2899</v>
      </c>
      <c r="C842" s="79">
        <v>593577719</v>
      </c>
      <c r="D842" s="79">
        <v>0</v>
      </c>
      <c r="E842" s="79" t="s">
        <v>1124</v>
      </c>
      <c r="F842" s="79" t="s">
        <v>2539</v>
      </c>
      <c r="G842" s="79" t="s">
        <v>2578</v>
      </c>
      <c r="H842" s="79"/>
      <c r="I842" s="79"/>
    </row>
    <row r="843" spans="1:9" ht="15">
      <c r="A843" s="79" t="s">
        <v>2900</v>
      </c>
      <c r="B843" s="79" t="s">
        <v>2901</v>
      </c>
      <c r="C843" s="79">
        <v>593578319</v>
      </c>
      <c r="D843" s="79">
        <v>0</v>
      </c>
      <c r="E843" s="79" t="s">
        <v>1124</v>
      </c>
      <c r="F843" s="79" t="s">
        <v>2539</v>
      </c>
      <c r="G843" s="79" t="s">
        <v>2546</v>
      </c>
      <c r="H843" s="79" t="s">
        <v>2547</v>
      </c>
      <c r="I843" s="79"/>
    </row>
    <row r="844" spans="1:9" ht="15">
      <c r="A844" s="79" t="s">
        <v>2900</v>
      </c>
      <c r="B844" s="79" t="s">
        <v>2901</v>
      </c>
      <c r="C844" s="79">
        <v>593578319</v>
      </c>
      <c r="D844" s="79">
        <v>0</v>
      </c>
      <c r="E844" s="79" t="s">
        <v>1124</v>
      </c>
      <c r="F844" s="79" t="s">
        <v>2539</v>
      </c>
      <c r="G844" s="79" t="s">
        <v>2581</v>
      </c>
      <c r="H844" s="79"/>
      <c r="I844" s="79"/>
    </row>
    <row r="845" spans="1:9" ht="15">
      <c r="A845" s="79" t="s">
        <v>2902</v>
      </c>
      <c r="B845" s="79" t="s">
        <v>2903</v>
      </c>
      <c r="C845" s="79">
        <v>593620919</v>
      </c>
      <c r="D845" s="79">
        <v>0</v>
      </c>
      <c r="E845" s="79" t="s">
        <v>1124</v>
      </c>
      <c r="F845" s="79" t="s">
        <v>2539</v>
      </c>
      <c r="G845" s="79" t="s">
        <v>1130</v>
      </c>
      <c r="H845" s="79"/>
      <c r="I845" s="79"/>
    </row>
    <row r="846" spans="1:9" ht="15">
      <c r="A846" s="79" t="s">
        <v>2902</v>
      </c>
      <c r="B846" s="79" t="s">
        <v>2903</v>
      </c>
      <c r="C846" s="79">
        <v>593620919</v>
      </c>
      <c r="D846" s="79">
        <v>0</v>
      </c>
      <c r="E846" s="79" t="s">
        <v>1124</v>
      </c>
      <c r="F846" s="79" t="s">
        <v>2539</v>
      </c>
      <c r="G846" s="79" t="s">
        <v>1131</v>
      </c>
      <c r="H846" s="79" t="s">
        <v>1132</v>
      </c>
      <c r="I846" s="79"/>
    </row>
    <row r="847" spans="1:9" ht="15">
      <c r="A847" s="79" t="s">
        <v>2902</v>
      </c>
      <c r="B847" s="79" t="s">
        <v>2903</v>
      </c>
      <c r="C847" s="79">
        <v>593620919</v>
      </c>
      <c r="D847" s="79">
        <v>0</v>
      </c>
      <c r="E847" s="79" t="s">
        <v>1124</v>
      </c>
      <c r="F847" s="79" t="s">
        <v>2539</v>
      </c>
      <c r="G847" s="79" t="s">
        <v>2578</v>
      </c>
      <c r="H847" s="79"/>
      <c r="I847" s="79"/>
    </row>
    <row r="848" spans="1:9" ht="15">
      <c r="A848" s="79" t="s">
        <v>2904</v>
      </c>
      <c r="B848" s="79" t="s">
        <v>2905</v>
      </c>
      <c r="C848" s="79">
        <v>593621519</v>
      </c>
      <c r="D848" s="79">
        <v>0</v>
      </c>
      <c r="E848" s="79" t="s">
        <v>1124</v>
      </c>
      <c r="F848" s="79" t="s">
        <v>2539</v>
      </c>
      <c r="G848" s="79" t="s">
        <v>2546</v>
      </c>
      <c r="H848" s="79" t="s">
        <v>2547</v>
      </c>
      <c r="I848" s="79"/>
    </row>
    <row r="849" spans="1:9" ht="15">
      <c r="A849" s="79" t="s">
        <v>2904</v>
      </c>
      <c r="B849" s="79" t="s">
        <v>2905</v>
      </c>
      <c r="C849" s="79">
        <v>593621519</v>
      </c>
      <c r="D849" s="79">
        <v>0</v>
      </c>
      <c r="E849" s="79" t="s">
        <v>1124</v>
      </c>
      <c r="F849" s="79" t="s">
        <v>2539</v>
      </c>
      <c r="G849" s="79" t="s">
        <v>2581</v>
      </c>
      <c r="H849" s="79"/>
      <c r="I849" s="79"/>
    </row>
    <row r="850" spans="1:9" ht="15">
      <c r="A850" s="79" t="s">
        <v>2906</v>
      </c>
      <c r="B850" s="79" t="s">
        <v>2907</v>
      </c>
      <c r="C850" s="79">
        <v>593664119</v>
      </c>
      <c r="D850" s="79">
        <v>0</v>
      </c>
      <c r="E850" s="79" t="s">
        <v>1124</v>
      </c>
      <c r="F850" s="79" t="s">
        <v>2539</v>
      </c>
      <c r="G850" s="79" t="s">
        <v>1130</v>
      </c>
      <c r="H850" s="79"/>
      <c r="I850" s="79"/>
    </row>
    <row r="851" spans="1:9" ht="15">
      <c r="A851" s="79" t="s">
        <v>2906</v>
      </c>
      <c r="B851" s="79" t="s">
        <v>2907</v>
      </c>
      <c r="C851" s="79">
        <v>593664119</v>
      </c>
      <c r="D851" s="79">
        <v>0</v>
      </c>
      <c r="E851" s="79" t="s">
        <v>1124</v>
      </c>
      <c r="F851" s="79" t="s">
        <v>2539</v>
      </c>
      <c r="G851" s="79" t="s">
        <v>1131</v>
      </c>
      <c r="H851" s="79" t="s">
        <v>1132</v>
      </c>
      <c r="I851" s="79"/>
    </row>
    <row r="852" spans="1:9" ht="15">
      <c r="A852" s="79" t="s">
        <v>2906</v>
      </c>
      <c r="B852" s="79" t="s">
        <v>2907</v>
      </c>
      <c r="C852" s="79">
        <v>593664119</v>
      </c>
      <c r="D852" s="79">
        <v>0</v>
      </c>
      <c r="E852" s="79" t="s">
        <v>1124</v>
      </c>
      <c r="F852" s="79" t="s">
        <v>2539</v>
      </c>
      <c r="G852" s="79" t="s">
        <v>2578</v>
      </c>
      <c r="H852" s="79"/>
      <c r="I852" s="79"/>
    </row>
    <row r="853" spans="1:9" ht="15">
      <c r="A853" s="79" t="s">
        <v>2908</v>
      </c>
      <c r="B853" s="79" t="s">
        <v>2909</v>
      </c>
      <c r="C853" s="79">
        <v>593664719</v>
      </c>
      <c r="D853" s="79">
        <v>0</v>
      </c>
      <c r="E853" s="79" t="s">
        <v>1124</v>
      </c>
      <c r="F853" s="79" t="s">
        <v>2539</v>
      </c>
      <c r="G853" s="79" t="s">
        <v>2546</v>
      </c>
      <c r="H853" s="79" t="s">
        <v>2547</v>
      </c>
      <c r="I853" s="79"/>
    </row>
    <row r="854" spans="1:9" ht="15">
      <c r="A854" s="79" t="s">
        <v>2908</v>
      </c>
      <c r="B854" s="79" t="s">
        <v>2909</v>
      </c>
      <c r="C854" s="79">
        <v>593664719</v>
      </c>
      <c r="D854" s="79">
        <v>0</v>
      </c>
      <c r="E854" s="79" t="s">
        <v>1124</v>
      </c>
      <c r="F854" s="79" t="s">
        <v>2539</v>
      </c>
      <c r="G854" s="79" t="s">
        <v>2581</v>
      </c>
      <c r="H854" s="79"/>
      <c r="I854" s="79"/>
    </row>
    <row r="855" spans="1:9" ht="15">
      <c r="A855" s="79" t="s">
        <v>2910</v>
      </c>
      <c r="B855" s="79" t="s">
        <v>2911</v>
      </c>
      <c r="C855" s="79">
        <v>593707319</v>
      </c>
      <c r="D855" s="79">
        <v>0</v>
      </c>
      <c r="E855" s="79" t="s">
        <v>1124</v>
      </c>
      <c r="F855" s="79" t="s">
        <v>2539</v>
      </c>
      <c r="G855" s="79" t="s">
        <v>1130</v>
      </c>
      <c r="H855" s="79"/>
      <c r="I855" s="79"/>
    </row>
    <row r="856" spans="1:9" ht="15">
      <c r="A856" s="79" t="s">
        <v>2910</v>
      </c>
      <c r="B856" s="79" t="s">
        <v>2911</v>
      </c>
      <c r="C856" s="79">
        <v>593707319</v>
      </c>
      <c r="D856" s="79">
        <v>0</v>
      </c>
      <c r="E856" s="79" t="s">
        <v>1124</v>
      </c>
      <c r="F856" s="79" t="s">
        <v>2539</v>
      </c>
      <c r="G856" s="79" t="s">
        <v>2109</v>
      </c>
      <c r="H856" s="79"/>
      <c r="I856" s="79"/>
    </row>
    <row r="857" spans="1:9" ht="15">
      <c r="A857" s="79" t="s">
        <v>2912</v>
      </c>
      <c r="B857" s="79" t="s">
        <v>2913</v>
      </c>
      <c r="C857" s="79">
        <v>593707322</v>
      </c>
      <c r="D857" s="79">
        <v>0</v>
      </c>
      <c r="E857" s="79" t="s">
        <v>1124</v>
      </c>
      <c r="F857" s="79" t="s">
        <v>2539</v>
      </c>
      <c r="G857" s="79" t="s">
        <v>1130</v>
      </c>
      <c r="H857" s="79"/>
      <c r="I857" s="79"/>
    </row>
    <row r="858" spans="1:9" ht="15">
      <c r="A858" s="79" t="s">
        <v>2912</v>
      </c>
      <c r="B858" s="79" t="s">
        <v>2913</v>
      </c>
      <c r="C858" s="79">
        <v>593707322</v>
      </c>
      <c r="D858" s="79">
        <v>0</v>
      </c>
      <c r="E858" s="79" t="s">
        <v>1124</v>
      </c>
      <c r="F858" s="79" t="s">
        <v>2539</v>
      </c>
      <c r="G858" s="79" t="s">
        <v>2572</v>
      </c>
      <c r="H858" s="79" t="s">
        <v>2573</v>
      </c>
      <c r="I858" s="79"/>
    </row>
    <row r="859" spans="1:9" ht="15">
      <c r="A859" s="79" t="s">
        <v>2912</v>
      </c>
      <c r="B859" s="79" t="s">
        <v>2913</v>
      </c>
      <c r="C859" s="79">
        <v>593707322</v>
      </c>
      <c r="D859" s="79">
        <v>0</v>
      </c>
      <c r="E859" s="79" t="s">
        <v>1124</v>
      </c>
      <c r="F859" s="79" t="s">
        <v>2539</v>
      </c>
      <c r="G859" s="79" t="s">
        <v>2568</v>
      </c>
      <c r="H859" s="79"/>
      <c r="I859" s="79"/>
    </row>
    <row r="860" spans="1:9" ht="15">
      <c r="A860" s="79" t="s">
        <v>2914</v>
      </c>
      <c r="B860" s="79" t="s">
        <v>2915</v>
      </c>
      <c r="C860" s="79">
        <v>593707682</v>
      </c>
      <c r="D860" s="79">
        <v>0</v>
      </c>
      <c r="E860" s="79" t="s">
        <v>1124</v>
      </c>
      <c r="F860" s="79" t="s">
        <v>2539</v>
      </c>
      <c r="G860" s="79" t="s">
        <v>2576</v>
      </c>
      <c r="H860" s="79"/>
      <c r="I860" s="79"/>
    </row>
    <row r="861" spans="1:9" ht="15">
      <c r="A861" s="79" t="s">
        <v>2914</v>
      </c>
      <c r="B861" s="79" t="s">
        <v>2915</v>
      </c>
      <c r="C861" s="79">
        <v>593707682</v>
      </c>
      <c r="D861" s="79">
        <v>0</v>
      </c>
      <c r="E861" s="79" t="s">
        <v>1124</v>
      </c>
      <c r="F861" s="79" t="s">
        <v>2539</v>
      </c>
      <c r="G861" s="79" t="s">
        <v>2577</v>
      </c>
      <c r="H861" s="79"/>
      <c r="I861" s="79"/>
    </row>
    <row r="862" spans="1:9" ht="15">
      <c r="A862" s="79" t="s">
        <v>2914</v>
      </c>
      <c r="B862" s="79" t="s">
        <v>2915</v>
      </c>
      <c r="C862" s="79">
        <v>593707682</v>
      </c>
      <c r="D862" s="79">
        <v>0</v>
      </c>
      <c r="E862" s="79" t="s">
        <v>1124</v>
      </c>
      <c r="F862" s="79" t="s">
        <v>2539</v>
      </c>
      <c r="G862" s="79" t="s">
        <v>1131</v>
      </c>
      <c r="H862" s="79" t="s">
        <v>1132</v>
      </c>
      <c r="I862" s="79"/>
    </row>
    <row r="863" spans="1:9" ht="15">
      <c r="A863" s="79" t="s">
        <v>2914</v>
      </c>
      <c r="B863" s="79" t="s">
        <v>2915</v>
      </c>
      <c r="C863" s="79">
        <v>593707682</v>
      </c>
      <c r="D863" s="79">
        <v>0</v>
      </c>
      <c r="E863" s="79" t="s">
        <v>1124</v>
      </c>
      <c r="F863" s="79" t="s">
        <v>2539</v>
      </c>
      <c r="G863" s="79" t="s">
        <v>2578</v>
      </c>
      <c r="H863" s="79"/>
      <c r="I863" s="79"/>
    </row>
    <row r="864" spans="1:9" ht="15">
      <c r="A864" s="79" t="s">
        <v>2916</v>
      </c>
      <c r="B864" s="79" t="s">
        <v>2917</v>
      </c>
      <c r="C864" s="79">
        <v>593708282</v>
      </c>
      <c r="D864" s="79">
        <v>0</v>
      </c>
      <c r="E864" s="79" t="s">
        <v>1124</v>
      </c>
      <c r="F864" s="79" t="s">
        <v>2539</v>
      </c>
      <c r="G864" s="79" t="s">
        <v>2546</v>
      </c>
      <c r="H864" s="79" t="s">
        <v>2547</v>
      </c>
      <c r="I864" s="79"/>
    </row>
    <row r="865" spans="1:9" ht="15">
      <c r="A865" s="79" t="s">
        <v>2916</v>
      </c>
      <c r="B865" s="79" t="s">
        <v>2917</v>
      </c>
      <c r="C865" s="79">
        <v>593708282</v>
      </c>
      <c r="D865" s="79">
        <v>0</v>
      </c>
      <c r="E865" s="79" t="s">
        <v>1124</v>
      </c>
      <c r="F865" s="79" t="s">
        <v>2539</v>
      </c>
      <c r="G865" s="79" t="s">
        <v>2581</v>
      </c>
      <c r="H865" s="79"/>
      <c r="I865" s="79"/>
    </row>
    <row r="866" spans="1:9" ht="15">
      <c r="A866" s="79" t="s">
        <v>2918</v>
      </c>
      <c r="B866" s="79" t="s">
        <v>2919</v>
      </c>
      <c r="C866" s="79">
        <v>593750882</v>
      </c>
      <c r="D866" s="79">
        <v>0</v>
      </c>
      <c r="E866" s="79" t="s">
        <v>1124</v>
      </c>
      <c r="F866" s="79" t="s">
        <v>2539</v>
      </c>
      <c r="G866" s="79" t="s">
        <v>1130</v>
      </c>
      <c r="H866" s="79"/>
      <c r="I866" s="79"/>
    </row>
    <row r="867" spans="1:9" ht="15">
      <c r="A867" s="79" t="s">
        <v>2918</v>
      </c>
      <c r="B867" s="79" t="s">
        <v>2919</v>
      </c>
      <c r="C867" s="79">
        <v>593750882</v>
      </c>
      <c r="D867" s="79">
        <v>0</v>
      </c>
      <c r="E867" s="79" t="s">
        <v>1124</v>
      </c>
      <c r="F867" s="79" t="s">
        <v>2539</v>
      </c>
      <c r="G867" s="79" t="s">
        <v>1131</v>
      </c>
      <c r="H867" s="79" t="s">
        <v>1132</v>
      </c>
      <c r="I867" s="79"/>
    </row>
    <row r="868" spans="1:9" ht="15">
      <c r="A868" s="79" t="s">
        <v>2918</v>
      </c>
      <c r="B868" s="79" t="s">
        <v>2919</v>
      </c>
      <c r="C868" s="79">
        <v>593750882</v>
      </c>
      <c r="D868" s="79">
        <v>0</v>
      </c>
      <c r="E868" s="79" t="s">
        <v>1124</v>
      </c>
      <c r="F868" s="79" t="s">
        <v>2539</v>
      </c>
      <c r="G868" s="79" t="s">
        <v>2578</v>
      </c>
      <c r="H868" s="79"/>
      <c r="I868" s="79"/>
    </row>
    <row r="869" spans="1:9" ht="15">
      <c r="A869" s="79" t="s">
        <v>2920</v>
      </c>
      <c r="B869" s="79" t="s">
        <v>2921</v>
      </c>
      <c r="C869" s="79">
        <v>593751482</v>
      </c>
      <c r="D869" s="79">
        <v>0</v>
      </c>
      <c r="E869" s="79" t="s">
        <v>1124</v>
      </c>
      <c r="F869" s="79" t="s">
        <v>2539</v>
      </c>
      <c r="G869" s="79" t="s">
        <v>2546</v>
      </c>
      <c r="H869" s="79" t="s">
        <v>2547</v>
      </c>
      <c r="I869" s="79"/>
    </row>
    <row r="870" spans="1:9" ht="15">
      <c r="A870" s="79" t="s">
        <v>2920</v>
      </c>
      <c r="B870" s="79" t="s">
        <v>2921</v>
      </c>
      <c r="C870" s="79">
        <v>593751482</v>
      </c>
      <c r="D870" s="79">
        <v>0</v>
      </c>
      <c r="E870" s="79" t="s">
        <v>1124</v>
      </c>
      <c r="F870" s="79" t="s">
        <v>2539</v>
      </c>
      <c r="G870" s="79" t="s">
        <v>2581</v>
      </c>
      <c r="H870" s="79"/>
      <c r="I870" s="79"/>
    </row>
    <row r="871" spans="1:9" ht="15">
      <c r="A871" s="79" t="s">
        <v>2922</v>
      </c>
      <c r="B871" s="79" t="s">
        <v>2923</v>
      </c>
      <c r="C871" s="79">
        <v>593794082</v>
      </c>
      <c r="D871" s="79">
        <v>0</v>
      </c>
      <c r="E871" s="79" t="s">
        <v>1124</v>
      </c>
      <c r="F871" s="79" t="s">
        <v>2539</v>
      </c>
      <c r="G871" s="79" t="s">
        <v>1130</v>
      </c>
      <c r="H871" s="79"/>
      <c r="I871" s="79"/>
    </row>
    <row r="872" spans="1:9" ht="15">
      <c r="A872" s="79" t="s">
        <v>2922</v>
      </c>
      <c r="B872" s="79" t="s">
        <v>2923</v>
      </c>
      <c r="C872" s="79">
        <v>593794082</v>
      </c>
      <c r="D872" s="79">
        <v>0</v>
      </c>
      <c r="E872" s="79" t="s">
        <v>1124</v>
      </c>
      <c r="F872" s="79" t="s">
        <v>2539</v>
      </c>
      <c r="G872" s="79" t="s">
        <v>1131</v>
      </c>
      <c r="H872" s="79" t="s">
        <v>1132</v>
      </c>
      <c r="I872" s="79"/>
    </row>
    <row r="873" spans="1:9" ht="15">
      <c r="A873" s="79" t="s">
        <v>2922</v>
      </c>
      <c r="B873" s="79" t="s">
        <v>2923</v>
      </c>
      <c r="C873" s="79">
        <v>593794082</v>
      </c>
      <c r="D873" s="79">
        <v>0</v>
      </c>
      <c r="E873" s="79" t="s">
        <v>1124</v>
      </c>
      <c r="F873" s="79" t="s">
        <v>2539</v>
      </c>
      <c r="G873" s="79" t="s">
        <v>2578</v>
      </c>
      <c r="H873" s="79"/>
      <c r="I873" s="79"/>
    </row>
    <row r="874" spans="1:9" ht="15">
      <c r="A874" s="79" t="s">
        <v>2924</v>
      </c>
      <c r="B874" s="79" t="s">
        <v>2925</v>
      </c>
      <c r="C874" s="79">
        <v>593794682</v>
      </c>
      <c r="D874" s="79">
        <v>0</v>
      </c>
      <c r="E874" s="79" t="s">
        <v>1124</v>
      </c>
      <c r="F874" s="79" t="s">
        <v>2539</v>
      </c>
      <c r="G874" s="79" t="s">
        <v>2546</v>
      </c>
      <c r="H874" s="79" t="s">
        <v>2547</v>
      </c>
      <c r="I874" s="79"/>
    </row>
    <row r="875" spans="1:9" ht="15">
      <c r="A875" s="79" t="s">
        <v>2924</v>
      </c>
      <c r="B875" s="79" t="s">
        <v>2925</v>
      </c>
      <c r="C875" s="79">
        <v>593794682</v>
      </c>
      <c r="D875" s="79">
        <v>0</v>
      </c>
      <c r="E875" s="79" t="s">
        <v>1124</v>
      </c>
      <c r="F875" s="79" t="s">
        <v>2539</v>
      </c>
      <c r="G875" s="79" t="s">
        <v>2581</v>
      </c>
      <c r="H875" s="79"/>
      <c r="I875" s="79"/>
    </row>
    <row r="876" spans="1:9" ht="15">
      <c r="A876" s="79" t="s">
        <v>2926</v>
      </c>
      <c r="B876" s="79" t="s">
        <v>2927</v>
      </c>
      <c r="C876" s="79">
        <v>593837282</v>
      </c>
      <c r="D876" s="79">
        <v>0</v>
      </c>
      <c r="E876" s="79" t="s">
        <v>1124</v>
      </c>
      <c r="F876" s="79" t="s">
        <v>2539</v>
      </c>
      <c r="G876" s="79" t="s">
        <v>1130</v>
      </c>
      <c r="H876" s="79"/>
      <c r="I876" s="79"/>
    </row>
    <row r="877" spans="1:9" ht="15">
      <c r="A877" s="79" t="s">
        <v>2926</v>
      </c>
      <c r="B877" s="79" t="s">
        <v>2927</v>
      </c>
      <c r="C877" s="79">
        <v>593837282</v>
      </c>
      <c r="D877" s="79">
        <v>0</v>
      </c>
      <c r="E877" s="79" t="s">
        <v>1124</v>
      </c>
      <c r="F877" s="79" t="s">
        <v>2539</v>
      </c>
      <c r="G877" s="79" t="s">
        <v>1131</v>
      </c>
      <c r="H877" s="79" t="s">
        <v>1132</v>
      </c>
      <c r="I877" s="79"/>
    </row>
    <row r="878" spans="1:9" ht="15">
      <c r="A878" s="79" t="s">
        <v>2926</v>
      </c>
      <c r="B878" s="79" t="s">
        <v>2927</v>
      </c>
      <c r="C878" s="79">
        <v>593837282</v>
      </c>
      <c r="D878" s="79">
        <v>0</v>
      </c>
      <c r="E878" s="79" t="s">
        <v>1124</v>
      </c>
      <c r="F878" s="79" t="s">
        <v>2539</v>
      </c>
      <c r="G878" s="79" t="s">
        <v>2578</v>
      </c>
      <c r="H878" s="79"/>
      <c r="I878" s="79"/>
    </row>
    <row r="879" spans="1:9" ht="15">
      <c r="A879" s="79" t="s">
        <v>2928</v>
      </c>
      <c r="B879" s="79" t="s">
        <v>2929</v>
      </c>
      <c r="C879" s="79">
        <v>593837882</v>
      </c>
      <c r="D879" s="79">
        <v>0</v>
      </c>
      <c r="E879" s="79" t="s">
        <v>1124</v>
      </c>
      <c r="F879" s="79" t="s">
        <v>2539</v>
      </c>
      <c r="G879" s="79" t="s">
        <v>2546</v>
      </c>
      <c r="H879" s="79" t="s">
        <v>2547</v>
      </c>
      <c r="I879" s="79"/>
    </row>
    <row r="880" spans="1:9" ht="15">
      <c r="A880" s="79" t="s">
        <v>2928</v>
      </c>
      <c r="B880" s="79" t="s">
        <v>2929</v>
      </c>
      <c r="C880" s="79">
        <v>593837882</v>
      </c>
      <c r="D880" s="79">
        <v>0</v>
      </c>
      <c r="E880" s="79" t="s">
        <v>1124</v>
      </c>
      <c r="F880" s="79" t="s">
        <v>2539</v>
      </c>
      <c r="G880" s="79" t="s">
        <v>2581</v>
      </c>
      <c r="H880" s="79"/>
      <c r="I880" s="79"/>
    </row>
    <row r="881" spans="1:9" ht="15">
      <c r="A881" s="79" t="s">
        <v>2930</v>
      </c>
      <c r="B881" s="79" t="s">
        <v>2931</v>
      </c>
      <c r="C881" s="79">
        <v>593880482</v>
      </c>
      <c r="D881" s="79">
        <v>0</v>
      </c>
      <c r="E881" s="79" t="s">
        <v>1124</v>
      </c>
      <c r="F881" s="79" t="s">
        <v>2539</v>
      </c>
      <c r="G881" s="79" t="s">
        <v>1130</v>
      </c>
      <c r="H881" s="79"/>
      <c r="I881" s="79"/>
    </row>
    <row r="882" spans="1:9" ht="15">
      <c r="A882" s="79" t="s">
        <v>2930</v>
      </c>
      <c r="B882" s="79" t="s">
        <v>2931</v>
      </c>
      <c r="C882" s="79">
        <v>593880482</v>
      </c>
      <c r="D882" s="79">
        <v>0</v>
      </c>
      <c r="E882" s="79" t="s">
        <v>1124</v>
      </c>
      <c r="F882" s="79" t="s">
        <v>2539</v>
      </c>
      <c r="G882" s="79" t="s">
        <v>1131</v>
      </c>
      <c r="H882" s="79" t="s">
        <v>1132</v>
      </c>
      <c r="I882" s="79"/>
    </row>
    <row r="883" spans="1:9" ht="15">
      <c r="A883" s="79" t="s">
        <v>2930</v>
      </c>
      <c r="B883" s="79" t="s">
        <v>2931</v>
      </c>
      <c r="C883" s="79">
        <v>593880482</v>
      </c>
      <c r="D883" s="79">
        <v>0</v>
      </c>
      <c r="E883" s="79" t="s">
        <v>1124</v>
      </c>
      <c r="F883" s="79" t="s">
        <v>2539</v>
      </c>
      <c r="G883" s="79" t="s">
        <v>2578</v>
      </c>
      <c r="H883" s="79"/>
      <c r="I883" s="79"/>
    </row>
    <row r="884" spans="1:9" ht="15">
      <c r="A884" s="79" t="s">
        <v>2932</v>
      </c>
      <c r="B884" s="79" t="s">
        <v>2933</v>
      </c>
      <c r="C884" s="79">
        <v>593881082</v>
      </c>
      <c r="D884" s="79">
        <v>0</v>
      </c>
      <c r="E884" s="79" t="s">
        <v>1124</v>
      </c>
      <c r="F884" s="79" t="s">
        <v>2539</v>
      </c>
      <c r="G884" s="79" t="s">
        <v>2546</v>
      </c>
      <c r="H884" s="79" t="s">
        <v>2547</v>
      </c>
      <c r="I884" s="79"/>
    </row>
    <row r="885" spans="1:9" ht="15">
      <c r="A885" s="79" t="s">
        <v>2932</v>
      </c>
      <c r="B885" s="79" t="s">
        <v>2933</v>
      </c>
      <c r="C885" s="79">
        <v>593881082</v>
      </c>
      <c r="D885" s="79">
        <v>0</v>
      </c>
      <c r="E885" s="79" t="s">
        <v>1124</v>
      </c>
      <c r="F885" s="79" t="s">
        <v>2539</v>
      </c>
      <c r="G885" s="79" t="s">
        <v>2581</v>
      </c>
      <c r="H885" s="79"/>
      <c r="I885" s="79"/>
    </row>
    <row r="886" spans="1:9" ht="15">
      <c r="A886" s="79" t="s">
        <v>2934</v>
      </c>
      <c r="B886" s="79" t="s">
        <v>2935</v>
      </c>
      <c r="C886" s="79">
        <v>593923682</v>
      </c>
      <c r="D886" s="79">
        <v>0</v>
      </c>
      <c r="E886" s="79" t="s">
        <v>1124</v>
      </c>
      <c r="F886" s="79" t="s">
        <v>2539</v>
      </c>
      <c r="G886" s="79" t="s">
        <v>1130</v>
      </c>
      <c r="H886" s="79"/>
      <c r="I886" s="79"/>
    </row>
    <row r="887" spans="1:9" ht="15">
      <c r="A887" s="79" t="s">
        <v>2934</v>
      </c>
      <c r="B887" s="79" t="s">
        <v>2935</v>
      </c>
      <c r="C887" s="79">
        <v>593923682</v>
      </c>
      <c r="D887" s="79">
        <v>0</v>
      </c>
      <c r="E887" s="79" t="s">
        <v>1124</v>
      </c>
      <c r="F887" s="79" t="s">
        <v>2539</v>
      </c>
      <c r="G887" s="79" t="s">
        <v>1131</v>
      </c>
      <c r="H887" s="79" t="s">
        <v>1132</v>
      </c>
      <c r="I887" s="79"/>
    </row>
    <row r="888" spans="1:9" ht="15">
      <c r="A888" s="79" t="s">
        <v>2934</v>
      </c>
      <c r="B888" s="79" t="s">
        <v>2935</v>
      </c>
      <c r="C888" s="79">
        <v>593923682</v>
      </c>
      <c r="D888" s="79">
        <v>0</v>
      </c>
      <c r="E888" s="79" t="s">
        <v>1124</v>
      </c>
      <c r="F888" s="79" t="s">
        <v>2539</v>
      </c>
      <c r="G888" s="79" t="s">
        <v>2578</v>
      </c>
      <c r="H888" s="79"/>
      <c r="I888" s="79"/>
    </row>
    <row r="889" spans="1:9" ht="15">
      <c r="A889" s="79" t="s">
        <v>2936</v>
      </c>
      <c r="B889" s="79" t="s">
        <v>2937</v>
      </c>
      <c r="C889" s="79">
        <v>593924282</v>
      </c>
      <c r="D889" s="79">
        <v>0</v>
      </c>
      <c r="E889" s="79" t="s">
        <v>1124</v>
      </c>
      <c r="F889" s="79" t="s">
        <v>2539</v>
      </c>
      <c r="G889" s="79" t="s">
        <v>2546</v>
      </c>
      <c r="H889" s="79" t="s">
        <v>2547</v>
      </c>
      <c r="I889" s="79"/>
    </row>
    <row r="890" spans="1:9" ht="15">
      <c r="A890" s="79" t="s">
        <v>2936</v>
      </c>
      <c r="B890" s="79" t="s">
        <v>2937</v>
      </c>
      <c r="C890" s="79">
        <v>593924282</v>
      </c>
      <c r="D890" s="79">
        <v>0</v>
      </c>
      <c r="E890" s="79" t="s">
        <v>1124</v>
      </c>
      <c r="F890" s="79" t="s">
        <v>2539</v>
      </c>
      <c r="G890" s="79" t="s">
        <v>2581</v>
      </c>
      <c r="H890" s="79"/>
      <c r="I890" s="79"/>
    </row>
    <row r="891" spans="1:9" ht="15">
      <c r="A891" s="79" t="s">
        <v>2938</v>
      </c>
      <c r="B891" s="79" t="s">
        <v>2939</v>
      </c>
      <c r="C891" s="79">
        <v>593966882</v>
      </c>
      <c r="D891" s="79">
        <v>0</v>
      </c>
      <c r="E891" s="79" t="s">
        <v>1124</v>
      </c>
      <c r="F891" s="79" t="s">
        <v>2539</v>
      </c>
      <c r="G891" s="79" t="s">
        <v>1130</v>
      </c>
      <c r="H891" s="79"/>
      <c r="I891" s="79"/>
    </row>
    <row r="892" spans="1:9" ht="15">
      <c r="A892" s="79" t="s">
        <v>2938</v>
      </c>
      <c r="B892" s="79" t="s">
        <v>2939</v>
      </c>
      <c r="C892" s="79">
        <v>593966882</v>
      </c>
      <c r="D892" s="79">
        <v>0</v>
      </c>
      <c r="E892" s="79" t="s">
        <v>1124</v>
      </c>
      <c r="F892" s="79" t="s">
        <v>2539</v>
      </c>
      <c r="G892" s="79" t="s">
        <v>1131</v>
      </c>
      <c r="H892" s="79" t="s">
        <v>1132</v>
      </c>
      <c r="I892" s="79"/>
    </row>
    <row r="893" spans="1:9" ht="15">
      <c r="A893" s="79" t="s">
        <v>2938</v>
      </c>
      <c r="B893" s="79" t="s">
        <v>2939</v>
      </c>
      <c r="C893" s="79">
        <v>593966882</v>
      </c>
      <c r="D893" s="79">
        <v>0</v>
      </c>
      <c r="E893" s="79" t="s">
        <v>1124</v>
      </c>
      <c r="F893" s="79" t="s">
        <v>2539</v>
      </c>
      <c r="G893" s="79" t="s">
        <v>2578</v>
      </c>
      <c r="H893" s="79"/>
      <c r="I893" s="79"/>
    </row>
    <row r="894" spans="1:9" ht="15">
      <c r="A894" s="79" t="s">
        <v>2940</v>
      </c>
      <c r="B894" s="79" t="s">
        <v>2941</v>
      </c>
      <c r="C894" s="79">
        <v>593967482</v>
      </c>
      <c r="D894" s="79">
        <v>0</v>
      </c>
      <c r="E894" s="79" t="s">
        <v>1124</v>
      </c>
      <c r="F894" s="79" t="s">
        <v>2539</v>
      </c>
      <c r="G894" s="79" t="s">
        <v>2546</v>
      </c>
      <c r="H894" s="79" t="s">
        <v>2547</v>
      </c>
      <c r="I894" s="79"/>
    </row>
    <row r="895" spans="1:9" ht="15">
      <c r="A895" s="79" t="s">
        <v>2940</v>
      </c>
      <c r="B895" s="79" t="s">
        <v>2941</v>
      </c>
      <c r="C895" s="79">
        <v>593967482</v>
      </c>
      <c r="D895" s="79">
        <v>0</v>
      </c>
      <c r="E895" s="79" t="s">
        <v>1124</v>
      </c>
      <c r="F895" s="79" t="s">
        <v>2539</v>
      </c>
      <c r="G895" s="79" t="s">
        <v>2581</v>
      </c>
      <c r="H895" s="79"/>
      <c r="I895" s="79"/>
    </row>
    <row r="896" spans="1:9" ht="15">
      <c r="A896" s="79" t="s">
        <v>2942</v>
      </c>
      <c r="B896" s="79" t="s">
        <v>2943</v>
      </c>
      <c r="C896" s="79">
        <v>594010082</v>
      </c>
      <c r="D896" s="79">
        <v>0</v>
      </c>
      <c r="E896" s="79" t="s">
        <v>1124</v>
      </c>
      <c r="F896" s="79" t="s">
        <v>2539</v>
      </c>
      <c r="G896" s="79" t="s">
        <v>1130</v>
      </c>
      <c r="H896" s="79"/>
      <c r="I896" s="79"/>
    </row>
    <row r="897" spans="1:9" ht="15">
      <c r="A897" s="79" t="s">
        <v>2942</v>
      </c>
      <c r="B897" s="79" t="s">
        <v>2943</v>
      </c>
      <c r="C897" s="79">
        <v>594010082</v>
      </c>
      <c r="D897" s="79">
        <v>0</v>
      </c>
      <c r="E897" s="79" t="s">
        <v>1124</v>
      </c>
      <c r="F897" s="79" t="s">
        <v>2539</v>
      </c>
      <c r="G897" s="79" t="s">
        <v>1131</v>
      </c>
      <c r="H897" s="79" t="s">
        <v>1132</v>
      </c>
      <c r="I897" s="79"/>
    </row>
    <row r="898" spans="1:9" ht="15">
      <c r="A898" s="79" t="s">
        <v>2942</v>
      </c>
      <c r="B898" s="79" t="s">
        <v>2943</v>
      </c>
      <c r="C898" s="79">
        <v>594010082</v>
      </c>
      <c r="D898" s="79">
        <v>0</v>
      </c>
      <c r="E898" s="79" t="s">
        <v>1124</v>
      </c>
      <c r="F898" s="79" t="s">
        <v>2539</v>
      </c>
      <c r="G898" s="79" t="s">
        <v>2578</v>
      </c>
      <c r="H898" s="79"/>
      <c r="I898" s="79"/>
    </row>
    <row r="899" spans="1:9" ht="15">
      <c r="A899" s="79" t="s">
        <v>2944</v>
      </c>
      <c r="B899" s="79" t="s">
        <v>2945</v>
      </c>
      <c r="C899" s="79">
        <v>594010682</v>
      </c>
      <c r="D899" s="79">
        <v>0</v>
      </c>
      <c r="E899" s="79" t="s">
        <v>1124</v>
      </c>
      <c r="F899" s="79" t="s">
        <v>2539</v>
      </c>
      <c r="G899" s="79" t="s">
        <v>2546</v>
      </c>
      <c r="H899" s="79" t="s">
        <v>2547</v>
      </c>
      <c r="I899" s="79"/>
    </row>
    <row r="900" spans="1:9" ht="15">
      <c r="A900" s="79" t="s">
        <v>2944</v>
      </c>
      <c r="B900" s="79" t="s">
        <v>2945</v>
      </c>
      <c r="C900" s="79">
        <v>594010682</v>
      </c>
      <c r="D900" s="79">
        <v>0</v>
      </c>
      <c r="E900" s="79" t="s">
        <v>1124</v>
      </c>
      <c r="F900" s="79" t="s">
        <v>2539</v>
      </c>
      <c r="G900" s="79" t="s">
        <v>2581</v>
      </c>
      <c r="H900" s="79"/>
      <c r="I900" s="79"/>
    </row>
    <row r="901" spans="1:9" ht="15">
      <c r="A901" s="79" t="s">
        <v>2946</v>
      </c>
      <c r="B901" s="79" t="s">
        <v>2947</v>
      </c>
      <c r="C901" s="79">
        <v>594053282</v>
      </c>
      <c r="D901" s="79">
        <v>0</v>
      </c>
      <c r="E901" s="79" t="s">
        <v>1124</v>
      </c>
      <c r="F901" s="79" t="s">
        <v>2539</v>
      </c>
      <c r="G901" s="79" t="s">
        <v>1130</v>
      </c>
      <c r="H901" s="79"/>
      <c r="I901" s="79"/>
    </row>
    <row r="902" spans="1:9" ht="15">
      <c r="A902" s="79" t="s">
        <v>2946</v>
      </c>
      <c r="B902" s="79" t="s">
        <v>2947</v>
      </c>
      <c r="C902" s="79">
        <v>594053282</v>
      </c>
      <c r="D902" s="79">
        <v>0</v>
      </c>
      <c r="E902" s="79" t="s">
        <v>1124</v>
      </c>
      <c r="F902" s="79" t="s">
        <v>2539</v>
      </c>
      <c r="G902" s="79" t="s">
        <v>1131</v>
      </c>
      <c r="H902" s="79" t="s">
        <v>1132</v>
      </c>
      <c r="I902" s="79"/>
    </row>
    <row r="903" spans="1:9" ht="15">
      <c r="A903" s="79" t="s">
        <v>2946</v>
      </c>
      <c r="B903" s="79" t="s">
        <v>2947</v>
      </c>
      <c r="C903" s="79">
        <v>594053282</v>
      </c>
      <c r="D903" s="79">
        <v>0</v>
      </c>
      <c r="E903" s="79" t="s">
        <v>1124</v>
      </c>
      <c r="F903" s="79" t="s">
        <v>2539</v>
      </c>
      <c r="G903" s="79" t="s">
        <v>2578</v>
      </c>
      <c r="H903" s="79"/>
      <c r="I903" s="79"/>
    </row>
    <row r="904" spans="1:9" ht="15">
      <c r="A904" s="79" t="s">
        <v>2948</v>
      </c>
      <c r="B904" s="79" t="s">
        <v>2949</v>
      </c>
      <c r="C904" s="79">
        <v>594053882</v>
      </c>
      <c r="D904" s="79">
        <v>0</v>
      </c>
      <c r="E904" s="79" t="s">
        <v>1124</v>
      </c>
      <c r="F904" s="79" t="s">
        <v>2539</v>
      </c>
      <c r="G904" s="79" t="s">
        <v>2546</v>
      </c>
      <c r="H904" s="79" t="s">
        <v>2547</v>
      </c>
      <c r="I904" s="79"/>
    </row>
    <row r="905" spans="1:9" ht="15">
      <c r="A905" s="79" t="s">
        <v>2948</v>
      </c>
      <c r="B905" s="79" t="s">
        <v>2949</v>
      </c>
      <c r="C905" s="79">
        <v>594053882</v>
      </c>
      <c r="D905" s="79">
        <v>0</v>
      </c>
      <c r="E905" s="79" t="s">
        <v>1124</v>
      </c>
      <c r="F905" s="79" t="s">
        <v>2539</v>
      </c>
      <c r="G905" s="79" t="s">
        <v>2581</v>
      </c>
      <c r="H905" s="79"/>
      <c r="I905" s="79"/>
    </row>
    <row r="906" spans="1:9" ht="15">
      <c r="A906" s="79" t="s">
        <v>2950</v>
      </c>
      <c r="B906" s="79" t="s">
        <v>2951</v>
      </c>
      <c r="C906" s="79">
        <v>594096482</v>
      </c>
      <c r="D906" s="79">
        <v>0</v>
      </c>
      <c r="E906" s="79" t="s">
        <v>1124</v>
      </c>
      <c r="F906" s="79" t="s">
        <v>2539</v>
      </c>
      <c r="G906" s="79" t="s">
        <v>1130</v>
      </c>
      <c r="H906" s="79"/>
      <c r="I906" s="79"/>
    </row>
    <row r="907" spans="1:9" ht="15">
      <c r="A907" s="79" t="s">
        <v>2950</v>
      </c>
      <c r="B907" s="79" t="s">
        <v>2951</v>
      </c>
      <c r="C907" s="79">
        <v>594096482</v>
      </c>
      <c r="D907" s="79">
        <v>0</v>
      </c>
      <c r="E907" s="79" t="s">
        <v>1124</v>
      </c>
      <c r="F907" s="79" t="s">
        <v>2539</v>
      </c>
      <c r="G907" s="79" t="s">
        <v>1131</v>
      </c>
      <c r="H907" s="79" t="s">
        <v>1132</v>
      </c>
      <c r="I907" s="79"/>
    </row>
    <row r="908" spans="1:9" ht="15">
      <c r="A908" s="79" t="s">
        <v>2950</v>
      </c>
      <c r="B908" s="79" t="s">
        <v>2951</v>
      </c>
      <c r="C908" s="79">
        <v>594096482</v>
      </c>
      <c r="D908" s="79">
        <v>0</v>
      </c>
      <c r="E908" s="79" t="s">
        <v>1124</v>
      </c>
      <c r="F908" s="79" t="s">
        <v>2539</v>
      </c>
      <c r="G908" s="79" t="s">
        <v>2578</v>
      </c>
      <c r="H908" s="79"/>
      <c r="I908" s="79"/>
    </row>
    <row r="909" spans="1:9" ht="15">
      <c r="A909" s="79" t="s">
        <v>2952</v>
      </c>
      <c r="B909" s="79" t="s">
        <v>2953</v>
      </c>
      <c r="C909" s="79">
        <v>594097082</v>
      </c>
      <c r="D909" s="79">
        <v>0</v>
      </c>
      <c r="E909" s="79" t="s">
        <v>1124</v>
      </c>
      <c r="F909" s="79" t="s">
        <v>2539</v>
      </c>
      <c r="G909" s="79" t="s">
        <v>2546</v>
      </c>
      <c r="H909" s="79" t="s">
        <v>2547</v>
      </c>
      <c r="I909" s="79"/>
    </row>
    <row r="910" spans="1:9" ht="15">
      <c r="A910" s="79" t="s">
        <v>2952</v>
      </c>
      <c r="B910" s="79" t="s">
        <v>2953</v>
      </c>
      <c r="C910" s="79">
        <v>594097082</v>
      </c>
      <c r="D910" s="79">
        <v>0</v>
      </c>
      <c r="E910" s="79" t="s">
        <v>1124</v>
      </c>
      <c r="F910" s="79" t="s">
        <v>2539</v>
      </c>
      <c r="G910" s="79" t="s">
        <v>2581</v>
      </c>
      <c r="H910" s="79"/>
      <c r="I910" s="79"/>
    </row>
    <row r="911" spans="1:9" ht="15">
      <c r="A911" s="79" t="s">
        <v>2954</v>
      </c>
      <c r="B911" s="79" t="s">
        <v>2955</v>
      </c>
      <c r="C911" s="79">
        <v>594139682</v>
      </c>
      <c r="D911" s="79">
        <v>0</v>
      </c>
      <c r="E911" s="79" t="s">
        <v>1124</v>
      </c>
      <c r="F911" s="79" t="s">
        <v>2539</v>
      </c>
      <c r="G911" s="79" t="s">
        <v>1130</v>
      </c>
      <c r="H911" s="79"/>
      <c r="I911" s="79"/>
    </row>
    <row r="912" spans="1:9" ht="15">
      <c r="A912" s="79" t="s">
        <v>2954</v>
      </c>
      <c r="B912" s="79" t="s">
        <v>2955</v>
      </c>
      <c r="C912" s="79">
        <v>594139682</v>
      </c>
      <c r="D912" s="79">
        <v>0</v>
      </c>
      <c r="E912" s="79" t="s">
        <v>1124</v>
      </c>
      <c r="F912" s="79" t="s">
        <v>2539</v>
      </c>
      <c r="G912" s="79" t="s">
        <v>1131</v>
      </c>
      <c r="H912" s="79" t="s">
        <v>1132</v>
      </c>
      <c r="I912" s="79"/>
    </row>
    <row r="913" spans="1:9" ht="15">
      <c r="A913" s="79" t="s">
        <v>2954</v>
      </c>
      <c r="B913" s="79" t="s">
        <v>2955</v>
      </c>
      <c r="C913" s="79">
        <v>594139682</v>
      </c>
      <c r="D913" s="79">
        <v>0</v>
      </c>
      <c r="E913" s="79" t="s">
        <v>1124</v>
      </c>
      <c r="F913" s="79" t="s">
        <v>2539</v>
      </c>
      <c r="G913" s="79" t="s">
        <v>2578</v>
      </c>
      <c r="H913" s="79"/>
      <c r="I913" s="79"/>
    </row>
    <row r="914" spans="1:9" ht="15">
      <c r="A914" s="79" t="s">
        <v>2956</v>
      </c>
      <c r="B914" s="79" t="s">
        <v>2957</v>
      </c>
      <c r="C914" s="79">
        <v>594140282</v>
      </c>
      <c r="D914" s="79">
        <v>0</v>
      </c>
      <c r="E914" s="79" t="s">
        <v>1124</v>
      </c>
      <c r="F914" s="79" t="s">
        <v>2539</v>
      </c>
      <c r="G914" s="79" t="s">
        <v>2546</v>
      </c>
      <c r="H914" s="79" t="s">
        <v>2547</v>
      </c>
      <c r="I914" s="79"/>
    </row>
    <row r="915" spans="1:9" ht="15">
      <c r="A915" s="79" t="s">
        <v>2956</v>
      </c>
      <c r="B915" s="79" t="s">
        <v>2957</v>
      </c>
      <c r="C915" s="79">
        <v>594140282</v>
      </c>
      <c r="D915" s="79">
        <v>0</v>
      </c>
      <c r="E915" s="79" t="s">
        <v>1124</v>
      </c>
      <c r="F915" s="79" t="s">
        <v>2539</v>
      </c>
      <c r="G915" s="79" t="s">
        <v>2581</v>
      </c>
      <c r="H915" s="79"/>
      <c r="I915" s="79"/>
    </row>
    <row r="916" spans="1:9" ht="15">
      <c r="A916" s="79" t="s">
        <v>2958</v>
      </c>
      <c r="B916" s="79" t="s">
        <v>2959</v>
      </c>
      <c r="C916" s="79">
        <v>594182882</v>
      </c>
      <c r="D916" s="79">
        <v>0</v>
      </c>
      <c r="E916" s="79" t="s">
        <v>1124</v>
      </c>
      <c r="F916" s="79" t="s">
        <v>2539</v>
      </c>
      <c r="G916" s="79" t="s">
        <v>1130</v>
      </c>
      <c r="H916" s="79"/>
      <c r="I916" s="79"/>
    </row>
    <row r="917" spans="1:9" ht="15">
      <c r="A917" s="79" t="s">
        <v>2958</v>
      </c>
      <c r="B917" s="79" t="s">
        <v>2959</v>
      </c>
      <c r="C917" s="79">
        <v>594182882</v>
      </c>
      <c r="D917" s="79">
        <v>0</v>
      </c>
      <c r="E917" s="79" t="s">
        <v>1124</v>
      </c>
      <c r="F917" s="79" t="s">
        <v>2539</v>
      </c>
      <c r="G917" s="79" t="s">
        <v>1131</v>
      </c>
      <c r="H917" s="79" t="s">
        <v>1132</v>
      </c>
      <c r="I917" s="79"/>
    </row>
    <row r="918" spans="1:9" ht="15">
      <c r="A918" s="79" t="s">
        <v>2958</v>
      </c>
      <c r="B918" s="79" t="s">
        <v>2959</v>
      </c>
      <c r="C918" s="79">
        <v>594182882</v>
      </c>
      <c r="D918" s="79">
        <v>0</v>
      </c>
      <c r="E918" s="79" t="s">
        <v>1124</v>
      </c>
      <c r="F918" s="79" t="s">
        <v>2539</v>
      </c>
      <c r="G918" s="79" t="s">
        <v>2578</v>
      </c>
      <c r="H918" s="79"/>
      <c r="I918" s="79"/>
    </row>
    <row r="919" spans="1:9" ht="15">
      <c r="A919" s="79" t="s">
        <v>2960</v>
      </c>
      <c r="B919" s="79" t="s">
        <v>2961</v>
      </c>
      <c r="C919" s="79">
        <v>594183482</v>
      </c>
      <c r="D919" s="79">
        <v>0</v>
      </c>
      <c r="E919" s="79" t="s">
        <v>1124</v>
      </c>
      <c r="F919" s="79" t="s">
        <v>2539</v>
      </c>
      <c r="G919" s="79" t="s">
        <v>2546</v>
      </c>
      <c r="H919" s="79" t="s">
        <v>2547</v>
      </c>
      <c r="I919" s="79"/>
    </row>
    <row r="920" spans="1:9" ht="15">
      <c r="A920" s="79" t="s">
        <v>2960</v>
      </c>
      <c r="B920" s="79" t="s">
        <v>2961</v>
      </c>
      <c r="C920" s="79">
        <v>594183482</v>
      </c>
      <c r="D920" s="79">
        <v>0</v>
      </c>
      <c r="E920" s="79" t="s">
        <v>1124</v>
      </c>
      <c r="F920" s="79" t="s">
        <v>2539</v>
      </c>
      <c r="G920" s="79" t="s">
        <v>2581</v>
      </c>
      <c r="H920" s="79"/>
      <c r="I920" s="79"/>
    </row>
    <row r="921" spans="1:9" ht="15">
      <c r="A921" s="79" t="s">
        <v>2962</v>
      </c>
      <c r="B921" s="79" t="s">
        <v>2963</v>
      </c>
      <c r="C921" s="79">
        <v>594226082</v>
      </c>
      <c r="D921" s="79">
        <v>0</v>
      </c>
      <c r="E921" s="79" t="s">
        <v>1124</v>
      </c>
      <c r="F921" s="79" t="s">
        <v>2539</v>
      </c>
      <c r="G921" s="79" t="s">
        <v>1130</v>
      </c>
      <c r="H921" s="79"/>
      <c r="I921" s="79"/>
    </row>
    <row r="922" spans="1:9" ht="15">
      <c r="A922" s="79" t="s">
        <v>2962</v>
      </c>
      <c r="B922" s="79" t="s">
        <v>2963</v>
      </c>
      <c r="C922" s="79">
        <v>594226082</v>
      </c>
      <c r="D922" s="79">
        <v>0</v>
      </c>
      <c r="E922" s="79" t="s">
        <v>1124</v>
      </c>
      <c r="F922" s="79" t="s">
        <v>2539</v>
      </c>
      <c r="G922" s="79" t="s">
        <v>1131</v>
      </c>
      <c r="H922" s="79" t="s">
        <v>1132</v>
      </c>
      <c r="I922" s="79"/>
    </row>
    <row r="923" spans="1:9" ht="15">
      <c r="A923" s="79" t="s">
        <v>2962</v>
      </c>
      <c r="B923" s="79" t="s">
        <v>2963</v>
      </c>
      <c r="C923" s="79">
        <v>594226082</v>
      </c>
      <c r="D923" s="79">
        <v>0</v>
      </c>
      <c r="E923" s="79" t="s">
        <v>1124</v>
      </c>
      <c r="F923" s="79" t="s">
        <v>2539</v>
      </c>
      <c r="G923" s="79" t="s">
        <v>2578</v>
      </c>
      <c r="H923" s="79"/>
      <c r="I923" s="79"/>
    </row>
    <row r="924" spans="1:9" ht="15">
      <c r="A924" s="79" t="s">
        <v>2964</v>
      </c>
      <c r="B924" s="79" t="s">
        <v>2965</v>
      </c>
      <c r="C924" s="79">
        <v>594226682</v>
      </c>
      <c r="D924" s="79">
        <v>0</v>
      </c>
      <c r="E924" s="79" t="s">
        <v>1124</v>
      </c>
      <c r="F924" s="79" t="s">
        <v>2539</v>
      </c>
      <c r="G924" s="79" t="s">
        <v>2546</v>
      </c>
      <c r="H924" s="79" t="s">
        <v>2547</v>
      </c>
      <c r="I924" s="79"/>
    </row>
    <row r="925" spans="1:9" ht="15">
      <c r="A925" s="79" t="s">
        <v>2964</v>
      </c>
      <c r="B925" s="79" t="s">
        <v>2965</v>
      </c>
      <c r="C925" s="79">
        <v>594226682</v>
      </c>
      <c r="D925" s="79">
        <v>0</v>
      </c>
      <c r="E925" s="79" t="s">
        <v>1124</v>
      </c>
      <c r="F925" s="79" t="s">
        <v>2539</v>
      </c>
      <c r="G925" s="79" t="s">
        <v>2581</v>
      </c>
      <c r="H925" s="79"/>
      <c r="I925" s="79"/>
    </row>
    <row r="926" spans="1:9" ht="15">
      <c r="A926" s="79" t="s">
        <v>2966</v>
      </c>
      <c r="B926" s="79" t="s">
        <v>2967</v>
      </c>
      <c r="C926" s="79">
        <v>594269282</v>
      </c>
      <c r="D926" s="79">
        <v>0</v>
      </c>
      <c r="E926" s="79" t="s">
        <v>1124</v>
      </c>
      <c r="F926" s="79" t="s">
        <v>2539</v>
      </c>
      <c r="G926" s="79" t="s">
        <v>1130</v>
      </c>
      <c r="H926" s="79"/>
      <c r="I926" s="79"/>
    </row>
    <row r="927" spans="1:9" ht="15">
      <c r="A927" s="79" t="s">
        <v>2966</v>
      </c>
      <c r="B927" s="79" t="s">
        <v>2967</v>
      </c>
      <c r="C927" s="79">
        <v>594269282</v>
      </c>
      <c r="D927" s="79">
        <v>0</v>
      </c>
      <c r="E927" s="79" t="s">
        <v>1124</v>
      </c>
      <c r="F927" s="79" t="s">
        <v>2539</v>
      </c>
      <c r="G927" s="79" t="s">
        <v>1131</v>
      </c>
      <c r="H927" s="79" t="s">
        <v>1132</v>
      </c>
      <c r="I927" s="79"/>
    </row>
    <row r="928" spans="1:9" ht="15">
      <c r="A928" s="79" t="s">
        <v>2966</v>
      </c>
      <c r="B928" s="79" t="s">
        <v>2967</v>
      </c>
      <c r="C928" s="79">
        <v>594269282</v>
      </c>
      <c r="D928" s="79">
        <v>0</v>
      </c>
      <c r="E928" s="79" t="s">
        <v>1124</v>
      </c>
      <c r="F928" s="79" t="s">
        <v>2539</v>
      </c>
      <c r="G928" s="79" t="s">
        <v>2578</v>
      </c>
      <c r="H928" s="79"/>
      <c r="I928" s="79"/>
    </row>
    <row r="929" spans="1:9" ht="15">
      <c r="A929" s="79" t="s">
        <v>2968</v>
      </c>
      <c r="B929" s="79" t="s">
        <v>2969</v>
      </c>
      <c r="C929" s="79">
        <v>594269882</v>
      </c>
      <c r="D929" s="79">
        <v>0</v>
      </c>
      <c r="E929" s="79" t="s">
        <v>1124</v>
      </c>
      <c r="F929" s="79" t="s">
        <v>2539</v>
      </c>
      <c r="G929" s="79" t="s">
        <v>2546</v>
      </c>
      <c r="H929" s="79" t="s">
        <v>2547</v>
      </c>
      <c r="I929" s="79"/>
    </row>
    <row r="930" spans="1:9" ht="15">
      <c r="A930" s="79" t="s">
        <v>2968</v>
      </c>
      <c r="B930" s="79" t="s">
        <v>2969</v>
      </c>
      <c r="C930" s="79">
        <v>594269882</v>
      </c>
      <c r="D930" s="79">
        <v>0</v>
      </c>
      <c r="E930" s="79" t="s">
        <v>1124</v>
      </c>
      <c r="F930" s="79" t="s">
        <v>2539</v>
      </c>
      <c r="G930" s="79" t="s">
        <v>2581</v>
      </c>
      <c r="H930" s="79"/>
      <c r="I930" s="79"/>
    </row>
    <row r="931" spans="1:9" ht="15">
      <c r="A931" s="79" t="s">
        <v>2970</v>
      </c>
      <c r="B931" s="79" t="s">
        <v>2971</v>
      </c>
      <c r="C931" s="79">
        <v>594312482</v>
      </c>
      <c r="D931" s="79">
        <v>0</v>
      </c>
      <c r="E931" s="79" t="s">
        <v>1124</v>
      </c>
      <c r="F931" s="79" t="s">
        <v>2539</v>
      </c>
      <c r="G931" s="79" t="s">
        <v>1130</v>
      </c>
      <c r="H931" s="79"/>
      <c r="I931" s="79"/>
    </row>
    <row r="932" spans="1:9" ht="15">
      <c r="A932" s="79" t="s">
        <v>2970</v>
      </c>
      <c r="B932" s="79" t="s">
        <v>2971</v>
      </c>
      <c r="C932" s="79">
        <v>594312482</v>
      </c>
      <c r="D932" s="79">
        <v>0</v>
      </c>
      <c r="E932" s="79" t="s">
        <v>1124</v>
      </c>
      <c r="F932" s="79" t="s">
        <v>2539</v>
      </c>
      <c r="G932" s="79" t="s">
        <v>1131</v>
      </c>
      <c r="H932" s="79" t="s">
        <v>1132</v>
      </c>
      <c r="I932" s="79"/>
    </row>
    <row r="933" spans="1:9" ht="15">
      <c r="A933" s="79" t="s">
        <v>2970</v>
      </c>
      <c r="B933" s="79" t="s">
        <v>2971</v>
      </c>
      <c r="C933" s="79">
        <v>594312482</v>
      </c>
      <c r="D933" s="79">
        <v>0</v>
      </c>
      <c r="E933" s="79" t="s">
        <v>1124</v>
      </c>
      <c r="F933" s="79" t="s">
        <v>2539</v>
      </c>
      <c r="G933" s="79" t="s">
        <v>2578</v>
      </c>
      <c r="H933" s="79"/>
      <c r="I933" s="79"/>
    </row>
    <row r="934" spans="1:9" ht="15">
      <c r="A934" s="79" t="s">
        <v>2972</v>
      </c>
      <c r="B934" s="79" t="s">
        <v>2973</v>
      </c>
      <c r="C934" s="79">
        <v>594313082</v>
      </c>
      <c r="D934" s="79">
        <v>0</v>
      </c>
      <c r="E934" s="79" t="s">
        <v>1124</v>
      </c>
      <c r="F934" s="79" t="s">
        <v>2539</v>
      </c>
      <c r="G934" s="79" t="s">
        <v>2546</v>
      </c>
      <c r="H934" s="79" t="s">
        <v>2547</v>
      </c>
      <c r="I934" s="79"/>
    </row>
    <row r="935" spans="1:9" ht="15">
      <c r="A935" s="79" t="s">
        <v>2972</v>
      </c>
      <c r="B935" s="79" t="s">
        <v>2973</v>
      </c>
      <c r="C935" s="79">
        <v>594313082</v>
      </c>
      <c r="D935" s="79">
        <v>0</v>
      </c>
      <c r="E935" s="79" t="s">
        <v>1124</v>
      </c>
      <c r="F935" s="79" t="s">
        <v>2539</v>
      </c>
      <c r="G935" s="79" t="s">
        <v>2581</v>
      </c>
      <c r="H935" s="79"/>
      <c r="I935" s="79"/>
    </row>
    <row r="936" spans="1:9" ht="15">
      <c r="A936" s="79" t="s">
        <v>2974</v>
      </c>
      <c r="B936" s="79" t="s">
        <v>2975</v>
      </c>
      <c r="C936" s="79">
        <v>594355682</v>
      </c>
      <c r="D936" s="79">
        <v>0</v>
      </c>
      <c r="E936" s="79" t="s">
        <v>1124</v>
      </c>
      <c r="F936" s="79" t="s">
        <v>2539</v>
      </c>
      <c r="G936" s="79" t="s">
        <v>1130</v>
      </c>
      <c r="H936" s="79"/>
      <c r="I936" s="79"/>
    </row>
    <row r="937" spans="1:9" ht="15">
      <c r="A937" s="79" t="s">
        <v>2974</v>
      </c>
      <c r="B937" s="79" t="s">
        <v>2975</v>
      </c>
      <c r="C937" s="79">
        <v>594355682</v>
      </c>
      <c r="D937" s="79">
        <v>0</v>
      </c>
      <c r="E937" s="79" t="s">
        <v>1124</v>
      </c>
      <c r="F937" s="79" t="s">
        <v>2539</v>
      </c>
      <c r="G937" s="79" t="s">
        <v>1131</v>
      </c>
      <c r="H937" s="79" t="s">
        <v>1132</v>
      </c>
      <c r="I937" s="79"/>
    </row>
    <row r="938" spans="1:9" ht="15">
      <c r="A938" s="79" t="s">
        <v>2974</v>
      </c>
      <c r="B938" s="79" t="s">
        <v>2975</v>
      </c>
      <c r="C938" s="79">
        <v>594355682</v>
      </c>
      <c r="D938" s="79">
        <v>0</v>
      </c>
      <c r="E938" s="79" t="s">
        <v>1124</v>
      </c>
      <c r="F938" s="79" t="s">
        <v>2539</v>
      </c>
      <c r="G938" s="79" t="s">
        <v>2578</v>
      </c>
      <c r="H938" s="79"/>
      <c r="I938" s="79"/>
    </row>
    <row r="939" spans="1:9" ht="15">
      <c r="A939" s="79" t="s">
        <v>2976</v>
      </c>
      <c r="B939" s="79" t="s">
        <v>2977</v>
      </c>
      <c r="C939" s="79">
        <v>594356282</v>
      </c>
      <c r="D939" s="79">
        <v>0</v>
      </c>
      <c r="E939" s="79" t="s">
        <v>1124</v>
      </c>
      <c r="F939" s="79" t="s">
        <v>2539</v>
      </c>
      <c r="G939" s="79" t="s">
        <v>2546</v>
      </c>
      <c r="H939" s="79" t="s">
        <v>2547</v>
      </c>
      <c r="I939" s="79"/>
    </row>
    <row r="940" spans="1:9" ht="15">
      <c r="A940" s="79" t="s">
        <v>2976</v>
      </c>
      <c r="B940" s="79" t="s">
        <v>2977</v>
      </c>
      <c r="C940" s="79">
        <v>594356282</v>
      </c>
      <c r="D940" s="79">
        <v>0</v>
      </c>
      <c r="E940" s="79" t="s">
        <v>1124</v>
      </c>
      <c r="F940" s="79" t="s">
        <v>2539</v>
      </c>
      <c r="G940" s="79" t="s">
        <v>2581</v>
      </c>
      <c r="H940" s="79"/>
      <c r="I940" s="79"/>
    </row>
    <row r="941" spans="1:9" ht="15">
      <c r="A941" s="79" t="s">
        <v>2978</v>
      </c>
      <c r="B941" s="79" t="s">
        <v>2979</v>
      </c>
      <c r="C941" s="79">
        <v>594398882</v>
      </c>
      <c r="D941" s="79">
        <v>0</v>
      </c>
      <c r="E941" s="79" t="s">
        <v>1124</v>
      </c>
      <c r="F941" s="79" t="s">
        <v>2539</v>
      </c>
      <c r="G941" s="79" t="s">
        <v>1130</v>
      </c>
      <c r="H941" s="79"/>
      <c r="I941" s="79"/>
    </row>
    <row r="942" spans="1:9" ht="15">
      <c r="A942" s="79" t="s">
        <v>2978</v>
      </c>
      <c r="B942" s="79" t="s">
        <v>2979</v>
      </c>
      <c r="C942" s="79">
        <v>594398882</v>
      </c>
      <c r="D942" s="79">
        <v>0</v>
      </c>
      <c r="E942" s="79" t="s">
        <v>1124</v>
      </c>
      <c r="F942" s="79" t="s">
        <v>2539</v>
      </c>
      <c r="G942" s="79" t="s">
        <v>1131</v>
      </c>
      <c r="H942" s="79" t="s">
        <v>1132</v>
      </c>
      <c r="I942" s="79"/>
    </row>
    <row r="943" spans="1:9" ht="15">
      <c r="A943" s="79" t="s">
        <v>2978</v>
      </c>
      <c r="B943" s="79" t="s">
        <v>2979</v>
      </c>
      <c r="C943" s="79">
        <v>594398882</v>
      </c>
      <c r="D943" s="79">
        <v>0</v>
      </c>
      <c r="E943" s="79" t="s">
        <v>1124</v>
      </c>
      <c r="F943" s="79" t="s">
        <v>2539</v>
      </c>
      <c r="G943" s="79" t="s">
        <v>2578</v>
      </c>
      <c r="H943" s="79"/>
      <c r="I943" s="79"/>
    </row>
    <row r="944" spans="1:9" ht="15">
      <c r="A944" s="79" t="s">
        <v>2980</v>
      </c>
      <c r="B944" s="79" t="s">
        <v>2981</v>
      </c>
      <c r="C944" s="79">
        <v>594399482</v>
      </c>
      <c r="D944" s="79">
        <v>0</v>
      </c>
      <c r="E944" s="79" t="s">
        <v>1124</v>
      </c>
      <c r="F944" s="79" t="s">
        <v>2539</v>
      </c>
      <c r="G944" s="79" t="s">
        <v>2546</v>
      </c>
      <c r="H944" s="79" t="s">
        <v>2547</v>
      </c>
      <c r="I944" s="79"/>
    </row>
    <row r="945" spans="1:9" ht="15">
      <c r="A945" s="79" t="s">
        <v>2980</v>
      </c>
      <c r="B945" s="79" t="s">
        <v>2981</v>
      </c>
      <c r="C945" s="79">
        <v>594399482</v>
      </c>
      <c r="D945" s="79">
        <v>0</v>
      </c>
      <c r="E945" s="79" t="s">
        <v>1124</v>
      </c>
      <c r="F945" s="79" t="s">
        <v>2539</v>
      </c>
      <c r="G945" s="79" t="s">
        <v>2581</v>
      </c>
      <c r="H945" s="79"/>
      <c r="I945" s="79"/>
    </row>
    <row r="946" spans="1:9" ht="15">
      <c r="A946" s="79" t="s">
        <v>2982</v>
      </c>
      <c r="B946" s="79" t="s">
        <v>2983</v>
      </c>
      <c r="C946" s="79">
        <v>594442082</v>
      </c>
      <c r="D946" s="79">
        <v>0</v>
      </c>
      <c r="E946" s="79" t="s">
        <v>1124</v>
      </c>
      <c r="F946" s="79" t="s">
        <v>2539</v>
      </c>
      <c r="G946" s="79" t="s">
        <v>1130</v>
      </c>
      <c r="H946" s="79"/>
      <c r="I946" s="79"/>
    </row>
    <row r="947" spans="1:9" ht="15">
      <c r="A947" s="79" t="s">
        <v>2982</v>
      </c>
      <c r="B947" s="79" t="s">
        <v>2983</v>
      </c>
      <c r="C947" s="79">
        <v>594442082</v>
      </c>
      <c r="D947" s="79">
        <v>0</v>
      </c>
      <c r="E947" s="79" t="s">
        <v>1124</v>
      </c>
      <c r="F947" s="79" t="s">
        <v>2539</v>
      </c>
      <c r="G947" s="79" t="s">
        <v>1131</v>
      </c>
      <c r="H947" s="79" t="s">
        <v>1132</v>
      </c>
      <c r="I947" s="79"/>
    </row>
    <row r="948" spans="1:9" ht="15">
      <c r="A948" s="79" t="s">
        <v>2982</v>
      </c>
      <c r="B948" s="79" t="s">
        <v>2983</v>
      </c>
      <c r="C948" s="79">
        <v>594442082</v>
      </c>
      <c r="D948" s="79">
        <v>0</v>
      </c>
      <c r="E948" s="79" t="s">
        <v>1124</v>
      </c>
      <c r="F948" s="79" t="s">
        <v>2539</v>
      </c>
      <c r="G948" s="79" t="s">
        <v>2578</v>
      </c>
      <c r="H948" s="79"/>
      <c r="I948" s="79"/>
    </row>
    <row r="949" spans="1:9" ht="15">
      <c r="A949" s="79" t="s">
        <v>2984</v>
      </c>
      <c r="B949" s="79" t="s">
        <v>2985</v>
      </c>
      <c r="C949" s="79">
        <v>594442682</v>
      </c>
      <c r="D949" s="79">
        <v>0</v>
      </c>
      <c r="E949" s="79" t="s">
        <v>1124</v>
      </c>
      <c r="F949" s="79" t="s">
        <v>2539</v>
      </c>
      <c r="G949" s="79" t="s">
        <v>2546</v>
      </c>
      <c r="H949" s="79" t="s">
        <v>2547</v>
      </c>
      <c r="I949" s="79"/>
    </row>
    <row r="950" spans="1:9" ht="15">
      <c r="A950" s="79" t="s">
        <v>2984</v>
      </c>
      <c r="B950" s="79" t="s">
        <v>2985</v>
      </c>
      <c r="C950" s="79">
        <v>594442682</v>
      </c>
      <c r="D950" s="79">
        <v>0</v>
      </c>
      <c r="E950" s="79" t="s">
        <v>1124</v>
      </c>
      <c r="F950" s="79" t="s">
        <v>2539</v>
      </c>
      <c r="G950" s="79" t="s">
        <v>2581</v>
      </c>
      <c r="H950" s="79"/>
      <c r="I950" s="79"/>
    </row>
    <row r="951" spans="1:9" ht="15">
      <c r="A951" s="79" t="s">
        <v>2986</v>
      </c>
      <c r="B951" s="79" t="s">
        <v>2987</v>
      </c>
      <c r="C951" s="79">
        <v>594485282</v>
      </c>
      <c r="D951" s="79">
        <v>0</v>
      </c>
      <c r="E951" s="79" t="s">
        <v>1124</v>
      </c>
      <c r="F951" s="79" t="s">
        <v>2539</v>
      </c>
      <c r="G951" s="79" t="s">
        <v>1130</v>
      </c>
      <c r="H951" s="79"/>
      <c r="I951" s="79"/>
    </row>
    <row r="952" spans="1:9" ht="15">
      <c r="A952" s="79" t="s">
        <v>2986</v>
      </c>
      <c r="B952" s="79" t="s">
        <v>2987</v>
      </c>
      <c r="C952" s="79">
        <v>594485282</v>
      </c>
      <c r="D952" s="79">
        <v>0</v>
      </c>
      <c r="E952" s="79" t="s">
        <v>1124</v>
      </c>
      <c r="F952" s="79" t="s">
        <v>2539</v>
      </c>
      <c r="G952" s="79" t="s">
        <v>1131</v>
      </c>
      <c r="H952" s="79" t="s">
        <v>1132</v>
      </c>
      <c r="I952" s="79"/>
    </row>
    <row r="953" spans="1:9" ht="15">
      <c r="A953" s="79" t="s">
        <v>2986</v>
      </c>
      <c r="B953" s="79" t="s">
        <v>2987</v>
      </c>
      <c r="C953" s="79">
        <v>594485282</v>
      </c>
      <c r="D953" s="79">
        <v>0</v>
      </c>
      <c r="E953" s="79" t="s">
        <v>1124</v>
      </c>
      <c r="F953" s="79" t="s">
        <v>2539</v>
      </c>
      <c r="G953" s="79" t="s">
        <v>2578</v>
      </c>
      <c r="H953" s="79"/>
      <c r="I953" s="79"/>
    </row>
    <row r="954" spans="1:9" ht="15">
      <c r="A954" s="79" t="s">
        <v>2988</v>
      </c>
      <c r="B954" s="79" t="s">
        <v>2989</v>
      </c>
      <c r="C954" s="79">
        <v>594485882</v>
      </c>
      <c r="D954" s="79">
        <v>0</v>
      </c>
      <c r="E954" s="79" t="s">
        <v>1124</v>
      </c>
      <c r="F954" s="79" t="s">
        <v>2539</v>
      </c>
      <c r="G954" s="79" t="s">
        <v>2546</v>
      </c>
      <c r="H954" s="79" t="s">
        <v>2547</v>
      </c>
      <c r="I954" s="79"/>
    </row>
    <row r="955" spans="1:9" ht="15">
      <c r="A955" s="79" t="s">
        <v>2988</v>
      </c>
      <c r="B955" s="79" t="s">
        <v>2989</v>
      </c>
      <c r="C955" s="79">
        <v>594485882</v>
      </c>
      <c r="D955" s="79">
        <v>0</v>
      </c>
      <c r="E955" s="79" t="s">
        <v>1124</v>
      </c>
      <c r="F955" s="79" t="s">
        <v>2539</v>
      </c>
      <c r="G955" s="79" t="s">
        <v>2581</v>
      </c>
      <c r="H955" s="79"/>
      <c r="I955" s="79"/>
    </row>
    <row r="956" spans="1:9" ht="15">
      <c r="A956" s="79" t="s">
        <v>2990</v>
      </c>
      <c r="B956" s="79" t="s">
        <v>2991</v>
      </c>
      <c r="C956" s="79">
        <v>594528482</v>
      </c>
      <c r="D956" s="79">
        <v>0</v>
      </c>
      <c r="E956" s="79" t="s">
        <v>1124</v>
      </c>
      <c r="F956" s="79" t="s">
        <v>2539</v>
      </c>
      <c r="G956" s="79" t="s">
        <v>1130</v>
      </c>
      <c r="H956" s="79"/>
      <c r="I956" s="79"/>
    </row>
    <row r="957" spans="1:9" ht="15">
      <c r="A957" s="79" t="s">
        <v>2990</v>
      </c>
      <c r="B957" s="79" t="s">
        <v>2991</v>
      </c>
      <c r="C957" s="79">
        <v>594528482</v>
      </c>
      <c r="D957" s="79">
        <v>0</v>
      </c>
      <c r="E957" s="79" t="s">
        <v>1124</v>
      </c>
      <c r="F957" s="79" t="s">
        <v>2539</v>
      </c>
      <c r="G957" s="79" t="s">
        <v>1131</v>
      </c>
      <c r="H957" s="79" t="s">
        <v>1132</v>
      </c>
      <c r="I957" s="79"/>
    </row>
    <row r="958" spans="1:9" ht="15">
      <c r="A958" s="79" t="s">
        <v>2990</v>
      </c>
      <c r="B958" s="79" t="s">
        <v>2991</v>
      </c>
      <c r="C958" s="79">
        <v>594528482</v>
      </c>
      <c r="D958" s="79">
        <v>0</v>
      </c>
      <c r="E958" s="79" t="s">
        <v>1124</v>
      </c>
      <c r="F958" s="79" t="s">
        <v>2539</v>
      </c>
      <c r="G958" s="79" t="s">
        <v>2578</v>
      </c>
      <c r="H958" s="79"/>
      <c r="I958" s="79"/>
    </row>
    <row r="959" spans="1:9" ht="15">
      <c r="A959" s="79" t="s">
        <v>2992</v>
      </c>
      <c r="B959" s="79" t="s">
        <v>2993</v>
      </c>
      <c r="C959" s="79">
        <v>594529082</v>
      </c>
      <c r="D959" s="79">
        <v>0</v>
      </c>
      <c r="E959" s="79" t="s">
        <v>1124</v>
      </c>
      <c r="F959" s="79" t="s">
        <v>2539</v>
      </c>
      <c r="G959" s="79" t="s">
        <v>2546</v>
      </c>
      <c r="H959" s="79" t="s">
        <v>2547</v>
      </c>
      <c r="I959" s="79"/>
    </row>
    <row r="960" spans="1:9" ht="15">
      <c r="A960" s="79" t="s">
        <v>2992</v>
      </c>
      <c r="B960" s="79" t="s">
        <v>2993</v>
      </c>
      <c r="C960" s="79">
        <v>594529082</v>
      </c>
      <c r="D960" s="79">
        <v>0</v>
      </c>
      <c r="E960" s="79" t="s">
        <v>1124</v>
      </c>
      <c r="F960" s="79" t="s">
        <v>2539</v>
      </c>
      <c r="G960" s="79" t="s">
        <v>2581</v>
      </c>
      <c r="H960" s="79"/>
      <c r="I960" s="79"/>
    </row>
    <row r="961" spans="1:9" ht="15">
      <c r="A961" s="79" t="s">
        <v>2994</v>
      </c>
      <c r="B961" s="79" t="s">
        <v>2995</v>
      </c>
      <c r="C961" s="79">
        <v>594571682</v>
      </c>
      <c r="D961" s="79">
        <v>0</v>
      </c>
      <c r="E961" s="79" t="s">
        <v>1124</v>
      </c>
      <c r="F961" s="79" t="s">
        <v>2539</v>
      </c>
      <c r="G961" s="79" t="s">
        <v>1130</v>
      </c>
      <c r="H961" s="79"/>
      <c r="I961" s="79"/>
    </row>
    <row r="962" spans="1:9" ht="15">
      <c r="A962" s="79" t="s">
        <v>2994</v>
      </c>
      <c r="B962" s="79" t="s">
        <v>2995</v>
      </c>
      <c r="C962" s="79">
        <v>594571682</v>
      </c>
      <c r="D962" s="79">
        <v>0</v>
      </c>
      <c r="E962" s="79" t="s">
        <v>1124</v>
      </c>
      <c r="F962" s="79" t="s">
        <v>2539</v>
      </c>
      <c r="G962" s="79" t="s">
        <v>1131</v>
      </c>
      <c r="H962" s="79" t="s">
        <v>1132</v>
      </c>
      <c r="I962" s="79"/>
    </row>
    <row r="963" spans="1:9" ht="15">
      <c r="A963" s="79" t="s">
        <v>2994</v>
      </c>
      <c r="B963" s="79" t="s">
        <v>2995</v>
      </c>
      <c r="C963" s="79">
        <v>594571682</v>
      </c>
      <c r="D963" s="79">
        <v>0</v>
      </c>
      <c r="E963" s="79" t="s">
        <v>1124</v>
      </c>
      <c r="F963" s="79" t="s">
        <v>2539</v>
      </c>
      <c r="G963" s="79" t="s">
        <v>2578</v>
      </c>
      <c r="H963" s="79"/>
      <c r="I963" s="79"/>
    </row>
    <row r="964" spans="1:9" ht="15">
      <c r="A964" s="79" t="s">
        <v>2996</v>
      </c>
      <c r="B964" s="79" t="s">
        <v>2997</v>
      </c>
      <c r="C964" s="79">
        <v>594572282</v>
      </c>
      <c r="D964" s="79">
        <v>0</v>
      </c>
      <c r="E964" s="79" t="s">
        <v>1124</v>
      </c>
      <c r="F964" s="79" t="s">
        <v>2539</v>
      </c>
      <c r="G964" s="79" t="s">
        <v>2546</v>
      </c>
      <c r="H964" s="79" t="s">
        <v>2547</v>
      </c>
      <c r="I964" s="79"/>
    </row>
    <row r="965" spans="1:9" ht="15">
      <c r="A965" s="79" t="s">
        <v>2996</v>
      </c>
      <c r="B965" s="79" t="s">
        <v>2997</v>
      </c>
      <c r="C965" s="79">
        <v>594572282</v>
      </c>
      <c r="D965" s="79">
        <v>0</v>
      </c>
      <c r="E965" s="79" t="s">
        <v>1124</v>
      </c>
      <c r="F965" s="79" t="s">
        <v>2539</v>
      </c>
      <c r="G965" s="79" t="s">
        <v>2581</v>
      </c>
      <c r="H965" s="79"/>
      <c r="I965" s="79"/>
    </row>
    <row r="966" spans="1:9" ht="15">
      <c r="A966" s="79" t="s">
        <v>2998</v>
      </c>
      <c r="B966" s="79" t="s">
        <v>2999</v>
      </c>
      <c r="C966" s="79">
        <v>594614882</v>
      </c>
      <c r="D966" s="79">
        <v>0</v>
      </c>
      <c r="E966" s="79" t="s">
        <v>1124</v>
      </c>
      <c r="F966" s="79" t="s">
        <v>2539</v>
      </c>
      <c r="G966" s="79" t="s">
        <v>1130</v>
      </c>
      <c r="H966" s="79"/>
      <c r="I966" s="79"/>
    </row>
    <row r="967" spans="1:9" ht="15">
      <c r="A967" s="79" t="s">
        <v>2998</v>
      </c>
      <c r="B967" s="79" t="s">
        <v>2999</v>
      </c>
      <c r="C967" s="79">
        <v>594614882</v>
      </c>
      <c r="D967" s="79">
        <v>0</v>
      </c>
      <c r="E967" s="79" t="s">
        <v>1124</v>
      </c>
      <c r="F967" s="79" t="s">
        <v>2539</v>
      </c>
      <c r="G967" s="79" t="s">
        <v>1131</v>
      </c>
      <c r="H967" s="79" t="s">
        <v>1132</v>
      </c>
      <c r="I967" s="79"/>
    </row>
    <row r="968" spans="1:9" ht="15">
      <c r="A968" s="79" t="s">
        <v>2998</v>
      </c>
      <c r="B968" s="79" t="s">
        <v>2999</v>
      </c>
      <c r="C968" s="79">
        <v>594614882</v>
      </c>
      <c r="D968" s="79">
        <v>0</v>
      </c>
      <c r="E968" s="79" t="s">
        <v>1124</v>
      </c>
      <c r="F968" s="79" t="s">
        <v>2539</v>
      </c>
      <c r="G968" s="79" t="s">
        <v>2578</v>
      </c>
      <c r="H968" s="79"/>
      <c r="I968" s="79"/>
    </row>
    <row r="969" spans="1:9" ht="15">
      <c r="A969" s="79" t="s">
        <v>3000</v>
      </c>
      <c r="B969" s="79" t="s">
        <v>3001</v>
      </c>
      <c r="C969" s="79">
        <v>594615482</v>
      </c>
      <c r="D969" s="79">
        <v>0</v>
      </c>
      <c r="E969" s="79" t="s">
        <v>1124</v>
      </c>
      <c r="F969" s="79" t="s">
        <v>2539</v>
      </c>
      <c r="G969" s="79" t="s">
        <v>2546</v>
      </c>
      <c r="H969" s="79" t="s">
        <v>2547</v>
      </c>
      <c r="I969" s="79"/>
    </row>
    <row r="970" spans="1:9" ht="15">
      <c r="A970" s="79" t="s">
        <v>3000</v>
      </c>
      <c r="B970" s="79" t="s">
        <v>3001</v>
      </c>
      <c r="C970" s="79">
        <v>594615482</v>
      </c>
      <c r="D970" s="79">
        <v>0</v>
      </c>
      <c r="E970" s="79" t="s">
        <v>1124</v>
      </c>
      <c r="F970" s="79" t="s">
        <v>2539</v>
      </c>
      <c r="G970" s="79" t="s">
        <v>2581</v>
      </c>
      <c r="H970" s="79"/>
      <c r="I970" s="79"/>
    </row>
    <row r="971" spans="1:9" ht="15">
      <c r="A971" s="79" t="s">
        <v>3002</v>
      </c>
      <c r="B971" s="79" t="s">
        <v>3003</v>
      </c>
      <c r="C971" s="79">
        <v>594658082</v>
      </c>
      <c r="D971" s="79">
        <v>0</v>
      </c>
      <c r="E971" s="79" t="s">
        <v>1124</v>
      </c>
      <c r="F971" s="79" t="s">
        <v>2539</v>
      </c>
      <c r="G971" s="79" t="s">
        <v>1130</v>
      </c>
      <c r="H971" s="79"/>
      <c r="I971" s="79"/>
    </row>
    <row r="972" spans="1:9" ht="15">
      <c r="A972" s="79" t="s">
        <v>3002</v>
      </c>
      <c r="B972" s="79" t="s">
        <v>3003</v>
      </c>
      <c r="C972" s="79">
        <v>594658082</v>
      </c>
      <c r="D972" s="79">
        <v>0</v>
      </c>
      <c r="E972" s="79" t="s">
        <v>1124</v>
      </c>
      <c r="F972" s="79" t="s">
        <v>2539</v>
      </c>
      <c r="G972" s="79" t="s">
        <v>1131</v>
      </c>
      <c r="H972" s="79" t="s">
        <v>1132</v>
      </c>
      <c r="I972" s="79"/>
    </row>
    <row r="973" spans="1:9" ht="15">
      <c r="A973" s="79" t="s">
        <v>3002</v>
      </c>
      <c r="B973" s="79" t="s">
        <v>3003</v>
      </c>
      <c r="C973" s="79">
        <v>594658082</v>
      </c>
      <c r="D973" s="79">
        <v>0</v>
      </c>
      <c r="E973" s="79" t="s">
        <v>1124</v>
      </c>
      <c r="F973" s="79" t="s">
        <v>2539</v>
      </c>
      <c r="G973" s="79" t="s">
        <v>2578</v>
      </c>
      <c r="H973" s="79"/>
      <c r="I973" s="79"/>
    </row>
    <row r="974" spans="1:9" ht="15">
      <c r="A974" s="79" t="s">
        <v>3004</v>
      </c>
      <c r="B974" s="79" t="s">
        <v>3005</v>
      </c>
      <c r="C974" s="79">
        <v>594658682</v>
      </c>
      <c r="D974" s="79">
        <v>0</v>
      </c>
      <c r="E974" s="79" t="s">
        <v>1124</v>
      </c>
      <c r="F974" s="79" t="s">
        <v>2539</v>
      </c>
      <c r="G974" s="79" t="s">
        <v>2546</v>
      </c>
      <c r="H974" s="79" t="s">
        <v>2547</v>
      </c>
      <c r="I974" s="79"/>
    </row>
    <row r="975" spans="1:9" ht="15">
      <c r="A975" s="79" t="s">
        <v>3004</v>
      </c>
      <c r="B975" s="79" t="s">
        <v>3005</v>
      </c>
      <c r="C975" s="79">
        <v>594658682</v>
      </c>
      <c r="D975" s="79">
        <v>0</v>
      </c>
      <c r="E975" s="79" t="s">
        <v>1124</v>
      </c>
      <c r="F975" s="79" t="s">
        <v>2539</v>
      </c>
      <c r="G975" s="79" t="s">
        <v>2581</v>
      </c>
      <c r="H975" s="79"/>
      <c r="I975" s="79"/>
    </row>
    <row r="976" spans="1:9" ht="15">
      <c r="A976" s="79" t="s">
        <v>3006</v>
      </c>
      <c r="B976" s="79" t="s">
        <v>3007</v>
      </c>
      <c r="C976" s="79">
        <v>594701282</v>
      </c>
      <c r="D976" s="79">
        <v>0</v>
      </c>
      <c r="E976" s="79" t="s">
        <v>1124</v>
      </c>
      <c r="F976" s="79" t="s">
        <v>2539</v>
      </c>
      <c r="G976" s="79" t="s">
        <v>1130</v>
      </c>
      <c r="H976" s="79"/>
      <c r="I976" s="79"/>
    </row>
    <row r="977" spans="1:9" ht="15">
      <c r="A977" s="79" t="s">
        <v>3006</v>
      </c>
      <c r="B977" s="79" t="s">
        <v>3007</v>
      </c>
      <c r="C977" s="79">
        <v>594701282</v>
      </c>
      <c r="D977" s="79">
        <v>0</v>
      </c>
      <c r="E977" s="79" t="s">
        <v>1124</v>
      </c>
      <c r="F977" s="79" t="s">
        <v>2539</v>
      </c>
      <c r="G977" s="79" t="s">
        <v>1131</v>
      </c>
      <c r="H977" s="79" t="s">
        <v>1132</v>
      </c>
      <c r="I977" s="79"/>
    </row>
    <row r="978" spans="1:9" ht="15">
      <c r="A978" s="79" t="s">
        <v>3006</v>
      </c>
      <c r="B978" s="79" t="s">
        <v>3007</v>
      </c>
      <c r="C978" s="79">
        <v>594701282</v>
      </c>
      <c r="D978" s="79">
        <v>0</v>
      </c>
      <c r="E978" s="79" t="s">
        <v>1124</v>
      </c>
      <c r="F978" s="79" t="s">
        <v>2539</v>
      </c>
      <c r="G978" s="79" t="s">
        <v>2578</v>
      </c>
      <c r="H978" s="79"/>
      <c r="I978" s="79"/>
    </row>
    <row r="979" spans="1:9" ht="15">
      <c r="A979" s="79" t="s">
        <v>3008</v>
      </c>
      <c r="B979" s="79" t="s">
        <v>3009</v>
      </c>
      <c r="C979" s="79">
        <v>594701882</v>
      </c>
      <c r="D979" s="79">
        <v>0</v>
      </c>
      <c r="E979" s="79" t="s">
        <v>1124</v>
      </c>
      <c r="F979" s="79" t="s">
        <v>2539</v>
      </c>
      <c r="G979" s="79" t="s">
        <v>2546</v>
      </c>
      <c r="H979" s="79" t="s">
        <v>2547</v>
      </c>
      <c r="I979" s="79"/>
    </row>
    <row r="980" spans="1:9" ht="15">
      <c r="A980" s="79" t="s">
        <v>3008</v>
      </c>
      <c r="B980" s="79" t="s">
        <v>3009</v>
      </c>
      <c r="C980" s="79">
        <v>594701882</v>
      </c>
      <c r="D980" s="79">
        <v>0</v>
      </c>
      <c r="E980" s="79" t="s">
        <v>1124</v>
      </c>
      <c r="F980" s="79" t="s">
        <v>2539</v>
      </c>
      <c r="G980" s="79" t="s">
        <v>2581</v>
      </c>
      <c r="H980" s="79"/>
      <c r="I980" s="79"/>
    </row>
    <row r="981" spans="1:9" ht="15">
      <c r="A981" s="79" t="s">
        <v>3010</v>
      </c>
      <c r="B981" s="79" t="s">
        <v>3011</v>
      </c>
      <c r="C981" s="79">
        <v>594744482</v>
      </c>
      <c r="D981" s="79">
        <v>0</v>
      </c>
      <c r="E981" s="79" t="s">
        <v>1124</v>
      </c>
      <c r="F981" s="79" t="s">
        <v>2539</v>
      </c>
      <c r="G981" s="79" t="s">
        <v>1130</v>
      </c>
      <c r="H981" s="79"/>
      <c r="I981" s="79"/>
    </row>
    <row r="982" spans="1:9" ht="15">
      <c r="A982" s="79" t="s">
        <v>3010</v>
      </c>
      <c r="B982" s="79" t="s">
        <v>3011</v>
      </c>
      <c r="C982" s="79">
        <v>594744482</v>
      </c>
      <c r="D982" s="79">
        <v>0</v>
      </c>
      <c r="E982" s="79" t="s">
        <v>1124</v>
      </c>
      <c r="F982" s="79" t="s">
        <v>2539</v>
      </c>
      <c r="G982" s="79" t="s">
        <v>1131</v>
      </c>
      <c r="H982" s="79" t="s">
        <v>1132</v>
      </c>
      <c r="I982" s="79"/>
    </row>
    <row r="983" spans="1:9" ht="15">
      <c r="A983" s="79" t="s">
        <v>3010</v>
      </c>
      <c r="B983" s="79" t="s">
        <v>3011</v>
      </c>
      <c r="C983" s="79">
        <v>594744482</v>
      </c>
      <c r="D983" s="79">
        <v>0</v>
      </c>
      <c r="E983" s="79" t="s">
        <v>1124</v>
      </c>
      <c r="F983" s="79" t="s">
        <v>2539</v>
      </c>
      <c r="G983" s="79" t="s">
        <v>2578</v>
      </c>
      <c r="H983" s="79"/>
      <c r="I983" s="79"/>
    </row>
    <row r="984" spans="1:9" ht="15">
      <c r="A984" s="79" t="s">
        <v>3012</v>
      </c>
      <c r="B984" s="79" t="s">
        <v>3013</v>
      </c>
      <c r="C984" s="79">
        <v>594745082</v>
      </c>
      <c r="D984" s="79">
        <v>0</v>
      </c>
      <c r="E984" s="79" t="s">
        <v>1124</v>
      </c>
      <c r="F984" s="79" t="s">
        <v>2539</v>
      </c>
      <c r="G984" s="79" t="s">
        <v>2546</v>
      </c>
      <c r="H984" s="79" t="s">
        <v>2547</v>
      </c>
      <c r="I984" s="79"/>
    </row>
    <row r="985" spans="1:9" ht="15">
      <c r="A985" s="79" t="s">
        <v>3012</v>
      </c>
      <c r="B985" s="79" t="s">
        <v>3013</v>
      </c>
      <c r="C985" s="79">
        <v>594745082</v>
      </c>
      <c r="D985" s="79">
        <v>0</v>
      </c>
      <c r="E985" s="79" t="s">
        <v>1124</v>
      </c>
      <c r="F985" s="79" t="s">
        <v>2539</v>
      </c>
      <c r="G985" s="79" t="s">
        <v>2581</v>
      </c>
      <c r="H985" s="79"/>
      <c r="I985" s="79"/>
    </row>
    <row r="986" spans="1:9" ht="15">
      <c r="A986" s="79" t="s">
        <v>3014</v>
      </c>
      <c r="B986" s="79" t="s">
        <v>3015</v>
      </c>
      <c r="C986" s="79">
        <v>594787682</v>
      </c>
      <c r="D986" s="79">
        <v>0</v>
      </c>
      <c r="E986" s="79" t="s">
        <v>1124</v>
      </c>
      <c r="F986" s="79" t="s">
        <v>2539</v>
      </c>
      <c r="G986" s="79" t="s">
        <v>1130</v>
      </c>
      <c r="H986" s="79"/>
      <c r="I986" s="79"/>
    </row>
    <row r="987" spans="1:9" ht="15">
      <c r="A987" s="79" t="s">
        <v>3014</v>
      </c>
      <c r="B987" s="79" t="s">
        <v>3015</v>
      </c>
      <c r="C987" s="79">
        <v>594787682</v>
      </c>
      <c r="D987" s="79">
        <v>0</v>
      </c>
      <c r="E987" s="79" t="s">
        <v>1124</v>
      </c>
      <c r="F987" s="79" t="s">
        <v>2539</v>
      </c>
      <c r="G987" s="79" t="s">
        <v>1131</v>
      </c>
      <c r="H987" s="79" t="s">
        <v>1132</v>
      </c>
      <c r="I987" s="79"/>
    </row>
    <row r="988" spans="1:9" ht="15">
      <c r="A988" s="79" t="s">
        <v>3014</v>
      </c>
      <c r="B988" s="79" t="s">
        <v>3015</v>
      </c>
      <c r="C988" s="79">
        <v>594787682</v>
      </c>
      <c r="D988" s="79">
        <v>0</v>
      </c>
      <c r="E988" s="79" t="s">
        <v>1124</v>
      </c>
      <c r="F988" s="79" t="s">
        <v>2539</v>
      </c>
      <c r="G988" s="79" t="s">
        <v>2578</v>
      </c>
      <c r="H988" s="79"/>
      <c r="I988" s="79"/>
    </row>
    <row r="989" spans="1:9" ht="15">
      <c r="A989" s="79" t="s">
        <v>3016</v>
      </c>
      <c r="B989" s="79" t="s">
        <v>3017</v>
      </c>
      <c r="C989" s="79">
        <v>594788282</v>
      </c>
      <c r="D989" s="79">
        <v>0</v>
      </c>
      <c r="E989" s="79" t="s">
        <v>1124</v>
      </c>
      <c r="F989" s="79" t="s">
        <v>2539</v>
      </c>
      <c r="G989" s="79" t="s">
        <v>2546</v>
      </c>
      <c r="H989" s="79" t="s">
        <v>2547</v>
      </c>
      <c r="I989" s="79"/>
    </row>
    <row r="990" spans="1:9" ht="15">
      <c r="A990" s="79" t="s">
        <v>3016</v>
      </c>
      <c r="B990" s="79" t="s">
        <v>3017</v>
      </c>
      <c r="C990" s="79">
        <v>594788282</v>
      </c>
      <c r="D990" s="79">
        <v>0</v>
      </c>
      <c r="E990" s="79" t="s">
        <v>1124</v>
      </c>
      <c r="F990" s="79" t="s">
        <v>2539</v>
      </c>
      <c r="G990" s="79" t="s">
        <v>2581</v>
      </c>
      <c r="H990" s="79"/>
      <c r="I990" s="79"/>
    </row>
    <row r="991" spans="1:9" ht="15">
      <c r="A991" s="79" t="s">
        <v>3018</v>
      </c>
      <c r="B991" s="79" t="s">
        <v>3019</v>
      </c>
      <c r="C991" s="79">
        <v>594830882</v>
      </c>
      <c r="D991" s="79">
        <v>0</v>
      </c>
      <c r="E991" s="79" t="s">
        <v>1124</v>
      </c>
      <c r="F991" s="79" t="s">
        <v>2539</v>
      </c>
      <c r="G991" s="79" t="s">
        <v>1130</v>
      </c>
      <c r="H991" s="79"/>
      <c r="I991" s="79"/>
    </row>
    <row r="992" spans="1:9" ht="15">
      <c r="A992" s="79" t="s">
        <v>3018</v>
      </c>
      <c r="B992" s="79" t="s">
        <v>3019</v>
      </c>
      <c r="C992" s="79">
        <v>594830882</v>
      </c>
      <c r="D992" s="79">
        <v>0</v>
      </c>
      <c r="E992" s="79" t="s">
        <v>1124</v>
      </c>
      <c r="F992" s="79" t="s">
        <v>2539</v>
      </c>
      <c r="G992" s="79" t="s">
        <v>1131</v>
      </c>
      <c r="H992" s="79" t="s">
        <v>1132</v>
      </c>
      <c r="I992" s="79"/>
    </row>
    <row r="993" spans="1:9" ht="15">
      <c r="A993" s="79" t="s">
        <v>3018</v>
      </c>
      <c r="B993" s="79" t="s">
        <v>3019</v>
      </c>
      <c r="C993" s="79">
        <v>594830882</v>
      </c>
      <c r="D993" s="79">
        <v>0</v>
      </c>
      <c r="E993" s="79" t="s">
        <v>1124</v>
      </c>
      <c r="F993" s="79" t="s">
        <v>2539</v>
      </c>
      <c r="G993" s="79" t="s">
        <v>2578</v>
      </c>
      <c r="H993" s="79"/>
      <c r="I993" s="79"/>
    </row>
    <row r="994" spans="1:9" ht="15">
      <c r="A994" s="79" t="s">
        <v>3020</v>
      </c>
      <c r="B994" s="79" t="s">
        <v>3021</v>
      </c>
      <c r="C994" s="79">
        <v>594831482</v>
      </c>
      <c r="D994" s="79">
        <v>0</v>
      </c>
      <c r="E994" s="79" t="s">
        <v>1124</v>
      </c>
      <c r="F994" s="79" t="s">
        <v>2539</v>
      </c>
      <c r="G994" s="79" t="s">
        <v>2546</v>
      </c>
      <c r="H994" s="79" t="s">
        <v>2547</v>
      </c>
      <c r="I994" s="79"/>
    </row>
    <row r="995" spans="1:9" ht="15">
      <c r="A995" s="79" t="s">
        <v>3020</v>
      </c>
      <c r="B995" s="79" t="s">
        <v>3021</v>
      </c>
      <c r="C995" s="79">
        <v>594831482</v>
      </c>
      <c r="D995" s="79">
        <v>0</v>
      </c>
      <c r="E995" s="79" t="s">
        <v>1124</v>
      </c>
      <c r="F995" s="79" t="s">
        <v>2539</v>
      </c>
      <c r="G995" s="79" t="s">
        <v>2581</v>
      </c>
      <c r="H995" s="79"/>
      <c r="I995" s="79"/>
    </row>
    <row r="996" spans="1:9" ht="15">
      <c r="A996" s="79" t="s">
        <v>3022</v>
      </c>
      <c r="B996" s="79" t="s">
        <v>3023</v>
      </c>
      <c r="C996" s="79">
        <v>594874082</v>
      </c>
      <c r="D996" s="79">
        <v>0</v>
      </c>
      <c r="E996" s="79" t="s">
        <v>1124</v>
      </c>
      <c r="F996" s="79" t="s">
        <v>2539</v>
      </c>
      <c r="G996" s="79" t="s">
        <v>1130</v>
      </c>
      <c r="H996" s="79"/>
      <c r="I996" s="79"/>
    </row>
    <row r="997" spans="1:9" ht="15">
      <c r="A997" s="79" t="s">
        <v>3022</v>
      </c>
      <c r="B997" s="79" t="s">
        <v>3023</v>
      </c>
      <c r="C997" s="79">
        <v>594874082</v>
      </c>
      <c r="D997" s="79">
        <v>0</v>
      </c>
      <c r="E997" s="79" t="s">
        <v>1124</v>
      </c>
      <c r="F997" s="79" t="s">
        <v>2539</v>
      </c>
      <c r="G997" s="79" t="s">
        <v>1131</v>
      </c>
      <c r="H997" s="79" t="s">
        <v>1132</v>
      </c>
      <c r="I997" s="79"/>
    </row>
    <row r="998" spans="1:9" ht="15">
      <c r="A998" s="79" t="s">
        <v>3022</v>
      </c>
      <c r="B998" s="79" t="s">
        <v>3023</v>
      </c>
      <c r="C998" s="79">
        <v>594874082</v>
      </c>
      <c r="D998" s="79">
        <v>0</v>
      </c>
      <c r="E998" s="79" t="s">
        <v>1124</v>
      </c>
      <c r="F998" s="79" t="s">
        <v>2539</v>
      </c>
      <c r="G998" s="79" t="s">
        <v>2578</v>
      </c>
      <c r="H998" s="79"/>
      <c r="I998" s="79"/>
    </row>
    <row r="999" spans="1:9" ht="15">
      <c r="A999" s="79" t="s">
        <v>3024</v>
      </c>
      <c r="B999" s="79" t="s">
        <v>3025</v>
      </c>
      <c r="C999" s="79">
        <v>594874682</v>
      </c>
      <c r="D999" s="79">
        <v>0</v>
      </c>
      <c r="E999" s="79" t="s">
        <v>1124</v>
      </c>
      <c r="F999" s="79" t="s">
        <v>2539</v>
      </c>
      <c r="G999" s="79" t="s">
        <v>2546</v>
      </c>
      <c r="H999" s="79" t="s">
        <v>2547</v>
      </c>
      <c r="I999" s="79"/>
    </row>
    <row r="1000" spans="1:9" ht="15">
      <c r="A1000" s="79" t="s">
        <v>3024</v>
      </c>
      <c r="B1000" s="79" t="s">
        <v>3025</v>
      </c>
      <c r="C1000" s="79">
        <v>594874682</v>
      </c>
      <c r="D1000" s="79">
        <v>0</v>
      </c>
      <c r="E1000" s="79" t="s">
        <v>1124</v>
      </c>
      <c r="F1000" s="79" t="s">
        <v>2539</v>
      </c>
      <c r="G1000" s="79" t="s">
        <v>2581</v>
      </c>
      <c r="H1000" s="79"/>
      <c r="I1000" s="79"/>
    </row>
    <row r="1001" spans="1:9" ht="15">
      <c r="A1001" s="79" t="s">
        <v>3026</v>
      </c>
      <c r="B1001" s="79" t="s">
        <v>3027</v>
      </c>
      <c r="C1001" s="79">
        <v>594917282</v>
      </c>
      <c r="D1001" s="79">
        <v>0</v>
      </c>
      <c r="E1001" s="79" t="s">
        <v>1124</v>
      </c>
      <c r="F1001" s="79" t="s">
        <v>2539</v>
      </c>
      <c r="G1001" s="79" t="s">
        <v>1130</v>
      </c>
      <c r="H1001" s="79"/>
      <c r="I1001" s="79"/>
    </row>
    <row r="1002" spans="1:9" ht="15">
      <c r="A1002" s="79" t="s">
        <v>3026</v>
      </c>
      <c r="B1002" s="79" t="s">
        <v>3027</v>
      </c>
      <c r="C1002" s="79">
        <v>594917282</v>
      </c>
      <c r="D1002" s="79">
        <v>0</v>
      </c>
      <c r="E1002" s="79" t="s">
        <v>1124</v>
      </c>
      <c r="F1002" s="79" t="s">
        <v>2539</v>
      </c>
      <c r="G1002" s="79" t="s">
        <v>1131</v>
      </c>
      <c r="H1002" s="79" t="s">
        <v>1132</v>
      </c>
      <c r="I1002" s="79"/>
    </row>
    <row r="1003" spans="1:9" ht="15">
      <c r="A1003" s="79" t="s">
        <v>3026</v>
      </c>
      <c r="B1003" s="79" t="s">
        <v>3027</v>
      </c>
      <c r="C1003" s="79">
        <v>594917282</v>
      </c>
      <c r="D1003" s="79">
        <v>0</v>
      </c>
      <c r="E1003" s="79" t="s">
        <v>1124</v>
      </c>
      <c r="F1003" s="79" t="s">
        <v>2539</v>
      </c>
      <c r="G1003" s="79" t="s">
        <v>2578</v>
      </c>
      <c r="H1003" s="79"/>
      <c r="I1003" s="79"/>
    </row>
    <row r="1004" spans="1:9" ht="15">
      <c r="A1004" s="79" t="s">
        <v>3028</v>
      </c>
      <c r="B1004" s="79" t="s">
        <v>3029</v>
      </c>
      <c r="C1004" s="79">
        <v>594917882</v>
      </c>
      <c r="D1004" s="79">
        <v>0</v>
      </c>
      <c r="E1004" s="79" t="s">
        <v>1124</v>
      </c>
      <c r="F1004" s="79" t="s">
        <v>2539</v>
      </c>
      <c r="G1004" s="79" t="s">
        <v>2546</v>
      </c>
      <c r="H1004" s="79" t="s">
        <v>2547</v>
      </c>
      <c r="I1004" s="79"/>
    </row>
    <row r="1005" spans="1:9" ht="15">
      <c r="A1005" s="79" t="s">
        <v>3028</v>
      </c>
      <c r="B1005" s="79" t="s">
        <v>3029</v>
      </c>
      <c r="C1005" s="79">
        <v>594917882</v>
      </c>
      <c r="D1005" s="79">
        <v>0</v>
      </c>
      <c r="E1005" s="79" t="s">
        <v>1124</v>
      </c>
      <c r="F1005" s="79" t="s">
        <v>2539</v>
      </c>
      <c r="G1005" s="79" t="s">
        <v>2581</v>
      </c>
      <c r="H1005" s="79"/>
      <c r="I1005" s="79"/>
    </row>
    <row r="1006" spans="1:9" ht="15">
      <c r="A1006" s="79" t="s">
        <v>3030</v>
      </c>
      <c r="B1006" s="79" t="s">
        <v>3031</v>
      </c>
      <c r="C1006" s="79">
        <v>594960482</v>
      </c>
      <c r="D1006" s="79">
        <v>0</v>
      </c>
      <c r="E1006" s="79" t="s">
        <v>1124</v>
      </c>
      <c r="F1006" s="79" t="s">
        <v>2539</v>
      </c>
      <c r="G1006" s="79" t="s">
        <v>1130</v>
      </c>
      <c r="H1006" s="79"/>
      <c r="I1006" s="79"/>
    </row>
    <row r="1007" spans="1:9" ht="15">
      <c r="A1007" s="79" t="s">
        <v>3030</v>
      </c>
      <c r="B1007" s="79" t="s">
        <v>3031</v>
      </c>
      <c r="C1007" s="79">
        <v>594960482</v>
      </c>
      <c r="D1007" s="79">
        <v>0</v>
      </c>
      <c r="E1007" s="79" t="s">
        <v>1124</v>
      </c>
      <c r="F1007" s="79" t="s">
        <v>2539</v>
      </c>
      <c r="G1007" s="79" t="s">
        <v>1131</v>
      </c>
      <c r="H1007" s="79" t="s">
        <v>1132</v>
      </c>
      <c r="I1007" s="79"/>
    </row>
    <row r="1008" spans="1:9" ht="15">
      <c r="A1008" s="79" t="s">
        <v>3030</v>
      </c>
      <c r="B1008" s="79" t="s">
        <v>3031</v>
      </c>
      <c r="C1008" s="79">
        <v>594960482</v>
      </c>
      <c r="D1008" s="79">
        <v>0</v>
      </c>
      <c r="E1008" s="79" t="s">
        <v>1124</v>
      </c>
      <c r="F1008" s="79" t="s">
        <v>2539</v>
      </c>
      <c r="G1008" s="79" t="s">
        <v>2578</v>
      </c>
      <c r="H1008" s="79"/>
      <c r="I1008" s="79"/>
    </row>
    <row r="1009" spans="1:9" ht="15">
      <c r="A1009" s="79" t="s">
        <v>3032</v>
      </c>
      <c r="B1009" s="79" t="s">
        <v>3033</v>
      </c>
      <c r="C1009" s="79">
        <v>594961082</v>
      </c>
      <c r="D1009" s="79">
        <v>0</v>
      </c>
      <c r="E1009" s="79" t="s">
        <v>1124</v>
      </c>
      <c r="F1009" s="79" t="s">
        <v>2539</v>
      </c>
      <c r="G1009" s="79" t="s">
        <v>2546</v>
      </c>
      <c r="H1009" s="79" t="s">
        <v>2547</v>
      </c>
      <c r="I1009" s="79"/>
    </row>
    <row r="1010" spans="1:9" ht="15">
      <c r="A1010" s="79" t="s">
        <v>3032</v>
      </c>
      <c r="B1010" s="79" t="s">
        <v>3033</v>
      </c>
      <c r="C1010" s="79">
        <v>594961082</v>
      </c>
      <c r="D1010" s="79">
        <v>0</v>
      </c>
      <c r="E1010" s="79" t="s">
        <v>1124</v>
      </c>
      <c r="F1010" s="79" t="s">
        <v>2539</v>
      </c>
      <c r="G1010" s="79" t="s">
        <v>2581</v>
      </c>
      <c r="H1010" s="79"/>
      <c r="I1010" s="79"/>
    </row>
    <row r="1011" spans="1:9" ht="15">
      <c r="A1011" s="79" t="s">
        <v>3034</v>
      </c>
      <c r="B1011" s="79" t="s">
        <v>3035</v>
      </c>
      <c r="C1011" s="79">
        <v>595003682</v>
      </c>
      <c r="D1011" s="79">
        <v>0</v>
      </c>
      <c r="E1011" s="79" t="s">
        <v>1124</v>
      </c>
      <c r="F1011" s="79" t="s">
        <v>2539</v>
      </c>
      <c r="G1011" s="79" t="s">
        <v>1130</v>
      </c>
      <c r="H1011" s="79"/>
      <c r="I1011" s="79"/>
    </row>
    <row r="1012" spans="1:9" ht="15">
      <c r="A1012" s="79" t="s">
        <v>3034</v>
      </c>
      <c r="B1012" s="79" t="s">
        <v>3035</v>
      </c>
      <c r="C1012" s="79">
        <v>595003682</v>
      </c>
      <c r="D1012" s="79">
        <v>0</v>
      </c>
      <c r="E1012" s="79" t="s">
        <v>1124</v>
      </c>
      <c r="F1012" s="79" t="s">
        <v>2539</v>
      </c>
      <c r="G1012" s="79" t="s">
        <v>1131</v>
      </c>
      <c r="H1012" s="79" t="s">
        <v>1132</v>
      </c>
      <c r="I1012" s="79"/>
    </row>
    <row r="1013" spans="1:9" ht="15">
      <c r="A1013" s="79" t="s">
        <v>3034</v>
      </c>
      <c r="B1013" s="79" t="s">
        <v>3035</v>
      </c>
      <c r="C1013" s="79">
        <v>595003682</v>
      </c>
      <c r="D1013" s="79">
        <v>0</v>
      </c>
      <c r="E1013" s="79" t="s">
        <v>1124</v>
      </c>
      <c r="F1013" s="79" t="s">
        <v>2539</v>
      </c>
      <c r="G1013" s="79" t="s">
        <v>2578</v>
      </c>
      <c r="H1013" s="79"/>
      <c r="I1013" s="79"/>
    </row>
    <row r="1014" spans="1:9" ht="15">
      <c r="A1014" s="79" t="s">
        <v>3036</v>
      </c>
      <c r="B1014" s="79" t="s">
        <v>3037</v>
      </c>
      <c r="C1014" s="79">
        <v>595004282</v>
      </c>
      <c r="D1014" s="79">
        <v>0</v>
      </c>
      <c r="E1014" s="79" t="s">
        <v>1124</v>
      </c>
      <c r="F1014" s="79" t="s">
        <v>2539</v>
      </c>
      <c r="G1014" s="79" t="s">
        <v>2546</v>
      </c>
      <c r="H1014" s="79" t="s">
        <v>2547</v>
      </c>
      <c r="I1014" s="79"/>
    </row>
    <row r="1015" spans="1:9" ht="15">
      <c r="A1015" s="79" t="s">
        <v>3036</v>
      </c>
      <c r="B1015" s="79" t="s">
        <v>3037</v>
      </c>
      <c r="C1015" s="79">
        <v>595004282</v>
      </c>
      <c r="D1015" s="79">
        <v>0</v>
      </c>
      <c r="E1015" s="79" t="s">
        <v>1124</v>
      </c>
      <c r="F1015" s="79" t="s">
        <v>2539</v>
      </c>
      <c r="G1015" s="79" t="s">
        <v>2581</v>
      </c>
      <c r="H1015" s="79"/>
      <c r="I1015" s="79"/>
    </row>
    <row r="1016" spans="1:9" ht="15">
      <c r="A1016" s="79" t="s">
        <v>3038</v>
      </c>
      <c r="B1016" s="79" t="s">
        <v>3039</v>
      </c>
      <c r="C1016" s="79">
        <v>595046882</v>
      </c>
      <c r="D1016" s="79">
        <v>0</v>
      </c>
      <c r="E1016" s="79" t="s">
        <v>1124</v>
      </c>
      <c r="F1016" s="79" t="s">
        <v>2539</v>
      </c>
      <c r="G1016" s="79" t="s">
        <v>1130</v>
      </c>
      <c r="H1016" s="79"/>
      <c r="I1016" s="79"/>
    </row>
    <row r="1017" spans="1:9" ht="15">
      <c r="A1017" s="79" t="s">
        <v>3038</v>
      </c>
      <c r="B1017" s="79" t="s">
        <v>3039</v>
      </c>
      <c r="C1017" s="79">
        <v>595046882</v>
      </c>
      <c r="D1017" s="79">
        <v>0</v>
      </c>
      <c r="E1017" s="79" t="s">
        <v>1124</v>
      </c>
      <c r="F1017" s="79" t="s">
        <v>2539</v>
      </c>
      <c r="G1017" s="79" t="s">
        <v>1131</v>
      </c>
      <c r="H1017" s="79" t="s">
        <v>1132</v>
      </c>
      <c r="I1017" s="79"/>
    </row>
    <row r="1018" spans="1:9" ht="15">
      <c r="A1018" s="79" t="s">
        <v>3038</v>
      </c>
      <c r="B1018" s="79" t="s">
        <v>3039</v>
      </c>
      <c r="C1018" s="79">
        <v>595046882</v>
      </c>
      <c r="D1018" s="79">
        <v>0</v>
      </c>
      <c r="E1018" s="79" t="s">
        <v>1124</v>
      </c>
      <c r="F1018" s="79" t="s">
        <v>2539</v>
      </c>
      <c r="G1018" s="79" t="s">
        <v>2578</v>
      </c>
      <c r="H1018" s="79"/>
      <c r="I1018" s="79"/>
    </row>
    <row r="1019" spans="1:9" ht="15">
      <c r="A1019" s="79" t="s">
        <v>3040</v>
      </c>
      <c r="B1019" s="79" t="s">
        <v>3041</v>
      </c>
      <c r="C1019" s="79">
        <v>595047482</v>
      </c>
      <c r="D1019" s="79">
        <v>0</v>
      </c>
      <c r="E1019" s="79" t="s">
        <v>1124</v>
      </c>
      <c r="F1019" s="79" t="s">
        <v>2539</v>
      </c>
      <c r="G1019" s="79" t="s">
        <v>2546</v>
      </c>
      <c r="H1019" s="79" t="s">
        <v>2547</v>
      </c>
      <c r="I1019" s="79"/>
    </row>
    <row r="1020" spans="1:9" ht="15">
      <c r="A1020" s="79" t="s">
        <v>3040</v>
      </c>
      <c r="B1020" s="79" t="s">
        <v>3041</v>
      </c>
      <c r="C1020" s="79">
        <v>595047482</v>
      </c>
      <c r="D1020" s="79">
        <v>0</v>
      </c>
      <c r="E1020" s="79" t="s">
        <v>1124</v>
      </c>
      <c r="F1020" s="79" t="s">
        <v>2539</v>
      </c>
      <c r="G1020" s="79" t="s">
        <v>2581</v>
      </c>
      <c r="H1020" s="79"/>
      <c r="I1020" s="79"/>
    </row>
    <row r="1021" spans="1:9" ht="15">
      <c r="A1021" s="79" t="s">
        <v>3042</v>
      </c>
      <c r="B1021" s="79" t="s">
        <v>3043</v>
      </c>
      <c r="C1021" s="79">
        <v>595090082</v>
      </c>
      <c r="D1021" s="79">
        <v>0</v>
      </c>
      <c r="E1021" s="79" t="s">
        <v>1124</v>
      </c>
      <c r="F1021" s="79" t="s">
        <v>2539</v>
      </c>
      <c r="G1021" s="79" t="s">
        <v>1130</v>
      </c>
      <c r="H1021" s="79"/>
      <c r="I1021" s="79"/>
    </row>
    <row r="1022" spans="1:9" ht="15">
      <c r="A1022" s="79" t="s">
        <v>3042</v>
      </c>
      <c r="B1022" s="79" t="s">
        <v>3043</v>
      </c>
      <c r="C1022" s="79">
        <v>595090082</v>
      </c>
      <c r="D1022" s="79">
        <v>0</v>
      </c>
      <c r="E1022" s="79" t="s">
        <v>1124</v>
      </c>
      <c r="F1022" s="79" t="s">
        <v>2539</v>
      </c>
      <c r="G1022" s="79" t="s">
        <v>1131</v>
      </c>
      <c r="H1022" s="79" t="s">
        <v>1132</v>
      </c>
      <c r="I1022" s="79"/>
    </row>
    <row r="1023" spans="1:9" ht="15">
      <c r="A1023" s="79" t="s">
        <v>3042</v>
      </c>
      <c r="B1023" s="79" t="s">
        <v>3043</v>
      </c>
      <c r="C1023" s="79">
        <v>595090082</v>
      </c>
      <c r="D1023" s="79">
        <v>0</v>
      </c>
      <c r="E1023" s="79" t="s">
        <v>1124</v>
      </c>
      <c r="F1023" s="79" t="s">
        <v>2539</v>
      </c>
      <c r="G1023" s="79" t="s">
        <v>2578</v>
      </c>
      <c r="H1023" s="79"/>
      <c r="I1023" s="79"/>
    </row>
    <row r="1024" spans="1:9" ht="15">
      <c r="A1024" s="79" t="s">
        <v>3044</v>
      </c>
      <c r="B1024" s="79" t="s">
        <v>3045</v>
      </c>
      <c r="C1024" s="79">
        <v>595090682</v>
      </c>
      <c r="D1024" s="79">
        <v>0</v>
      </c>
      <c r="E1024" s="79" t="s">
        <v>1124</v>
      </c>
      <c r="F1024" s="79" t="s">
        <v>2539</v>
      </c>
      <c r="G1024" s="79" t="s">
        <v>2546</v>
      </c>
      <c r="H1024" s="79" t="s">
        <v>2547</v>
      </c>
      <c r="I1024" s="79"/>
    </row>
    <row r="1025" spans="1:9" ht="15">
      <c r="A1025" s="79" t="s">
        <v>3044</v>
      </c>
      <c r="B1025" s="79" t="s">
        <v>3045</v>
      </c>
      <c r="C1025" s="79">
        <v>595090682</v>
      </c>
      <c r="D1025" s="79">
        <v>0</v>
      </c>
      <c r="E1025" s="79" t="s">
        <v>1124</v>
      </c>
      <c r="F1025" s="79" t="s">
        <v>2539</v>
      </c>
      <c r="G1025" s="79" t="s">
        <v>2581</v>
      </c>
      <c r="H1025" s="79"/>
      <c r="I1025" s="79"/>
    </row>
    <row r="1026" spans="1:9" ht="15">
      <c r="A1026" s="79" t="s">
        <v>3046</v>
      </c>
      <c r="B1026" s="79" t="s">
        <v>3047</v>
      </c>
      <c r="C1026" s="79">
        <v>595133282</v>
      </c>
      <c r="D1026" s="79">
        <v>0</v>
      </c>
      <c r="E1026" s="79" t="s">
        <v>1124</v>
      </c>
      <c r="F1026" s="79" t="s">
        <v>2539</v>
      </c>
      <c r="G1026" s="79" t="s">
        <v>1130</v>
      </c>
      <c r="H1026" s="79"/>
      <c r="I1026" s="79"/>
    </row>
    <row r="1027" spans="1:9" ht="15">
      <c r="A1027" s="79" t="s">
        <v>3046</v>
      </c>
      <c r="B1027" s="79" t="s">
        <v>3047</v>
      </c>
      <c r="C1027" s="79">
        <v>595133282</v>
      </c>
      <c r="D1027" s="79">
        <v>0</v>
      </c>
      <c r="E1027" s="79" t="s">
        <v>1124</v>
      </c>
      <c r="F1027" s="79" t="s">
        <v>2539</v>
      </c>
      <c r="G1027" s="79" t="s">
        <v>1131</v>
      </c>
      <c r="H1027" s="79" t="s">
        <v>1132</v>
      </c>
      <c r="I1027" s="79"/>
    </row>
    <row r="1028" spans="1:9" ht="15">
      <c r="A1028" s="79" t="s">
        <v>3046</v>
      </c>
      <c r="B1028" s="79" t="s">
        <v>3047</v>
      </c>
      <c r="C1028" s="79">
        <v>595133282</v>
      </c>
      <c r="D1028" s="79">
        <v>0</v>
      </c>
      <c r="E1028" s="79" t="s">
        <v>1124</v>
      </c>
      <c r="F1028" s="79" t="s">
        <v>2539</v>
      </c>
      <c r="G1028" s="79" t="s">
        <v>2578</v>
      </c>
      <c r="H1028" s="79"/>
      <c r="I1028" s="79"/>
    </row>
    <row r="1029" spans="1:9" ht="15">
      <c r="A1029" s="79" t="s">
        <v>3048</v>
      </c>
      <c r="B1029" s="79" t="s">
        <v>3049</v>
      </c>
      <c r="C1029" s="79">
        <v>595133882</v>
      </c>
      <c r="D1029" s="79">
        <v>0</v>
      </c>
      <c r="E1029" s="79" t="s">
        <v>1124</v>
      </c>
      <c r="F1029" s="79" t="s">
        <v>2539</v>
      </c>
      <c r="G1029" s="79" t="s">
        <v>2546</v>
      </c>
      <c r="H1029" s="79" t="s">
        <v>2547</v>
      </c>
      <c r="I1029" s="79"/>
    </row>
    <row r="1030" spans="1:9" ht="15">
      <c r="A1030" s="79" t="s">
        <v>3048</v>
      </c>
      <c r="B1030" s="79" t="s">
        <v>3049</v>
      </c>
      <c r="C1030" s="79">
        <v>595133882</v>
      </c>
      <c r="D1030" s="79">
        <v>0</v>
      </c>
      <c r="E1030" s="79" t="s">
        <v>1124</v>
      </c>
      <c r="F1030" s="79" t="s">
        <v>2539</v>
      </c>
      <c r="G1030" s="79" t="s">
        <v>2581</v>
      </c>
      <c r="H1030" s="79"/>
      <c r="I1030" s="79"/>
    </row>
    <row r="1031" spans="1:9" ht="15">
      <c r="A1031" s="79" t="s">
        <v>3050</v>
      </c>
      <c r="B1031" s="79" t="s">
        <v>3051</v>
      </c>
      <c r="C1031" s="79">
        <v>595176482</v>
      </c>
      <c r="D1031" s="79">
        <v>0</v>
      </c>
      <c r="E1031" s="79" t="s">
        <v>1124</v>
      </c>
      <c r="F1031" s="79" t="s">
        <v>2539</v>
      </c>
      <c r="G1031" s="79" t="s">
        <v>1130</v>
      </c>
      <c r="H1031" s="79"/>
      <c r="I1031" s="79"/>
    </row>
    <row r="1032" spans="1:9" ht="15">
      <c r="A1032" s="79" t="s">
        <v>3050</v>
      </c>
      <c r="B1032" s="79" t="s">
        <v>3051</v>
      </c>
      <c r="C1032" s="79">
        <v>595176482</v>
      </c>
      <c r="D1032" s="79">
        <v>0</v>
      </c>
      <c r="E1032" s="79" t="s">
        <v>1124</v>
      </c>
      <c r="F1032" s="79" t="s">
        <v>2539</v>
      </c>
      <c r="G1032" s="79" t="s">
        <v>1131</v>
      </c>
      <c r="H1032" s="79" t="s">
        <v>1132</v>
      </c>
      <c r="I1032" s="79"/>
    </row>
    <row r="1033" spans="1:9" ht="15">
      <c r="A1033" s="79" t="s">
        <v>3050</v>
      </c>
      <c r="B1033" s="79" t="s">
        <v>3051</v>
      </c>
      <c r="C1033" s="79">
        <v>595176482</v>
      </c>
      <c r="D1033" s="79">
        <v>0</v>
      </c>
      <c r="E1033" s="79" t="s">
        <v>1124</v>
      </c>
      <c r="F1033" s="79" t="s">
        <v>2539</v>
      </c>
      <c r="G1033" s="79" t="s">
        <v>2578</v>
      </c>
      <c r="H1033" s="79"/>
      <c r="I1033" s="79"/>
    </row>
    <row r="1034" spans="1:9" ht="15">
      <c r="A1034" s="79" t="s">
        <v>3052</v>
      </c>
      <c r="B1034" s="79" t="s">
        <v>3053</v>
      </c>
      <c r="C1034" s="79">
        <v>595177082</v>
      </c>
      <c r="D1034" s="79">
        <v>0</v>
      </c>
      <c r="E1034" s="79" t="s">
        <v>1124</v>
      </c>
      <c r="F1034" s="79" t="s">
        <v>2539</v>
      </c>
      <c r="G1034" s="79" t="s">
        <v>2546</v>
      </c>
      <c r="H1034" s="79" t="s">
        <v>2547</v>
      </c>
      <c r="I1034" s="79"/>
    </row>
    <row r="1035" spans="1:9" ht="15">
      <c r="A1035" s="79" t="s">
        <v>3052</v>
      </c>
      <c r="B1035" s="79" t="s">
        <v>3053</v>
      </c>
      <c r="C1035" s="79">
        <v>595177082</v>
      </c>
      <c r="D1035" s="79">
        <v>0</v>
      </c>
      <c r="E1035" s="79" t="s">
        <v>1124</v>
      </c>
      <c r="F1035" s="79" t="s">
        <v>2539</v>
      </c>
      <c r="G1035" s="79" t="s">
        <v>2581</v>
      </c>
      <c r="H1035" s="79"/>
      <c r="I1035" s="79"/>
    </row>
    <row r="1036" spans="1:9" ht="15">
      <c r="A1036" s="79" t="s">
        <v>3054</v>
      </c>
      <c r="B1036" s="79" t="s">
        <v>3055</v>
      </c>
      <c r="C1036" s="79">
        <v>595219682</v>
      </c>
      <c r="D1036" s="79">
        <v>0</v>
      </c>
      <c r="E1036" s="79" t="s">
        <v>1124</v>
      </c>
      <c r="F1036" s="79" t="s">
        <v>2539</v>
      </c>
      <c r="G1036" s="79" t="s">
        <v>1130</v>
      </c>
      <c r="H1036" s="79"/>
      <c r="I1036" s="79"/>
    </row>
    <row r="1037" spans="1:9" ht="15">
      <c r="A1037" s="79" t="s">
        <v>3054</v>
      </c>
      <c r="B1037" s="79" t="s">
        <v>3055</v>
      </c>
      <c r="C1037" s="79">
        <v>595219682</v>
      </c>
      <c r="D1037" s="79">
        <v>0</v>
      </c>
      <c r="E1037" s="79" t="s">
        <v>1124</v>
      </c>
      <c r="F1037" s="79" t="s">
        <v>2539</v>
      </c>
      <c r="G1037" s="79" t="s">
        <v>1131</v>
      </c>
      <c r="H1037" s="79" t="s">
        <v>1132</v>
      </c>
      <c r="I1037" s="79"/>
    </row>
    <row r="1038" spans="1:9" ht="15">
      <c r="A1038" s="79" t="s">
        <v>3054</v>
      </c>
      <c r="B1038" s="79" t="s">
        <v>3055</v>
      </c>
      <c r="C1038" s="79">
        <v>595219682</v>
      </c>
      <c r="D1038" s="79">
        <v>0</v>
      </c>
      <c r="E1038" s="79" t="s">
        <v>1124</v>
      </c>
      <c r="F1038" s="79" t="s">
        <v>2539</v>
      </c>
      <c r="G1038" s="79" t="s">
        <v>2578</v>
      </c>
      <c r="H1038" s="79"/>
      <c r="I1038" s="79"/>
    </row>
    <row r="1039" spans="1:9" ht="15">
      <c r="A1039" s="79" t="s">
        <v>3056</v>
      </c>
      <c r="B1039" s="79" t="s">
        <v>3057</v>
      </c>
      <c r="C1039" s="79">
        <v>595220282</v>
      </c>
      <c r="D1039" s="79">
        <v>0</v>
      </c>
      <c r="E1039" s="79" t="s">
        <v>1124</v>
      </c>
      <c r="F1039" s="79" t="s">
        <v>2539</v>
      </c>
      <c r="G1039" s="79" t="s">
        <v>2546</v>
      </c>
      <c r="H1039" s="79" t="s">
        <v>2547</v>
      </c>
      <c r="I1039" s="79"/>
    </row>
    <row r="1040" spans="1:9" ht="15">
      <c r="A1040" s="79" t="s">
        <v>3056</v>
      </c>
      <c r="B1040" s="79" t="s">
        <v>3057</v>
      </c>
      <c r="C1040" s="79">
        <v>595220282</v>
      </c>
      <c r="D1040" s="79">
        <v>0</v>
      </c>
      <c r="E1040" s="79" t="s">
        <v>1124</v>
      </c>
      <c r="F1040" s="79" t="s">
        <v>2539</v>
      </c>
      <c r="G1040" s="79" t="s">
        <v>2581</v>
      </c>
      <c r="H1040" s="79"/>
      <c r="I1040" s="79"/>
    </row>
    <row r="1041" spans="1:9" ht="15">
      <c r="A1041" s="79" t="s">
        <v>3058</v>
      </c>
      <c r="B1041" s="79" t="s">
        <v>3059</v>
      </c>
      <c r="C1041" s="79">
        <v>595262882</v>
      </c>
      <c r="D1041" s="79">
        <v>0</v>
      </c>
      <c r="E1041" s="79" t="s">
        <v>1124</v>
      </c>
      <c r="F1041" s="79" t="s">
        <v>2539</v>
      </c>
      <c r="G1041" s="79" t="s">
        <v>1130</v>
      </c>
      <c r="H1041" s="79"/>
      <c r="I1041" s="79"/>
    </row>
    <row r="1042" spans="1:9" ht="15">
      <c r="A1042" s="79" t="s">
        <v>3058</v>
      </c>
      <c r="B1042" s="79" t="s">
        <v>3059</v>
      </c>
      <c r="C1042" s="79">
        <v>595262882</v>
      </c>
      <c r="D1042" s="79">
        <v>0</v>
      </c>
      <c r="E1042" s="79" t="s">
        <v>1124</v>
      </c>
      <c r="F1042" s="79" t="s">
        <v>2539</v>
      </c>
      <c r="G1042" s="79" t="s">
        <v>1131</v>
      </c>
      <c r="H1042" s="79" t="s">
        <v>1132</v>
      </c>
      <c r="I1042" s="79"/>
    </row>
    <row r="1043" spans="1:9" ht="15">
      <c r="A1043" s="79" t="s">
        <v>3058</v>
      </c>
      <c r="B1043" s="79" t="s">
        <v>3059</v>
      </c>
      <c r="C1043" s="79">
        <v>595262882</v>
      </c>
      <c r="D1043" s="79">
        <v>0</v>
      </c>
      <c r="E1043" s="79" t="s">
        <v>1124</v>
      </c>
      <c r="F1043" s="79" t="s">
        <v>2539</v>
      </c>
      <c r="G1043" s="79" t="s">
        <v>2578</v>
      </c>
      <c r="H1043" s="79"/>
      <c r="I1043" s="79"/>
    </row>
    <row r="1044" spans="1:9" ht="15">
      <c r="A1044" s="79" t="s">
        <v>3060</v>
      </c>
      <c r="B1044" s="79" t="s">
        <v>3061</v>
      </c>
      <c r="C1044" s="79">
        <v>595263482</v>
      </c>
      <c r="D1044" s="79">
        <v>0</v>
      </c>
      <c r="E1044" s="79" t="s">
        <v>1124</v>
      </c>
      <c r="F1044" s="79" t="s">
        <v>2539</v>
      </c>
      <c r="G1044" s="79" t="s">
        <v>2546</v>
      </c>
      <c r="H1044" s="79" t="s">
        <v>2547</v>
      </c>
      <c r="I1044" s="79"/>
    </row>
    <row r="1045" spans="1:9" ht="15">
      <c r="A1045" s="79" t="s">
        <v>3060</v>
      </c>
      <c r="B1045" s="79" t="s">
        <v>3061</v>
      </c>
      <c r="C1045" s="79">
        <v>595263482</v>
      </c>
      <c r="D1045" s="79">
        <v>0</v>
      </c>
      <c r="E1045" s="79" t="s">
        <v>1124</v>
      </c>
      <c r="F1045" s="79" t="s">
        <v>2539</v>
      </c>
      <c r="G1045" s="79" t="s">
        <v>2581</v>
      </c>
      <c r="H1045" s="79"/>
      <c r="I1045" s="79"/>
    </row>
    <row r="1046" spans="1:9" ht="15">
      <c r="A1046" s="79" t="s">
        <v>3062</v>
      </c>
      <c r="B1046" s="79" t="s">
        <v>3063</v>
      </c>
      <c r="C1046" s="79">
        <v>595306082</v>
      </c>
      <c r="D1046" s="79">
        <v>0</v>
      </c>
      <c r="E1046" s="79" t="s">
        <v>1124</v>
      </c>
      <c r="F1046" s="79" t="s">
        <v>2539</v>
      </c>
      <c r="G1046" s="79" t="s">
        <v>1130</v>
      </c>
      <c r="H1046" s="79"/>
      <c r="I1046" s="79"/>
    </row>
    <row r="1047" spans="1:9" ht="15">
      <c r="A1047" s="79" t="s">
        <v>3062</v>
      </c>
      <c r="B1047" s="79" t="s">
        <v>3063</v>
      </c>
      <c r="C1047" s="79">
        <v>595306082</v>
      </c>
      <c r="D1047" s="79">
        <v>0</v>
      </c>
      <c r="E1047" s="79" t="s">
        <v>1124</v>
      </c>
      <c r="F1047" s="79" t="s">
        <v>2539</v>
      </c>
      <c r="G1047" s="79" t="s">
        <v>1131</v>
      </c>
      <c r="H1047" s="79" t="s">
        <v>1132</v>
      </c>
      <c r="I1047" s="79"/>
    </row>
    <row r="1048" spans="1:9" ht="15">
      <c r="A1048" s="79" t="s">
        <v>3062</v>
      </c>
      <c r="B1048" s="79" t="s">
        <v>3063</v>
      </c>
      <c r="C1048" s="79">
        <v>595306082</v>
      </c>
      <c r="D1048" s="79">
        <v>0</v>
      </c>
      <c r="E1048" s="79" t="s">
        <v>1124</v>
      </c>
      <c r="F1048" s="79" t="s">
        <v>2539</v>
      </c>
      <c r="G1048" s="79" t="s">
        <v>2578</v>
      </c>
      <c r="H1048" s="79"/>
      <c r="I1048" s="79"/>
    </row>
    <row r="1049" spans="1:9" ht="15">
      <c r="A1049" s="79" t="s">
        <v>3064</v>
      </c>
      <c r="B1049" s="79" t="s">
        <v>3065</v>
      </c>
      <c r="C1049" s="79">
        <v>595306682</v>
      </c>
      <c r="D1049" s="79">
        <v>0</v>
      </c>
      <c r="E1049" s="79" t="s">
        <v>1124</v>
      </c>
      <c r="F1049" s="79" t="s">
        <v>2539</v>
      </c>
      <c r="G1049" s="79" t="s">
        <v>2546</v>
      </c>
      <c r="H1049" s="79" t="s">
        <v>2547</v>
      </c>
      <c r="I1049" s="79"/>
    </row>
    <row r="1050" spans="1:9" ht="15">
      <c r="A1050" s="79" t="s">
        <v>3064</v>
      </c>
      <c r="B1050" s="79" t="s">
        <v>3065</v>
      </c>
      <c r="C1050" s="79">
        <v>595306682</v>
      </c>
      <c r="D1050" s="79">
        <v>0</v>
      </c>
      <c r="E1050" s="79" t="s">
        <v>1124</v>
      </c>
      <c r="F1050" s="79" t="s">
        <v>2539</v>
      </c>
      <c r="G1050" s="79" t="s">
        <v>2581</v>
      </c>
      <c r="H1050" s="79"/>
      <c r="I1050" s="79"/>
    </row>
    <row r="1051" spans="1:9" ht="15">
      <c r="A1051" s="79" t="s">
        <v>3066</v>
      </c>
      <c r="B1051" s="79" t="s">
        <v>3067</v>
      </c>
      <c r="C1051" s="79">
        <v>595349282</v>
      </c>
      <c r="D1051" s="79">
        <v>0</v>
      </c>
      <c r="E1051" s="79" t="s">
        <v>1124</v>
      </c>
      <c r="F1051" s="79" t="s">
        <v>2539</v>
      </c>
      <c r="G1051" s="79" t="s">
        <v>1130</v>
      </c>
      <c r="H1051" s="79"/>
      <c r="I1051" s="79"/>
    </row>
    <row r="1052" spans="1:9" ht="15">
      <c r="A1052" s="79" t="s">
        <v>3066</v>
      </c>
      <c r="B1052" s="79" t="s">
        <v>3067</v>
      </c>
      <c r="C1052" s="79">
        <v>595349282</v>
      </c>
      <c r="D1052" s="79">
        <v>0</v>
      </c>
      <c r="E1052" s="79" t="s">
        <v>1124</v>
      </c>
      <c r="F1052" s="79" t="s">
        <v>2539</v>
      </c>
      <c r="G1052" s="79" t="s">
        <v>1131</v>
      </c>
      <c r="H1052" s="79" t="s">
        <v>1132</v>
      </c>
      <c r="I1052" s="79"/>
    </row>
    <row r="1053" spans="1:9" ht="15">
      <c r="A1053" s="79" t="s">
        <v>3066</v>
      </c>
      <c r="B1053" s="79" t="s">
        <v>3067</v>
      </c>
      <c r="C1053" s="79">
        <v>595349282</v>
      </c>
      <c r="D1053" s="79">
        <v>0</v>
      </c>
      <c r="E1053" s="79" t="s">
        <v>1124</v>
      </c>
      <c r="F1053" s="79" t="s">
        <v>2539</v>
      </c>
      <c r="G1053" s="79" t="s">
        <v>2578</v>
      </c>
      <c r="H1053" s="79"/>
      <c r="I1053" s="79"/>
    </row>
    <row r="1054" spans="1:9" ht="15">
      <c r="A1054" s="79" t="s">
        <v>3068</v>
      </c>
      <c r="B1054" s="79" t="s">
        <v>3069</v>
      </c>
      <c r="C1054" s="79">
        <v>595349882</v>
      </c>
      <c r="D1054" s="79">
        <v>0</v>
      </c>
      <c r="E1054" s="79" t="s">
        <v>1124</v>
      </c>
      <c r="F1054" s="79" t="s">
        <v>2539</v>
      </c>
      <c r="G1054" s="79" t="s">
        <v>2546</v>
      </c>
      <c r="H1054" s="79" t="s">
        <v>2547</v>
      </c>
      <c r="I1054" s="79"/>
    </row>
    <row r="1055" spans="1:9" ht="15">
      <c r="A1055" s="79" t="s">
        <v>3068</v>
      </c>
      <c r="B1055" s="79" t="s">
        <v>3069</v>
      </c>
      <c r="C1055" s="79">
        <v>595349882</v>
      </c>
      <c r="D1055" s="79">
        <v>0</v>
      </c>
      <c r="E1055" s="79" t="s">
        <v>1124</v>
      </c>
      <c r="F1055" s="79" t="s">
        <v>2539</v>
      </c>
      <c r="G1055" s="79" t="s">
        <v>2581</v>
      </c>
      <c r="H1055" s="79"/>
      <c r="I1055" s="79"/>
    </row>
    <row r="1056" spans="1:9" ht="15">
      <c r="A1056" s="79" t="s">
        <v>3070</v>
      </c>
      <c r="B1056" s="79" t="s">
        <v>3071</v>
      </c>
      <c r="C1056" s="79">
        <v>595392482</v>
      </c>
      <c r="D1056" s="79">
        <v>0</v>
      </c>
      <c r="E1056" s="79" t="s">
        <v>1124</v>
      </c>
      <c r="F1056" s="79" t="s">
        <v>2539</v>
      </c>
      <c r="G1056" s="79" t="s">
        <v>1130</v>
      </c>
      <c r="H1056" s="79"/>
      <c r="I1056" s="79"/>
    </row>
    <row r="1057" spans="1:9" ht="15">
      <c r="A1057" s="79" t="s">
        <v>3070</v>
      </c>
      <c r="B1057" s="79" t="s">
        <v>3071</v>
      </c>
      <c r="C1057" s="79">
        <v>595392482</v>
      </c>
      <c r="D1057" s="79">
        <v>0</v>
      </c>
      <c r="E1057" s="79" t="s">
        <v>1124</v>
      </c>
      <c r="F1057" s="79" t="s">
        <v>2539</v>
      </c>
      <c r="G1057" s="79" t="s">
        <v>1131</v>
      </c>
      <c r="H1057" s="79" t="s">
        <v>1132</v>
      </c>
      <c r="I1057" s="79"/>
    </row>
    <row r="1058" spans="1:9" ht="15">
      <c r="A1058" s="79" t="s">
        <v>3070</v>
      </c>
      <c r="B1058" s="79" t="s">
        <v>3071</v>
      </c>
      <c r="C1058" s="79">
        <v>595392482</v>
      </c>
      <c r="D1058" s="79">
        <v>0</v>
      </c>
      <c r="E1058" s="79" t="s">
        <v>1124</v>
      </c>
      <c r="F1058" s="79" t="s">
        <v>2539</v>
      </c>
      <c r="G1058" s="79" t="s">
        <v>2578</v>
      </c>
      <c r="H1058" s="79"/>
      <c r="I1058" s="79"/>
    </row>
    <row r="1059" spans="1:9" ht="15">
      <c r="A1059" s="79" t="s">
        <v>3072</v>
      </c>
      <c r="B1059" s="79" t="s">
        <v>3073</v>
      </c>
      <c r="C1059" s="79">
        <v>595393082</v>
      </c>
      <c r="D1059" s="79">
        <v>0</v>
      </c>
      <c r="E1059" s="79" t="s">
        <v>1124</v>
      </c>
      <c r="F1059" s="79" t="s">
        <v>2539</v>
      </c>
      <c r="G1059" s="79" t="s">
        <v>2546</v>
      </c>
      <c r="H1059" s="79" t="s">
        <v>2547</v>
      </c>
      <c r="I1059" s="79"/>
    </row>
    <row r="1060" spans="1:9" ht="15">
      <c r="A1060" s="79" t="s">
        <v>3072</v>
      </c>
      <c r="B1060" s="79" t="s">
        <v>3073</v>
      </c>
      <c r="C1060" s="79">
        <v>595393082</v>
      </c>
      <c r="D1060" s="79">
        <v>0</v>
      </c>
      <c r="E1060" s="79" t="s">
        <v>1124</v>
      </c>
      <c r="F1060" s="79" t="s">
        <v>2539</v>
      </c>
      <c r="G1060" s="79" t="s">
        <v>2581</v>
      </c>
      <c r="H1060" s="79"/>
      <c r="I1060" s="79"/>
    </row>
    <row r="1061" spans="1:9" ht="15">
      <c r="A1061" s="79" t="s">
        <v>3074</v>
      </c>
      <c r="B1061" s="79" t="s">
        <v>3075</v>
      </c>
      <c r="C1061" s="79">
        <v>595435682</v>
      </c>
      <c r="D1061" s="79">
        <v>0</v>
      </c>
      <c r="E1061" s="79" t="s">
        <v>1124</v>
      </c>
      <c r="F1061" s="79" t="s">
        <v>2539</v>
      </c>
      <c r="G1061" s="79" t="s">
        <v>1130</v>
      </c>
      <c r="H1061" s="79"/>
      <c r="I1061" s="79"/>
    </row>
    <row r="1062" spans="1:9" ht="15">
      <c r="A1062" s="79" t="s">
        <v>3074</v>
      </c>
      <c r="B1062" s="79" t="s">
        <v>3075</v>
      </c>
      <c r="C1062" s="79">
        <v>595435682</v>
      </c>
      <c r="D1062" s="79">
        <v>0</v>
      </c>
      <c r="E1062" s="79" t="s">
        <v>1124</v>
      </c>
      <c r="F1062" s="79" t="s">
        <v>2539</v>
      </c>
      <c r="G1062" s="79" t="s">
        <v>2109</v>
      </c>
      <c r="H1062" s="79"/>
      <c r="I1062" s="79"/>
    </row>
    <row r="1063" spans="1:9" ht="15">
      <c r="A1063" s="79" t="s">
        <v>3076</v>
      </c>
      <c r="B1063" s="79" t="s">
        <v>3077</v>
      </c>
      <c r="C1063" s="79">
        <v>595435685</v>
      </c>
      <c r="D1063" s="79">
        <v>0</v>
      </c>
      <c r="E1063" s="79" t="s">
        <v>1124</v>
      </c>
      <c r="F1063" s="79" t="s">
        <v>2539</v>
      </c>
      <c r="G1063" s="79" t="s">
        <v>1130</v>
      </c>
      <c r="H1063" s="79"/>
      <c r="I1063" s="79"/>
    </row>
    <row r="1064" spans="1:9" ht="15">
      <c r="A1064" s="79" t="s">
        <v>3076</v>
      </c>
      <c r="B1064" s="79" t="s">
        <v>3077</v>
      </c>
      <c r="C1064" s="79">
        <v>595435685</v>
      </c>
      <c r="D1064" s="79">
        <v>0</v>
      </c>
      <c r="E1064" s="79" t="s">
        <v>1124</v>
      </c>
      <c r="F1064" s="79" t="s">
        <v>2539</v>
      </c>
      <c r="G1064" s="79" t="s">
        <v>2572</v>
      </c>
      <c r="H1064" s="79" t="s">
        <v>2573</v>
      </c>
      <c r="I1064" s="79"/>
    </row>
    <row r="1065" spans="1:9" ht="15">
      <c r="A1065" s="79" t="s">
        <v>3076</v>
      </c>
      <c r="B1065" s="79" t="s">
        <v>3077</v>
      </c>
      <c r="C1065" s="79">
        <v>595435685</v>
      </c>
      <c r="D1065" s="79">
        <v>0</v>
      </c>
      <c r="E1065" s="79" t="s">
        <v>1124</v>
      </c>
      <c r="F1065" s="79" t="s">
        <v>2539</v>
      </c>
      <c r="G1065" s="79" t="s">
        <v>2568</v>
      </c>
      <c r="H1065" s="79"/>
      <c r="I1065" s="79"/>
    </row>
    <row r="1066" spans="1:9" ht="15">
      <c r="A1066" s="79" t="s">
        <v>3078</v>
      </c>
      <c r="B1066" s="79" t="s">
        <v>3079</v>
      </c>
      <c r="C1066" s="79">
        <v>595436045</v>
      </c>
      <c r="D1066" s="79">
        <v>0</v>
      </c>
      <c r="E1066" s="79" t="s">
        <v>1124</v>
      </c>
      <c r="F1066" s="79" t="s">
        <v>2539</v>
      </c>
      <c r="G1066" s="79" t="s">
        <v>2576</v>
      </c>
      <c r="H1066" s="79"/>
      <c r="I1066" s="79"/>
    </row>
    <row r="1067" spans="1:9" ht="15">
      <c r="A1067" s="79" t="s">
        <v>3078</v>
      </c>
      <c r="B1067" s="79" t="s">
        <v>3079</v>
      </c>
      <c r="C1067" s="79">
        <v>595436045</v>
      </c>
      <c r="D1067" s="79">
        <v>0</v>
      </c>
      <c r="E1067" s="79" t="s">
        <v>1124</v>
      </c>
      <c r="F1067" s="79" t="s">
        <v>2539</v>
      </c>
      <c r="G1067" s="79" t="s">
        <v>2577</v>
      </c>
      <c r="H1067" s="79"/>
      <c r="I1067" s="79"/>
    </row>
    <row r="1068" spans="1:9" ht="15">
      <c r="A1068" s="79" t="s">
        <v>3078</v>
      </c>
      <c r="B1068" s="79" t="s">
        <v>3079</v>
      </c>
      <c r="C1068" s="79">
        <v>595436045</v>
      </c>
      <c r="D1068" s="79">
        <v>0</v>
      </c>
      <c r="E1068" s="79" t="s">
        <v>1124</v>
      </c>
      <c r="F1068" s="79" t="s">
        <v>2539</v>
      </c>
      <c r="G1068" s="79" t="s">
        <v>1131</v>
      </c>
      <c r="H1068" s="79" t="s">
        <v>1132</v>
      </c>
      <c r="I1068" s="79"/>
    </row>
    <row r="1069" spans="1:9" ht="15">
      <c r="A1069" s="79" t="s">
        <v>3078</v>
      </c>
      <c r="B1069" s="79" t="s">
        <v>3079</v>
      </c>
      <c r="C1069" s="79">
        <v>595436045</v>
      </c>
      <c r="D1069" s="79">
        <v>0</v>
      </c>
      <c r="E1069" s="79" t="s">
        <v>1124</v>
      </c>
      <c r="F1069" s="79" t="s">
        <v>2539</v>
      </c>
      <c r="G1069" s="79" t="s">
        <v>2578</v>
      </c>
      <c r="H1069" s="79"/>
      <c r="I1069" s="79"/>
    </row>
    <row r="1070" spans="1:9" ht="15">
      <c r="A1070" s="79" t="s">
        <v>3080</v>
      </c>
      <c r="B1070" s="79" t="s">
        <v>3081</v>
      </c>
      <c r="C1070" s="79">
        <v>595436645</v>
      </c>
      <c r="D1070" s="79">
        <v>0</v>
      </c>
      <c r="E1070" s="79" t="s">
        <v>1124</v>
      </c>
      <c r="F1070" s="79" t="s">
        <v>2539</v>
      </c>
      <c r="G1070" s="79" t="s">
        <v>2546</v>
      </c>
      <c r="H1070" s="79" t="s">
        <v>2547</v>
      </c>
      <c r="I1070" s="79"/>
    </row>
    <row r="1071" spans="1:9" ht="15">
      <c r="A1071" s="79" t="s">
        <v>3080</v>
      </c>
      <c r="B1071" s="79" t="s">
        <v>3081</v>
      </c>
      <c r="C1071" s="79">
        <v>595436645</v>
      </c>
      <c r="D1071" s="79">
        <v>0</v>
      </c>
      <c r="E1071" s="79" t="s">
        <v>1124</v>
      </c>
      <c r="F1071" s="79" t="s">
        <v>2539</v>
      </c>
      <c r="G1071" s="79" t="s">
        <v>2581</v>
      </c>
      <c r="H1071" s="79"/>
      <c r="I1071" s="79"/>
    </row>
    <row r="1072" spans="1:9" ht="15">
      <c r="A1072" s="79" t="s">
        <v>3082</v>
      </c>
      <c r="B1072" s="79" t="s">
        <v>3083</v>
      </c>
      <c r="C1072" s="79">
        <v>595479245</v>
      </c>
      <c r="D1072" s="79">
        <v>0</v>
      </c>
      <c r="E1072" s="79" t="s">
        <v>1124</v>
      </c>
      <c r="F1072" s="79" t="s">
        <v>2539</v>
      </c>
      <c r="G1072" s="79" t="s">
        <v>1130</v>
      </c>
      <c r="H1072" s="79"/>
      <c r="I1072" s="79"/>
    </row>
    <row r="1073" spans="1:9" ht="15">
      <c r="A1073" s="79" t="s">
        <v>3082</v>
      </c>
      <c r="B1073" s="79" t="s">
        <v>3083</v>
      </c>
      <c r="C1073" s="79">
        <v>595479245</v>
      </c>
      <c r="D1073" s="79">
        <v>0</v>
      </c>
      <c r="E1073" s="79" t="s">
        <v>1124</v>
      </c>
      <c r="F1073" s="79" t="s">
        <v>2539</v>
      </c>
      <c r="G1073" s="79" t="s">
        <v>1131</v>
      </c>
      <c r="H1073" s="79" t="s">
        <v>1132</v>
      </c>
      <c r="I1073" s="79"/>
    </row>
    <row r="1074" spans="1:9" ht="15">
      <c r="A1074" s="79" t="s">
        <v>3082</v>
      </c>
      <c r="B1074" s="79" t="s">
        <v>3083</v>
      </c>
      <c r="C1074" s="79">
        <v>595479245</v>
      </c>
      <c r="D1074" s="79">
        <v>0</v>
      </c>
      <c r="E1074" s="79" t="s">
        <v>1124</v>
      </c>
      <c r="F1074" s="79" t="s">
        <v>2539</v>
      </c>
      <c r="G1074" s="79" t="s">
        <v>2578</v>
      </c>
      <c r="H1074" s="79"/>
      <c r="I1074" s="79"/>
    </row>
    <row r="1075" spans="1:9" ht="15">
      <c r="A1075" s="79" t="s">
        <v>3084</v>
      </c>
      <c r="B1075" s="79" t="s">
        <v>3085</v>
      </c>
      <c r="C1075" s="79">
        <v>595479845</v>
      </c>
      <c r="D1075" s="79">
        <v>0</v>
      </c>
      <c r="E1075" s="79" t="s">
        <v>1124</v>
      </c>
      <c r="F1075" s="79" t="s">
        <v>2539</v>
      </c>
      <c r="G1075" s="79" t="s">
        <v>2546</v>
      </c>
      <c r="H1075" s="79" t="s">
        <v>2547</v>
      </c>
      <c r="I1075" s="79"/>
    </row>
    <row r="1076" spans="1:9" ht="15">
      <c r="A1076" s="79" t="s">
        <v>3084</v>
      </c>
      <c r="B1076" s="79" t="s">
        <v>3085</v>
      </c>
      <c r="C1076" s="79">
        <v>595479845</v>
      </c>
      <c r="D1076" s="79">
        <v>0</v>
      </c>
      <c r="E1076" s="79" t="s">
        <v>1124</v>
      </c>
      <c r="F1076" s="79" t="s">
        <v>2539</v>
      </c>
      <c r="G1076" s="79" t="s">
        <v>2581</v>
      </c>
      <c r="H1076" s="79"/>
      <c r="I1076" s="79"/>
    </row>
    <row r="1077" spans="1:9" ht="15">
      <c r="A1077" s="79" t="s">
        <v>3086</v>
      </c>
      <c r="B1077" s="79" t="s">
        <v>3087</v>
      </c>
      <c r="C1077" s="79">
        <v>595522445</v>
      </c>
      <c r="D1077" s="79">
        <v>0</v>
      </c>
      <c r="E1077" s="79" t="s">
        <v>1124</v>
      </c>
      <c r="F1077" s="79" t="s">
        <v>2539</v>
      </c>
      <c r="G1077" s="79" t="s">
        <v>1130</v>
      </c>
      <c r="H1077" s="79"/>
      <c r="I1077" s="79"/>
    </row>
    <row r="1078" spans="1:9" ht="15">
      <c r="A1078" s="79" t="s">
        <v>3086</v>
      </c>
      <c r="B1078" s="79" t="s">
        <v>3087</v>
      </c>
      <c r="C1078" s="79">
        <v>595522445</v>
      </c>
      <c r="D1078" s="79">
        <v>0</v>
      </c>
      <c r="E1078" s="79" t="s">
        <v>1124</v>
      </c>
      <c r="F1078" s="79" t="s">
        <v>2539</v>
      </c>
      <c r="G1078" s="79" t="s">
        <v>1131</v>
      </c>
      <c r="H1078" s="79" t="s">
        <v>1132</v>
      </c>
      <c r="I1078" s="79"/>
    </row>
    <row r="1079" spans="1:9" ht="15">
      <c r="A1079" s="79" t="s">
        <v>3086</v>
      </c>
      <c r="B1079" s="79" t="s">
        <v>3087</v>
      </c>
      <c r="C1079" s="79">
        <v>595522445</v>
      </c>
      <c r="D1079" s="79">
        <v>0</v>
      </c>
      <c r="E1079" s="79" t="s">
        <v>1124</v>
      </c>
      <c r="F1079" s="79" t="s">
        <v>2539</v>
      </c>
      <c r="G1079" s="79" t="s">
        <v>2578</v>
      </c>
      <c r="H1079" s="79"/>
      <c r="I1079" s="79"/>
    </row>
    <row r="1080" spans="1:9" ht="15">
      <c r="A1080" s="79" t="s">
        <v>3088</v>
      </c>
      <c r="B1080" s="79" t="s">
        <v>3089</v>
      </c>
      <c r="C1080" s="79">
        <v>595523045</v>
      </c>
      <c r="D1080" s="79">
        <v>0</v>
      </c>
      <c r="E1080" s="79" t="s">
        <v>1124</v>
      </c>
      <c r="F1080" s="79" t="s">
        <v>2539</v>
      </c>
      <c r="G1080" s="79" t="s">
        <v>2546</v>
      </c>
      <c r="H1080" s="79" t="s">
        <v>2547</v>
      </c>
      <c r="I1080" s="79"/>
    </row>
    <row r="1081" spans="1:9" ht="15">
      <c r="A1081" s="79" t="s">
        <v>3088</v>
      </c>
      <c r="B1081" s="79" t="s">
        <v>3089</v>
      </c>
      <c r="C1081" s="79">
        <v>595523045</v>
      </c>
      <c r="D1081" s="79">
        <v>0</v>
      </c>
      <c r="E1081" s="79" t="s">
        <v>1124</v>
      </c>
      <c r="F1081" s="79" t="s">
        <v>2539</v>
      </c>
      <c r="G1081" s="79" t="s">
        <v>2581</v>
      </c>
      <c r="H1081" s="79"/>
      <c r="I1081" s="79"/>
    </row>
    <row r="1082" spans="1:9" ht="15">
      <c r="A1082" s="79" t="s">
        <v>3090</v>
      </c>
      <c r="B1082" s="79" t="s">
        <v>3091</v>
      </c>
      <c r="C1082" s="79">
        <v>595565645</v>
      </c>
      <c r="D1082" s="79">
        <v>0</v>
      </c>
      <c r="E1082" s="79" t="s">
        <v>1124</v>
      </c>
      <c r="F1082" s="79" t="s">
        <v>2539</v>
      </c>
      <c r="G1082" s="79" t="s">
        <v>1130</v>
      </c>
      <c r="H1082" s="79"/>
      <c r="I1082" s="79"/>
    </row>
    <row r="1083" spans="1:9" ht="15">
      <c r="A1083" s="79" t="s">
        <v>3090</v>
      </c>
      <c r="B1083" s="79" t="s">
        <v>3091</v>
      </c>
      <c r="C1083" s="79">
        <v>595565645</v>
      </c>
      <c r="D1083" s="79">
        <v>0</v>
      </c>
      <c r="E1083" s="79" t="s">
        <v>1124</v>
      </c>
      <c r="F1083" s="79" t="s">
        <v>2539</v>
      </c>
      <c r="G1083" s="79" t="s">
        <v>1131</v>
      </c>
      <c r="H1083" s="79" t="s">
        <v>1132</v>
      </c>
      <c r="I1083" s="79"/>
    </row>
    <row r="1084" spans="1:9" ht="15">
      <c r="A1084" s="79" t="s">
        <v>3090</v>
      </c>
      <c r="B1084" s="79" t="s">
        <v>3091</v>
      </c>
      <c r="C1084" s="79">
        <v>595565645</v>
      </c>
      <c r="D1084" s="79">
        <v>0</v>
      </c>
      <c r="E1084" s="79" t="s">
        <v>1124</v>
      </c>
      <c r="F1084" s="79" t="s">
        <v>2539</v>
      </c>
      <c r="G1084" s="79" t="s">
        <v>2578</v>
      </c>
      <c r="H1084" s="79"/>
      <c r="I1084" s="79"/>
    </row>
    <row r="1085" spans="1:9" ht="15">
      <c r="A1085" s="79" t="s">
        <v>3092</v>
      </c>
      <c r="B1085" s="79" t="s">
        <v>3093</v>
      </c>
      <c r="C1085" s="79">
        <v>595566245</v>
      </c>
      <c r="D1085" s="79">
        <v>0</v>
      </c>
      <c r="E1085" s="79" t="s">
        <v>1124</v>
      </c>
      <c r="F1085" s="79" t="s">
        <v>2539</v>
      </c>
      <c r="G1085" s="79" t="s">
        <v>2546</v>
      </c>
      <c r="H1085" s="79" t="s">
        <v>2547</v>
      </c>
      <c r="I1085" s="79"/>
    </row>
    <row r="1086" spans="1:9" ht="15">
      <c r="A1086" s="79" t="s">
        <v>3092</v>
      </c>
      <c r="B1086" s="79" t="s">
        <v>3093</v>
      </c>
      <c r="C1086" s="79">
        <v>595566245</v>
      </c>
      <c r="D1086" s="79">
        <v>0</v>
      </c>
      <c r="E1086" s="79" t="s">
        <v>1124</v>
      </c>
      <c r="F1086" s="79" t="s">
        <v>2539</v>
      </c>
      <c r="G1086" s="79" t="s">
        <v>2581</v>
      </c>
      <c r="H1086" s="79"/>
      <c r="I1086" s="79"/>
    </row>
    <row r="1087" spans="1:9" ht="15">
      <c r="A1087" s="79" t="s">
        <v>3094</v>
      </c>
      <c r="B1087" s="79" t="s">
        <v>3095</v>
      </c>
      <c r="C1087" s="79">
        <v>595608845</v>
      </c>
      <c r="D1087" s="79">
        <v>0</v>
      </c>
      <c r="E1087" s="79" t="s">
        <v>1124</v>
      </c>
      <c r="F1087" s="79" t="s">
        <v>2539</v>
      </c>
      <c r="G1087" s="79" t="s">
        <v>1130</v>
      </c>
      <c r="H1087" s="79"/>
      <c r="I1087" s="79"/>
    </row>
    <row r="1088" spans="1:9" ht="15">
      <c r="A1088" s="79" t="s">
        <v>3094</v>
      </c>
      <c r="B1088" s="79" t="s">
        <v>3095</v>
      </c>
      <c r="C1088" s="79">
        <v>595608845</v>
      </c>
      <c r="D1088" s="79">
        <v>0</v>
      </c>
      <c r="E1088" s="79" t="s">
        <v>1124</v>
      </c>
      <c r="F1088" s="79" t="s">
        <v>2539</v>
      </c>
      <c r="G1088" s="79" t="s">
        <v>1131</v>
      </c>
      <c r="H1088" s="79" t="s">
        <v>1132</v>
      </c>
      <c r="I1088" s="79"/>
    </row>
    <row r="1089" spans="1:9" ht="15">
      <c r="A1089" s="79" t="s">
        <v>3094</v>
      </c>
      <c r="B1089" s="79" t="s">
        <v>3095</v>
      </c>
      <c r="C1089" s="79">
        <v>595608845</v>
      </c>
      <c r="D1089" s="79">
        <v>0</v>
      </c>
      <c r="E1089" s="79" t="s">
        <v>1124</v>
      </c>
      <c r="F1089" s="79" t="s">
        <v>2539</v>
      </c>
      <c r="G1089" s="79" t="s">
        <v>2578</v>
      </c>
      <c r="H1089" s="79"/>
      <c r="I1089" s="79"/>
    </row>
    <row r="1090" spans="1:9" ht="15">
      <c r="A1090" s="79" t="s">
        <v>3096</v>
      </c>
      <c r="B1090" s="79" t="s">
        <v>3097</v>
      </c>
      <c r="C1090" s="79">
        <v>595609445</v>
      </c>
      <c r="D1090" s="79">
        <v>0</v>
      </c>
      <c r="E1090" s="79" t="s">
        <v>1124</v>
      </c>
      <c r="F1090" s="79" t="s">
        <v>2539</v>
      </c>
      <c r="G1090" s="79" t="s">
        <v>2546</v>
      </c>
      <c r="H1090" s="79" t="s">
        <v>2547</v>
      </c>
      <c r="I1090" s="79"/>
    </row>
    <row r="1091" spans="1:9" ht="15">
      <c r="A1091" s="79" t="s">
        <v>3096</v>
      </c>
      <c r="B1091" s="79" t="s">
        <v>3097</v>
      </c>
      <c r="C1091" s="79">
        <v>595609445</v>
      </c>
      <c r="D1091" s="79">
        <v>0</v>
      </c>
      <c r="E1091" s="79" t="s">
        <v>1124</v>
      </c>
      <c r="F1091" s="79" t="s">
        <v>2539</v>
      </c>
      <c r="G1091" s="79" t="s">
        <v>2581</v>
      </c>
      <c r="H1091" s="79"/>
      <c r="I1091" s="79"/>
    </row>
    <row r="1092" spans="1:9" ht="15">
      <c r="A1092" s="79" t="s">
        <v>3098</v>
      </c>
      <c r="B1092" s="79" t="s">
        <v>3099</v>
      </c>
      <c r="C1092" s="79">
        <v>595652045</v>
      </c>
      <c r="D1092" s="79">
        <v>0</v>
      </c>
      <c r="E1092" s="79" t="s">
        <v>1124</v>
      </c>
      <c r="F1092" s="79" t="s">
        <v>2539</v>
      </c>
      <c r="G1092" s="79" t="s">
        <v>1130</v>
      </c>
      <c r="H1092" s="79"/>
      <c r="I1092" s="79"/>
    </row>
    <row r="1093" spans="1:9" ht="15">
      <c r="A1093" s="79" t="s">
        <v>3098</v>
      </c>
      <c r="B1093" s="79" t="s">
        <v>3099</v>
      </c>
      <c r="C1093" s="79">
        <v>595652045</v>
      </c>
      <c r="D1093" s="79">
        <v>0</v>
      </c>
      <c r="E1093" s="79" t="s">
        <v>1124</v>
      </c>
      <c r="F1093" s="79" t="s">
        <v>2539</v>
      </c>
      <c r="G1093" s="79" t="s">
        <v>1131</v>
      </c>
      <c r="H1093" s="79" t="s">
        <v>1132</v>
      </c>
      <c r="I1093" s="79"/>
    </row>
    <row r="1094" spans="1:9" ht="15">
      <c r="A1094" s="79" t="s">
        <v>3098</v>
      </c>
      <c r="B1094" s="79" t="s">
        <v>3099</v>
      </c>
      <c r="C1094" s="79">
        <v>595652045</v>
      </c>
      <c r="D1094" s="79">
        <v>0</v>
      </c>
      <c r="E1094" s="79" t="s">
        <v>1124</v>
      </c>
      <c r="F1094" s="79" t="s">
        <v>2539</v>
      </c>
      <c r="G1094" s="79" t="s">
        <v>2578</v>
      </c>
      <c r="H1094" s="79"/>
      <c r="I1094" s="79"/>
    </row>
    <row r="1095" spans="1:9" ht="15">
      <c r="A1095" s="79" t="s">
        <v>3100</v>
      </c>
      <c r="B1095" s="79" t="s">
        <v>3101</v>
      </c>
      <c r="C1095" s="79">
        <v>595652645</v>
      </c>
      <c r="D1095" s="79">
        <v>0</v>
      </c>
      <c r="E1095" s="79" t="s">
        <v>1124</v>
      </c>
      <c r="F1095" s="79" t="s">
        <v>2539</v>
      </c>
      <c r="G1095" s="79" t="s">
        <v>2546</v>
      </c>
      <c r="H1095" s="79" t="s">
        <v>2547</v>
      </c>
      <c r="I1095" s="79"/>
    </row>
    <row r="1096" spans="1:9" ht="15">
      <c r="A1096" s="79" t="s">
        <v>3100</v>
      </c>
      <c r="B1096" s="79" t="s">
        <v>3101</v>
      </c>
      <c r="C1096" s="79">
        <v>595652645</v>
      </c>
      <c r="D1096" s="79">
        <v>0</v>
      </c>
      <c r="E1096" s="79" t="s">
        <v>1124</v>
      </c>
      <c r="F1096" s="79" t="s">
        <v>2539</v>
      </c>
      <c r="G1096" s="79" t="s">
        <v>2581</v>
      </c>
      <c r="H1096" s="79"/>
      <c r="I1096" s="79"/>
    </row>
    <row r="1097" spans="1:9" ht="15">
      <c r="A1097" s="79" t="s">
        <v>3102</v>
      </c>
      <c r="B1097" s="79" t="s">
        <v>3103</v>
      </c>
      <c r="C1097" s="79">
        <v>595695245</v>
      </c>
      <c r="D1097" s="79">
        <v>0</v>
      </c>
      <c r="E1097" s="79" t="s">
        <v>1124</v>
      </c>
      <c r="F1097" s="79" t="s">
        <v>2539</v>
      </c>
      <c r="G1097" s="79" t="s">
        <v>1130</v>
      </c>
      <c r="H1097" s="79"/>
      <c r="I1097" s="79"/>
    </row>
    <row r="1098" spans="1:9" ht="15">
      <c r="A1098" s="79" t="s">
        <v>3102</v>
      </c>
      <c r="B1098" s="79" t="s">
        <v>3103</v>
      </c>
      <c r="C1098" s="79">
        <v>595695245</v>
      </c>
      <c r="D1098" s="79">
        <v>0</v>
      </c>
      <c r="E1098" s="79" t="s">
        <v>1124</v>
      </c>
      <c r="F1098" s="79" t="s">
        <v>2539</v>
      </c>
      <c r="G1098" s="79" t="s">
        <v>1131</v>
      </c>
      <c r="H1098" s="79" t="s">
        <v>1132</v>
      </c>
      <c r="I1098" s="79"/>
    </row>
    <row r="1099" spans="1:9" ht="15">
      <c r="A1099" s="79" t="s">
        <v>3102</v>
      </c>
      <c r="B1099" s="79" t="s">
        <v>3103</v>
      </c>
      <c r="C1099" s="79">
        <v>595695245</v>
      </c>
      <c r="D1099" s="79">
        <v>0</v>
      </c>
      <c r="E1099" s="79" t="s">
        <v>1124</v>
      </c>
      <c r="F1099" s="79" t="s">
        <v>2539</v>
      </c>
      <c r="G1099" s="79" t="s">
        <v>2578</v>
      </c>
      <c r="H1099" s="79"/>
      <c r="I1099" s="79"/>
    </row>
    <row r="1100" spans="1:9" ht="15">
      <c r="A1100" s="79" t="s">
        <v>3104</v>
      </c>
      <c r="B1100" s="79" t="s">
        <v>3105</v>
      </c>
      <c r="C1100" s="79">
        <v>595695845</v>
      </c>
      <c r="D1100" s="79">
        <v>0</v>
      </c>
      <c r="E1100" s="79" t="s">
        <v>1124</v>
      </c>
      <c r="F1100" s="79" t="s">
        <v>2539</v>
      </c>
      <c r="G1100" s="79" t="s">
        <v>2546</v>
      </c>
      <c r="H1100" s="79" t="s">
        <v>2547</v>
      </c>
      <c r="I1100" s="79"/>
    </row>
    <row r="1101" spans="1:9" ht="15">
      <c r="A1101" s="79" t="s">
        <v>3104</v>
      </c>
      <c r="B1101" s="79" t="s">
        <v>3105</v>
      </c>
      <c r="C1101" s="79">
        <v>595695845</v>
      </c>
      <c r="D1101" s="79">
        <v>0</v>
      </c>
      <c r="E1101" s="79" t="s">
        <v>1124</v>
      </c>
      <c r="F1101" s="79" t="s">
        <v>2539</v>
      </c>
      <c r="G1101" s="79" t="s">
        <v>2581</v>
      </c>
      <c r="H1101" s="79"/>
      <c r="I1101" s="79"/>
    </row>
    <row r="1102" spans="1:9" ht="15">
      <c r="A1102" s="79" t="s">
        <v>3106</v>
      </c>
      <c r="B1102" s="79" t="s">
        <v>3107</v>
      </c>
      <c r="C1102" s="79">
        <v>595738445</v>
      </c>
      <c r="D1102" s="79">
        <v>0</v>
      </c>
      <c r="E1102" s="79" t="s">
        <v>1124</v>
      </c>
      <c r="F1102" s="79" t="s">
        <v>2539</v>
      </c>
      <c r="G1102" s="79" t="s">
        <v>1130</v>
      </c>
      <c r="H1102" s="79"/>
      <c r="I1102" s="79"/>
    </row>
    <row r="1103" spans="1:9" ht="15">
      <c r="A1103" s="79" t="s">
        <v>3106</v>
      </c>
      <c r="B1103" s="79" t="s">
        <v>3107</v>
      </c>
      <c r="C1103" s="79">
        <v>595738445</v>
      </c>
      <c r="D1103" s="79">
        <v>0</v>
      </c>
      <c r="E1103" s="79" t="s">
        <v>1124</v>
      </c>
      <c r="F1103" s="79" t="s">
        <v>2539</v>
      </c>
      <c r="G1103" s="79" t="s">
        <v>1131</v>
      </c>
      <c r="H1103" s="79" t="s">
        <v>1132</v>
      </c>
      <c r="I1103" s="79"/>
    </row>
    <row r="1104" spans="1:9" ht="15">
      <c r="A1104" s="79" t="s">
        <v>3106</v>
      </c>
      <c r="B1104" s="79" t="s">
        <v>3107</v>
      </c>
      <c r="C1104" s="79">
        <v>595738445</v>
      </c>
      <c r="D1104" s="79">
        <v>0</v>
      </c>
      <c r="E1104" s="79" t="s">
        <v>1124</v>
      </c>
      <c r="F1104" s="79" t="s">
        <v>2539</v>
      </c>
      <c r="G1104" s="79" t="s">
        <v>2578</v>
      </c>
      <c r="H1104" s="79"/>
      <c r="I1104" s="79"/>
    </row>
    <row r="1105" spans="1:9" ht="15">
      <c r="A1105" s="79" t="s">
        <v>3108</v>
      </c>
      <c r="B1105" s="79" t="s">
        <v>3109</v>
      </c>
      <c r="C1105" s="79">
        <v>595739045</v>
      </c>
      <c r="D1105" s="79">
        <v>0</v>
      </c>
      <c r="E1105" s="79" t="s">
        <v>1124</v>
      </c>
      <c r="F1105" s="79" t="s">
        <v>2539</v>
      </c>
      <c r="G1105" s="79" t="s">
        <v>2546</v>
      </c>
      <c r="H1105" s="79" t="s">
        <v>2547</v>
      </c>
      <c r="I1105" s="79"/>
    </row>
    <row r="1106" spans="1:9" ht="15">
      <c r="A1106" s="79" t="s">
        <v>3108</v>
      </c>
      <c r="B1106" s="79" t="s">
        <v>3109</v>
      </c>
      <c r="C1106" s="79">
        <v>595739045</v>
      </c>
      <c r="D1106" s="79">
        <v>0</v>
      </c>
      <c r="E1106" s="79" t="s">
        <v>1124</v>
      </c>
      <c r="F1106" s="79" t="s">
        <v>2539</v>
      </c>
      <c r="G1106" s="79" t="s">
        <v>2581</v>
      </c>
      <c r="H1106" s="79"/>
      <c r="I1106" s="79"/>
    </row>
    <row r="1107" spans="1:9" ht="15">
      <c r="A1107" s="79" t="s">
        <v>3110</v>
      </c>
      <c r="B1107" s="79" t="s">
        <v>3111</v>
      </c>
      <c r="C1107" s="79">
        <v>595781645</v>
      </c>
      <c r="D1107" s="79">
        <v>0</v>
      </c>
      <c r="E1107" s="79" t="s">
        <v>1124</v>
      </c>
      <c r="F1107" s="79" t="s">
        <v>2539</v>
      </c>
      <c r="G1107" s="79" t="s">
        <v>1130</v>
      </c>
      <c r="H1107" s="79"/>
      <c r="I1107" s="79"/>
    </row>
    <row r="1108" spans="1:9" ht="15">
      <c r="A1108" s="79" t="s">
        <v>3110</v>
      </c>
      <c r="B1108" s="79" t="s">
        <v>3111</v>
      </c>
      <c r="C1108" s="79">
        <v>595781645</v>
      </c>
      <c r="D1108" s="79">
        <v>0</v>
      </c>
      <c r="E1108" s="79" t="s">
        <v>1124</v>
      </c>
      <c r="F1108" s="79" t="s">
        <v>2539</v>
      </c>
      <c r="G1108" s="79" t="s">
        <v>1131</v>
      </c>
      <c r="H1108" s="79" t="s">
        <v>1132</v>
      </c>
      <c r="I1108" s="79"/>
    </row>
    <row r="1109" spans="1:9" ht="15">
      <c r="A1109" s="79" t="s">
        <v>3110</v>
      </c>
      <c r="B1109" s="79" t="s">
        <v>3111</v>
      </c>
      <c r="C1109" s="79">
        <v>595781645</v>
      </c>
      <c r="D1109" s="79">
        <v>0</v>
      </c>
      <c r="E1109" s="79" t="s">
        <v>1124</v>
      </c>
      <c r="F1109" s="79" t="s">
        <v>2539</v>
      </c>
      <c r="G1109" s="79" t="s">
        <v>2578</v>
      </c>
      <c r="H1109" s="79"/>
      <c r="I1109" s="79"/>
    </row>
    <row r="1110" spans="1:9" ht="15">
      <c r="A1110" s="79" t="s">
        <v>3112</v>
      </c>
      <c r="B1110" s="79" t="s">
        <v>3113</v>
      </c>
      <c r="C1110" s="79">
        <v>595782245</v>
      </c>
      <c r="D1110" s="79">
        <v>0</v>
      </c>
      <c r="E1110" s="79" t="s">
        <v>1124</v>
      </c>
      <c r="F1110" s="79" t="s">
        <v>2539</v>
      </c>
      <c r="G1110" s="79" t="s">
        <v>2546</v>
      </c>
      <c r="H1110" s="79" t="s">
        <v>2547</v>
      </c>
      <c r="I1110" s="79"/>
    </row>
    <row r="1111" spans="1:9" ht="15">
      <c r="A1111" s="79" t="s">
        <v>3112</v>
      </c>
      <c r="B1111" s="79" t="s">
        <v>3113</v>
      </c>
      <c r="C1111" s="79">
        <v>595782245</v>
      </c>
      <c r="D1111" s="79">
        <v>0</v>
      </c>
      <c r="E1111" s="79" t="s">
        <v>1124</v>
      </c>
      <c r="F1111" s="79" t="s">
        <v>2539</v>
      </c>
      <c r="G1111" s="79" t="s">
        <v>2581</v>
      </c>
      <c r="H1111" s="79"/>
      <c r="I1111" s="79"/>
    </row>
    <row r="1112" spans="1:9" ht="15">
      <c r="A1112" s="79" t="s">
        <v>3114</v>
      </c>
      <c r="B1112" s="79" t="s">
        <v>3115</v>
      </c>
      <c r="C1112" s="79">
        <v>595824845</v>
      </c>
      <c r="D1112" s="79">
        <v>0</v>
      </c>
      <c r="E1112" s="79" t="s">
        <v>1124</v>
      </c>
      <c r="F1112" s="79" t="s">
        <v>2539</v>
      </c>
      <c r="G1112" s="79" t="s">
        <v>1130</v>
      </c>
      <c r="H1112" s="79"/>
      <c r="I1112" s="79"/>
    </row>
    <row r="1113" spans="1:9" ht="15">
      <c r="A1113" s="79" t="s">
        <v>3114</v>
      </c>
      <c r="B1113" s="79" t="s">
        <v>3115</v>
      </c>
      <c r="C1113" s="79">
        <v>595824845</v>
      </c>
      <c r="D1113" s="79">
        <v>0</v>
      </c>
      <c r="E1113" s="79" t="s">
        <v>1124</v>
      </c>
      <c r="F1113" s="79" t="s">
        <v>2539</v>
      </c>
      <c r="G1113" s="79" t="s">
        <v>1131</v>
      </c>
      <c r="H1113" s="79" t="s">
        <v>1132</v>
      </c>
      <c r="I1113" s="79"/>
    </row>
    <row r="1114" spans="1:9" ht="15">
      <c r="A1114" s="79" t="s">
        <v>3114</v>
      </c>
      <c r="B1114" s="79" t="s">
        <v>3115</v>
      </c>
      <c r="C1114" s="79">
        <v>595824845</v>
      </c>
      <c r="D1114" s="79">
        <v>0</v>
      </c>
      <c r="E1114" s="79" t="s">
        <v>1124</v>
      </c>
      <c r="F1114" s="79" t="s">
        <v>2539</v>
      </c>
      <c r="G1114" s="79" t="s">
        <v>2578</v>
      </c>
      <c r="H1114" s="79"/>
      <c r="I1114" s="79"/>
    </row>
    <row r="1115" spans="1:9" ht="15">
      <c r="A1115" s="79" t="s">
        <v>3116</v>
      </c>
      <c r="B1115" s="79" t="s">
        <v>3117</v>
      </c>
      <c r="C1115" s="79">
        <v>595825445</v>
      </c>
      <c r="D1115" s="79">
        <v>0</v>
      </c>
      <c r="E1115" s="79" t="s">
        <v>1124</v>
      </c>
      <c r="F1115" s="79" t="s">
        <v>2539</v>
      </c>
      <c r="G1115" s="79" t="s">
        <v>2546</v>
      </c>
      <c r="H1115" s="79" t="s">
        <v>2547</v>
      </c>
      <c r="I1115" s="79"/>
    </row>
    <row r="1116" spans="1:9" ht="15">
      <c r="A1116" s="79" t="s">
        <v>3116</v>
      </c>
      <c r="B1116" s="79" t="s">
        <v>3117</v>
      </c>
      <c r="C1116" s="79">
        <v>595825445</v>
      </c>
      <c r="D1116" s="79">
        <v>0</v>
      </c>
      <c r="E1116" s="79" t="s">
        <v>1124</v>
      </c>
      <c r="F1116" s="79" t="s">
        <v>2539</v>
      </c>
      <c r="G1116" s="79" t="s">
        <v>2581</v>
      </c>
      <c r="H1116" s="79"/>
      <c r="I1116" s="79"/>
    </row>
    <row r="1117" spans="1:9" ht="15">
      <c r="A1117" s="79" t="s">
        <v>3118</v>
      </c>
      <c r="B1117" s="79" t="s">
        <v>3119</v>
      </c>
      <c r="C1117" s="79">
        <v>595868045</v>
      </c>
      <c r="D1117" s="79">
        <v>0</v>
      </c>
      <c r="E1117" s="79" t="s">
        <v>1124</v>
      </c>
      <c r="F1117" s="79" t="s">
        <v>2539</v>
      </c>
      <c r="G1117" s="79" t="s">
        <v>1130</v>
      </c>
      <c r="H1117" s="79"/>
      <c r="I1117" s="79"/>
    </row>
    <row r="1118" spans="1:9" ht="15">
      <c r="A1118" s="79" t="s">
        <v>3118</v>
      </c>
      <c r="B1118" s="79" t="s">
        <v>3119</v>
      </c>
      <c r="C1118" s="79">
        <v>595868045</v>
      </c>
      <c r="D1118" s="79">
        <v>0</v>
      </c>
      <c r="E1118" s="79" t="s">
        <v>1124</v>
      </c>
      <c r="F1118" s="79" t="s">
        <v>2539</v>
      </c>
      <c r="G1118" s="79" t="s">
        <v>1131</v>
      </c>
      <c r="H1118" s="79" t="s">
        <v>1132</v>
      </c>
      <c r="I1118" s="79"/>
    </row>
    <row r="1119" spans="1:9" ht="15">
      <c r="A1119" s="79" t="s">
        <v>3118</v>
      </c>
      <c r="B1119" s="79" t="s">
        <v>3119</v>
      </c>
      <c r="C1119" s="79">
        <v>595868045</v>
      </c>
      <c r="D1119" s="79">
        <v>0</v>
      </c>
      <c r="E1119" s="79" t="s">
        <v>1124</v>
      </c>
      <c r="F1119" s="79" t="s">
        <v>2539</v>
      </c>
      <c r="G1119" s="79" t="s">
        <v>2578</v>
      </c>
      <c r="H1119" s="79"/>
      <c r="I1119" s="79"/>
    </row>
    <row r="1120" spans="1:9" ht="15">
      <c r="A1120" s="79" t="s">
        <v>3120</v>
      </c>
      <c r="B1120" s="79" t="s">
        <v>3121</v>
      </c>
      <c r="C1120" s="79">
        <v>595868645</v>
      </c>
      <c r="D1120" s="79">
        <v>0</v>
      </c>
      <c r="E1120" s="79" t="s">
        <v>1124</v>
      </c>
      <c r="F1120" s="79" t="s">
        <v>2539</v>
      </c>
      <c r="G1120" s="79" t="s">
        <v>2546</v>
      </c>
      <c r="H1120" s="79" t="s">
        <v>2547</v>
      </c>
      <c r="I1120" s="79"/>
    </row>
    <row r="1121" spans="1:9" ht="15">
      <c r="A1121" s="79" t="s">
        <v>3120</v>
      </c>
      <c r="B1121" s="79" t="s">
        <v>3121</v>
      </c>
      <c r="C1121" s="79">
        <v>595868645</v>
      </c>
      <c r="D1121" s="79">
        <v>0</v>
      </c>
      <c r="E1121" s="79" t="s">
        <v>1124</v>
      </c>
      <c r="F1121" s="79" t="s">
        <v>2539</v>
      </c>
      <c r="G1121" s="79" t="s">
        <v>2581</v>
      </c>
      <c r="H1121" s="79"/>
      <c r="I1121" s="79"/>
    </row>
    <row r="1122" spans="1:9" ht="15">
      <c r="A1122" s="79" t="s">
        <v>3122</v>
      </c>
      <c r="B1122" s="79" t="s">
        <v>3123</v>
      </c>
      <c r="C1122" s="79">
        <v>595911245</v>
      </c>
      <c r="D1122" s="79">
        <v>0</v>
      </c>
      <c r="E1122" s="79" t="s">
        <v>1124</v>
      </c>
      <c r="F1122" s="79" t="s">
        <v>2539</v>
      </c>
      <c r="G1122" s="79" t="s">
        <v>1130</v>
      </c>
      <c r="H1122" s="79"/>
      <c r="I1122" s="79"/>
    </row>
    <row r="1123" spans="1:9" ht="15">
      <c r="A1123" s="79" t="s">
        <v>3122</v>
      </c>
      <c r="B1123" s="79" t="s">
        <v>3123</v>
      </c>
      <c r="C1123" s="79">
        <v>595911245</v>
      </c>
      <c r="D1123" s="79">
        <v>0</v>
      </c>
      <c r="E1123" s="79" t="s">
        <v>1124</v>
      </c>
      <c r="F1123" s="79" t="s">
        <v>2539</v>
      </c>
      <c r="G1123" s="79" t="s">
        <v>1131</v>
      </c>
      <c r="H1123" s="79" t="s">
        <v>1132</v>
      </c>
      <c r="I1123" s="79"/>
    </row>
    <row r="1124" spans="1:9" ht="15">
      <c r="A1124" s="79" t="s">
        <v>3122</v>
      </c>
      <c r="B1124" s="79" t="s">
        <v>3123</v>
      </c>
      <c r="C1124" s="79">
        <v>595911245</v>
      </c>
      <c r="D1124" s="79">
        <v>0</v>
      </c>
      <c r="E1124" s="79" t="s">
        <v>1124</v>
      </c>
      <c r="F1124" s="79" t="s">
        <v>2539</v>
      </c>
      <c r="G1124" s="79" t="s">
        <v>2578</v>
      </c>
      <c r="H1124" s="79"/>
      <c r="I1124" s="79"/>
    </row>
    <row r="1125" spans="1:9" ht="15">
      <c r="A1125" s="79" t="s">
        <v>3124</v>
      </c>
      <c r="B1125" s="79" t="s">
        <v>3125</v>
      </c>
      <c r="C1125" s="79">
        <v>595911845</v>
      </c>
      <c r="D1125" s="79">
        <v>0</v>
      </c>
      <c r="E1125" s="79" t="s">
        <v>1124</v>
      </c>
      <c r="F1125" s="79" t="s">
        <v>2539</v>
      </c>
      <c r="G1125" s="79" t="s">
        <v>2546</v>
      </c>
      <c r="H1125" s="79" t="s">
        <v>2547</v>
      </c>
      <c r="I1125" s="79"/>
    </row>
    <row r="1126" spans="1:9" ht="15">
      <c r="A1126" s="79" t="s">
        <v>3124</v>
      </c>
      <c r="B1126" s="79" t="s">
        <v>3125</v>
      </c>
      <c r="C1126" s="79">
        <v>595911845</v>
      </c>
      <c r="D1126" s="79">
        <v>0</v>
      </c>
      <c r="E1126" s="79" t="s">
        <v>1124</v>
      </c>
      <c r="F1126" s="79" t="s">
        <v>2539</v>
      </c>
      <c r="G1126" s="79" t="s">
        <v>2581</v>
      </c>
      <c r="H1126" s="79"/>
      <c r="I1126" s="79"/>
    </row>
    <row r="1127" spans="1:9" ht="15">
      <c r="A1127" s="79" t="s">
        <v>3126</v>
      </c>
      <c r="B1127" s="79" t="s">
        <v>3127</v>
      </c>
      <c r="C1127" s="79">
        <v>595954445</v>
      </c>
      <c r="D1127" s="79">
        <v>0</v>
      </c>
      <c r="E1127" s="79" t="s">
        <v>1124</v>
      </c>
      <c r="F1127" s="79" t="s">
        <v>2539</v>
      </c>
      <c r="G1127" s="79" t="s">
        <v>1130</v>
      </c>
      <c r="H1127" s="79"/>
      <c r="I1127" s="79"/>
    </row>
    <row r="1128" spans="1:9" ht="15">
      <c r="A1128" s="79" t="s">
        <v>3126</v>
      </c>
      <c r="B1128" s="79" t="s">
        <v>3127</v>
      </c>
      <c r="C1128" s="79">
        <v>595954445</v>
      </c>
      <c r="D1128" s="79">
        <v>0</v>
      </c>
      <c r="E1128" s="79" t="s">
        <v>1124</v>
      </c>
      <c r="F1128" s="79" t="s">
        <v>2539</v>
      </c>
      <c r="G1128" s="79" t="s">
        <v>1131</v>
      </c>
      <c r="H1128" s="79" t="s">
        <v>1132</v>
      </c>
      <c r="I1128" s="79"/>
    </row>
    <row r="1129" spans="1:9" ht="15">
      <c r="A1129" s="79" t="s">
        <v>3126</v>
      </c>
      <c r="B1129" s="79" t="s">
        <v>3127</v>
      </c>
      <c r="C1129" s="79">
        <v>595954445</v>
      </c>
      <c r="D1129" s="79">
        <v>0</v>
      </c>
      <c r="E1129" s="79" t="s">
        <v>1124</v>
      </c>
      <c r="F1129" s="79" t="s">
        <v>2539</v>
      </c>
      <c r="G1129" s="79" t="s">
        <v>2578</v>
      </c>
      <c r="H1129" s="79"/>
      <c r="I1129" s="79"/>
    </row>
    <row r="1130" spans="1:9" ht="15">
      <c r="A1130" s="79" t="s">
        <v>3128</v>
      </c>
      <c r="B1130" s="79" t="s">
        <v>3129</v>
      </c>
      <c r="C1130" s="79">
        <v>595955045</v>
      </c>
      <c r="D1130" s="79">
        <v>0</v>
      </c>
      <c r="E1130" s="79" t="s">
        <v>1124</v>
      </c>
      <c r="F1130" s="79" t="s">
        <v>2539</v>
      </c>
      <c r="G1130" s="79" t="s">
        <v>2546</v>
      </c>
      <c r="H1130" s="79" t="s">
        <v>2547</v>
      </c>
      <c r="I1130" s="79"/>
    </row>
    <row r="1131" spans="1:9" ht="15">
      <c r="A1131" s="79" t="s">
        <v>3128</v>
      </c>
      <c r="B1131" s="79" t="s">
        <v>3129</v>
      </c>
      <c r="C1131" s="79">
        <v>595955045</v>
      </c>
      <c r="D1131" s="79">
        <v>0</v>
      </c>
      <c r="E1131" s="79" t="s">
        <v>1124</v>
      </c>
      <c r="F1131" s="79" t="s">
        <v>2539</v>
      </c>
      <c r="G1131" s="79" t="s">
        <v>2581</v>
      </c>
      <c r="H1131" s="79"/>
      <c r="I1131" s="79"/>
    </row>
    <row r="1132" spans="1:9" ht="15">
      <c r="A1132" s="79" t="s">
        <v>3130</v>
      </c>
      <c r="B1132" s="79" t="s">
        <v>3131</v>
      </c>
      <c r="C1132" s="79">
        <v>595997645</v>
      </c>
      <c r="D1132" s="79">
        <v>0</v>
      </c>
      <c r="E1132" s="79" t="s">
        <v>1124</v>
      </c>
      <c r="F1132" s="79" t="s">
        <v>2539</v>
      </c>
      <c r="G1132" s="79" t="s">
        <v>1130</v>
      </c>
      <c r="H1132" s="79"/>
      <c r="I1132" s="79"/>
    </row>
    <row r="1133" spans="1:9" ht="15">
      <c r="A1133" s="79" t="s">
        <v>3130</v>
      </c>
      <c r="B1133" s="79" t="s">
        <v>3131</v>
      </c>
      <c r="C1133" s="79">
        <v>595997645</v>
      </c>
      <c r="D1133" s="79">
        <v>0</v>
      </c>
      <c r="E1133" s="79" t="s">
        <v>1124</v>
      </c>
      <c r="F1133" s="79" t="s">
        <v>2539</v>
      </c>
      <c r="G1133" s="79" t="s">
        <v>1131</v>
      </c>
      <c r="H1133" s="79" t="s">
        <v>1132</v>
      </c>
      <c r="I1133" s="79"/>
    </row>
    <row r="1134" spans="1:9" ht="15">
      <c r="A1134" s="79" t="s">
        <v>3130</v>
      </c>
      <c r="B1134" s="79" t="s">
        <v>3131</v>
      </c>
      <c r="C1134" s="79">
        <v>595997645</v>
      </c>
      <c r="D1134" s="79">
        <v>0</v>
      </c>
      <c r="E1134" s="79" t="s">
        <v>1124</v>
      </c>
      <c r="F1134" s="79" t="s">
        <v>2539</v>
      </c>
      <c r="G1134" s="79" t="s">
        <v>2578</v>
      </c>
      <c r="H1134" s="79"/>
      <c r="I1134" s="79"/>
    </row>
    <row r="1135" spans="1:9" ht="15">
      <c r="A1135" s="79" t="s">
        <v>3132</v>
      </c>
      <c r="B1135" s="79" t="s">
        <v>3133</v>
      </c>
      <c r="C1135" s="79">
        <v>595998245</v>
      </c>
      <c r="D1135" s="79">
        <v>0</v>
      </c>
      <c r="E1135" s="79" t="s">
        <v>1124</v>
      </c>
      <c r="F1135" s="79" t="s">
        <v>2539</v>
      </c>
      <c r="G1135" s="79" t="s">
        <v>2546</v>
      </c>
      <c r="H1135" s="79" t="s">
        <v>2547</v>
      </c>
      <c r="I1135" s="79"/>
    </row>
    <row r="1136" spans="1:9" ht="15">
      <c r="A1136" s="79" t="s">
        <v>3132</v>
      </c>
      <c r="B1136" s="79" t="s">
        <v>3133</v>
      </c>
      <c r="C1136" s="79">
        <v>595998245</v>
      </c>
      <c r="D1136" s="79">
        <v>0</v>
      </c>
      <c r="E1136" s="79" t="s">
        <v>1124</v>
      </c>
      <c r="F1136" s="79" t="s">
        <v>2539</v>
      </c>
      <c r="G1136" s="79" t="s">
        <v>2581</v>
      </c>
      <c r="H1136" s="79"/>
      <c r="I1136" s="79"/>
    </row>
    <row r="1137" spans="1:9" ht="15">
      <c r="A1137" s="79" t="s">
        <v>3134</v>
      </c>
      <c r="B1137" s="79" t="s">
        <v>3135</v>
      </c>
      <c r="C1137" s="79">
        <v>596040845</v>
      </c>
      <c r="D1137" s="79">
        <v>0</v>
      </c>
      <c r="E1137" s="79" t="s">
        <v>1124</v>
      </c>
      <c r="F1137" s="79" t="s">
        <v>2539</v>
      </c>
      <c r="G1137" s="79" t="s">
        <v>1130</v>
      </c>
      <c r="H1137" s="79"/>
      <c r="I1137" s="79"/>
    </row>
    <row r="1138" spans="1:9" ht="15">
      <c r="A1138" s="79" t="s">
        <v>3134</v>
      </c>
      <c r="B1138" s="79" t="s">
        <v>3135</v>
      </c>
      <c r="C1138" s="79">
        <v>596040845</v>
      </c>
      <c r="D1138" s="79">
        <v>0</v>
      </c>
      <c r="E1138" s="79" t="s">
        <v>1124</v>
      </c>
      <c r="F1138" s="79" t="s">
        <v>2539</v>
      </c>
      <c r="G1138" s="79" t="s">
        <v>1131</v>
      </c>
      <c r="H1138" s="79" t="s">
        <v>1132</v>
      </c>
      <c r="I1138" s="79"/>
    </row>
    <row r="1139" spans="1:9" ht="15">
      <c r="A1139" s="79" t="s">
        <v>3134</v>
      </c>
      <c r="B1139" s="79" t="s">
        <v>3135</v>
      </c>
      <c r="C1139" s="79">
        <v>596040845</v>
      </c>
      <c r="D1139" s="79">
        <v>0</v>
      </c>
      <c r="E1139" s="79" t="s">
        <v>1124</v>
      </c>
      <c r="F1139" s="79" t="s">
        <v>2539</v>
      </c>
      <c r="G1139" s="79" t="s">
        <v>2578</v>
      </c>
      <c r="H1139" s="79"/>
      <c r="I1139" s="79"/>
    </row>
    <row r="1140" spans="1:9" ht="15">
      <c r="A1140" s="79" t="s">
        <v>3136</v>
      </c>
      <c r="B1140" s="79" t="s">
        <v>3137</v>
      </c>
      <c r="C1140" s="79">
        <v>596041445</v>
      </c>
      <c r="D1140" s="79">
        <v>0</v>
      </c>
      <c r="E1140" s="79" t="s">
        <v>1124</v>
      </c>
      <c r="F1140" s="79" t="s">
        <v>2539</v>
      </c>
      <c r="G1140" s="79" t="s">
        <v>2546</v>
      </c>
      <c r="H1140" s="79" t="s">
        <v>2547</v>
      </c>
      <c r="I1140" s="79"/>
    </row>
    <row r="1141" spans="1:9" ht="15">
      <c r="A1141" s="79" t="s">
        <v>3136</v>
      </c>
      <c r="B1141" s="79" t="s">
        <v>3137</v>
      </c>
      <c r="C1141" s="79">
        <v>596041445</v>
      </c>
      <c r="D1141" s="79">
        <v>0</v>
      </c>
      <c r="E1141" s="79" t="s">
        <v>1124</v>
      </c>
      <c r="F1141" s="79" t="s">
        <v>2539</v>
      </c>
      <c r="G1141" s="79" t="s">
        <v>2581</v>
      </c>
      <c r="H1141" s="79"/>
      <c r="I1141" s="79"/>
    </row>
    <row r="1142" spans="1:9" ht="15">
      <c r="A1142" s="79" t="s">
        <v>3138</v>
      </c>
      <c r="B1142" s="79" t="s">
        <v>3139</v>
      </c>
      <c r="C1142" s="79">
        <v>596084045</v>
      </c>
      <c r="D1142" s="79">
        <v>0</v>
      </c>
      <c r="E1142" s="79" t="s">
        <v>1124</v>
      </c>
      <c r="F1142" s="79" t="s">
        <v>2539</v>
      </c>
      <c r="G1142" s="79" t="s">
        <v>1130</v>
      </c>
      <c r="H1142" s="79"/>
      <c r="I1142" s="79"/>
    </row>
    <row r="1143" spans="1:9" ht="15">
      <c r="A1143" s="79" t="s">
        <v>3138</v>
      </c>
      <c r="B1143" s="79" t="s">
        <v>3139</v>
      </c>
      <c r="C1143" s="79">
        <v>596084045</v>
      </c>
      <c r="D1143" s="79">
        <v>0</v>
      </c>
      <c r="E1143" s="79" t="s">
        <v>1124</v>
      </c>
      <c r="F1143" s="79" t="s">
        <v>2539</v>
      </c>
      <c r="G1143" s="79" t="s">
        <v>1131</v>
      </c>
      <c r="H1143" s="79" t="s">
        <v>1132</v>
      </c>
      <c r="I1143" s="79"/>
    </row>
    <row r="1144" spans="1:9" ht="15">
      <c r="A1144" s="79" t="s">
        <v>3138</v>
      </c>
      <c r="B1144" s="79" t="s">
        <v>3139</v>
      </c>
      <c r="C1144" s="79">
        <v>596084045</v>
      </c>
      <c r="D1144" s="79">
        <v>0</v>
      </c>
      <c r="E1144" s="79" t="s">
        <v>1124</v>
      </c>
      <c r="F1144" s="79" t="s">
        <v>2539</v>
      </c>
      <c r="G1144" s="79" t="s">
        <v>2578</v>
      </c>
      <c r="H1144" s="79"/>
      <c r="I1144" s="79"/>
    </row>
    <row r="1145" spans="1:9" ht="15">
      <c r="A1145" s="79" t="s">
        <v>3140</v>
      </c>
      <c r="B1145" s="79" t="s">
        <v>3141</v>
      </c>
      <c r="C1145" s="79">
        <v>596084645</v>
      </c>
      <c r="D1145" s="79">
        <v>0</v>
      </c>
      <c r="E1145" s="79" t="s">
        <v>1124</v>
      </c>
      <c r="F1145" s="79" t="s">
        <v>2539</v>
      </c>
      <c r="G1145" s="79" t="s">
        <v>2546</v>
      </c>
      <c r="H1145" s="79" t="s">
        <v>2547</v>
      </c>
      <c r="I1145" s="79"/>
    </row>
    <row r="1146" spans="1:9" ht="15">
      <c r="A1146" s="79" t="s">
        <v>3140</v>
      </c>
      <c r="B1146" s="79" t="s">
        <v>3141</v>
      </c>
      <c r="C1146" s="79">
        <v>596084645</v>
      </c>
      <c r="D1146" s="79">
        <v>0</v>
      </c>
      <c r="E1146" s="79" t="s">
        <v>1124</v>
      </c>
      <c r="F1146" s="79" t="s">
        <v>2539</v>
      </c>
      <c r="G1146" s="79" t="s">
        <v>2581</v>
      </c>
      <c r="H1146" s="79"/>
      <c r="I1146" s="79"/>
    </row>
    <row r="1147" spans="1:9" ht="15">
      <c r="A1147" s="79" t="s">
        <v>3142</v>
      </c>
      <c r="B1147" s="79" t="s">
        <v>3143</v>
      </c>
      <c r="C1147" s="79">
        <v>596127245</v>
      </c>
      <c r="D1147" s="79">
        <v>0</v>
      </c>
      <c r="E1147" s="79" t="s">
        <v>1124</v>
      </c>
      <c r="F1147" s="79" t="s">
        <v>2539</v>
      </c>
      <c r="G1147" s="79" t="s">
        <v>1130</v>
      </c>
      <c r="H1147" s="79"/>
      <c r="I1147" s="79"/>
    </row>
    <row r="1148" spans="1:9" ht="15">
      <c r="A1148" s="79" t="s">
        <v>3142</v>
      </c>
      <c r="B1148" s="79" t="s">
        <v>3143</v>
      </c>
      <c r="C1148" s="79">
        <v>596127245</v>
      </c>
      <c r="D1148" s="79">
        <v>0</v>
      </c>
      <c r="E1148" s="79" t="s">
        <v>1124</v>
      </c>
      <c r="F1148" s="79" t="s">
        <v>2539</v>
      </c>
      <c r="G1148" s="79" t="s">
        <v>1131</v>
      </c>
      <c r="H1148" s="79" t="s">
        <v>1132</v>
      </c>
      <c r="I1148" s="79"/>
    </row>
    <row r="1149" spans="1:9" ht="15">
      <c r="A1149" s="79" t="s">
        <v>3142</v>
      </c>
      <c r="B1149" s="79" t="s">
        <v>3143</v>
      </c>
      <c r="C1149" s="79">
        <v>596127245</v>
      </c>
      <c r="D1149" s="79">
        <v>0</v>
      </c>
      <c r="E1149" s="79" t="s">
        <v>1124</v>
      </c>
      <c r="F1149" s="79" t="s">
        <v>2539</v>
      </c>
      <c r="G1149" s="79" t="s">
        <v>2578</v>
      </c>
      <c r="H1149" s="79"/>
      <c r="I1149" s="79"/>
    </row>
    <row r="1150" spans="1:9" ht="15">
      <c r="A1150" s="79" t="s">
        <v>3144</v>
      </c>
      <c r="B1150" s="79" t="s">
        <v>3145</v>
      </c>
      <c r="C1150" s="79">
        <v>596127845</v>
      </c>
      <c r="D1150" s="79">
        <v>0</v>
      </c>
      <c r="E1150" s="79" t="s">
        <v>1124</v>
      </c>
      <c r="F1150" s="79" t="s">
        <v>2539</v>
      </c>
      <c r="G1150" s="79" t="s">
        <v>2546</v>
      </c>
      <c r="H1150" s="79" t="s">
        <v>2547</v>
      </c>
      <c r="I1150" s="79"/>
    </row>
    <row r="1151" spans="1:9" ht="15">
      <c r="A1151" s="79" t="s">
        <v>3144</v>
      </c>
      <c r="B1151" s="79" t="s">
        <v>3145</v>
      </c>
      <c r="C1151" s="79">
        <v>596127845</v>
      </c>
      <c r="D1151" s="79">
        <v>0</v>
      </c>
      <c r="E1151" s="79" t="s">
        <v>1124</v>
      </c>
      <c r="F1151" s="79" t="s">
        <v>2539</v>
      </c>
      <c r="G1151" s="79" t="s">
        <v>2581</v>
      </c>
      <c r="H1151" s="79"/>
      <c r="I1151" s="79"/>
    </row>
    <row r="1152" spans="1:9" ht="15">
      <c r="A1152" s="79" t="s">
        <v>3146</v>
      </c>
      <c r="B1152" s="79" t="s">
        <v>3147</v>
      </c>
      <c r="C1152" s="79">
        <v>596170445</v>
      </c>
      <c r="D1152" s="79">
        <v>0</v>
      </c>
      <c r="E1152" s="79" t="s">
        <v>1124</v>
      </c>
      <c r="F1152" s="79" t="s">
        <v>2539</v>
      </c>
      <c r="G1152" s="79" t="s">
        <v>1130</v>
      </c>
      <c r="H1152" s="79"/>
      <c r="I1152" s="79"/>
    </row>
    <row r="1153" spans="1:9" ht="15">
      <c r="A1153" s="79" t="s">
        <v>3146</v>
      </c>
      <c r="B1153" s="79" t="s">
        <v>3147</v>
      </c>
      <c r="C1153" s="79">
        <v>596170445</v>
      </c>
      <c r="D1153" s="79">
        <v>0</v>
      </c>
      <c r="E1153" s="79" t="s">
        <v>1124</v>
      </c>
      <c r="F1153" s="79" t="s">
        <v>2539</v>
      </c>
      <c r="G1153" s="79" t="s">
        <v>1131</v>
      </c>
      <c r="H1153" s="79" t="s">
        <v>1132</v>
      </c>
      <c r="I1153" s="79"/>
    </row>
    <row r="1154" spans="1:9" ht="15">
      <c r="A1154" s="79" t="s">
        <v>3146</v>
      </c>
      <c r="B1154" s="79" t="s">
        <v>3147</v>
      </c>
      <c r="C1154" s="79">
        <v>596170445</v>
      </c>
      <c r="D1154" s="79">
        <v>0</v>
      </c>
      <c r="E1154" s="79" t="s">
        <v>1124</v>
      </c>
      <c r="F1154" s="79" t="s">
        <v>2539</v>
      </c>
      <c r="G1154" s="79" t="s">
        <v>2578</v>
      </c>
      <c r="H1154" s="79"/>
      <c r="I1154" s="79"/>
    </row>
    <row r="1155" spans="1:9" ht="15">
      <c r="A1155" s="79" t="s">
        <v>3148</v>
      </c>
      <c r="B1155" s="79" t="s">
        <v>3149</v>
      </c>
      <c r="C1155" s="79">
        <v>596171045</v>
      </c>
      <c r="D1155" s="79">
        <v>0</v>
      </c>
      <c r="E1155" s="79" t="s">
        <v>1124</v>
      </c>
      <c r="F1155" s="79" t="s">
        <v>2539</v>
      </c>
      <c r="G1155" s="79" t="s">
        <v>2546</v>
      </c>
      <c r="H1155" s="79" t="s">
        <v>2547</v>
      </c>
      <c r="I1155" s="79"/>
    </row>
    <row r="1156" spans="1:9" ht="15">
      <c r="A1156" s="79" t="s">
        <v>3148</v>
      </c>
      <c r="B1156" s="79" t="s">
        <v>3149</v>
      </c>
      <c r="C1156" s="79">
        <v>596171045</v>
      </c>
      <c r="D1156" s="79">
        <v>0</v>
      </c>
      <c r="E1156" s="79" t="s">
        <v>1124</v>
      </c>
      <c r="F1156" s="79" t="s">
        <v>2539</v>
      </c>
      <c r="G1156" s="79" t="s">
        <v>2581</v>
      </c>
      <c r="H1156" s="79"/>
      <c r="I1156" s="79"/>
    </row>
    <row r="1157" spans="1:9" ht="15">
      <c r="A1157" s="79" t="s">
        <v>3150</v>
      </c>
      <c r="B1157" s="79" t="s">
        <v>3151</v>
      </c>
      <c r="C1157" s="79">
        <v>596213645</v>
      </c>
      <c r="D1157" s="79">
        <v>0</v>
      </c>
      <c r="E1157" s="79" t="s">
        <v>1124</v>
      </c>
      <c r="F1157" s="79" t="s">
        <v>2539</v>
      </c>
      <c r="G1157" s="79" t="s">
        <v>1130</v>
      </c>
      <c r="H1157" s="79"/>
      <c r="I1157" s="79"/>
    </row>
    <row r="1158" spans="1:9" ht="15">
      <c r="A1158" s="79" t="s">
        <v>3150</v>
      </c>
      <c r="B1158" s="79" t="s">
        <v>3151</v>
      </c>
      <c r="C1158" s="79">
        <v>596213645</v>
      </c>
      <c r="D1158" s="79">
        <v>0</v>
      </c>
      <c r="E1158" s="79" t="s">
        <v>1124</v>
      </c>
      <c r="F1158" s="79" t="s">
        <v>2539</v>
      </c>
      <c r="G1158" s="79" t="s">
        <v>1131</v>
      </c>
      <c r="H1158" s="79" t="s">
        <v>1132</v>
      </c>
      <c r="I1158" s="79"/>
    </row>
    <row r="1159" spans="1:9" ht="15">
      <c r="A1159" s="79" t="s">
        <v>3150</v>
      </c>
      <c r="B1159" s="79" t="s">
        <v>3151</v>
      </c>
      <c r="C1159" s="79">
        <v>596213645</v>
      </c>
      <c r="D1159" s="79">
        <v>0</v>
      </c>
      <c r="E1159" s="79" t="s">
        <v>1124</v>
      </c>
      <c r="F1159" s="79" t="s">
        <v>2539</v>
      </c>
      <c r="G1159" s="79" t="s">
        <v>2578</v>
      </c>
      <c r="H1159" s="79"/>
      <c r="I1159" s="79"/>
    </row>
    <row r="1160" spans="1:9" ht="15">
      <c r="A1160" s="79" t="s">
        <v>3152</v>
      </c>
      <c r="B1160" s="79" t="s">
        <v>3153</v>
      </c>
      <c r="C1160" s="79">
        <v>596214245</v>
      </c>
      <c r="D1160" s="79">
        <v>0</v>
      </c>
      <c r="E1160" s="79" t="s">
        <v>1124</v>
      </c>
      <c r="F1160" s="79" t="s">
        <v>2539</v>
      </c>
      <c r="G1160" s="79" t="s">
        <v>2546</v>
      </c>
      <c r="H1160" s="79" t="s">
        <v>2547</v>
      </c>
      <c r="I1160" s="79"/>
    </row>
    <row r="1161" spans="1:9" ht="15">
      <c r="A1161" s="79" t="s">
        <v>3152</v>
      </c>
      <c r="B1161" s="79" t="s">
        <v>3153</v>
      </c>
      <c r="C1161" s="79">
        <v>596214245</v>
      </c>
      <c r="D1161" s="79">
        <v>0</v>
      </c>
      <c r="E1161" s="79" t="s">
        <v>1124</v>
      </c>
      <c r="F1161" s="79" t="s">
        <v>2539</v>
      </c>
      <c r="G1161" s="79" t="s">
        <v>2581</v>
      </c>
      <c r="H1161" s="79"/>
      <c r="I1161" s="79"/>
    </row>
    <row r="1162" spans="1:9" ht="15">
      <c r="A1162" s="79" t="s">
        <v>3154</v>
      </c>
      <c r="B1162" s="79" t="s">
        <v>3155</v>
      </c>
      <c r="C1162" s="79">
        <v>596256845</v>
      </c>
      <c r="D1162" s="79">
        <v>0</v>
      </c>
      <c r="E1162" s="79" t="s">
        <v>1124</v>
      </c>
      <c r="F1162" s="79" t="s">
        <v>2539</v>
      </c>
      <c r="G1162" s="79" t="s">
        <v>1130</v>
      </c>
      <c r="H1162" s="79"/>
      <c r="I1162" s="79"/>
    </row>
    <row r="1163" spans="1:9" ht="15">
      <c r="A1163" s="79" t="s">
        <v>3154</v>
      </c>
      <c r="B1163" s="79" t="s">
        <v>3155</v>
      </c>
      <c r="C1163" s="79">
        <v>596256845</v>
      </c>
      <c r="D1163" s="79">
        <v>0</v>
      </c>
      <c r="E1163" s="79" t="s">
        <v>1124</v>
      </c>
      <c r="F1163" s="79" t="s">
        <v>2539</v>
      </c>
      <c r="G1163" s="79" t="s">
        <v>1131</v>
      </c>
      <c r="H1163" s="79" t="s">
        <v>1132</v>
      </c>
      <c r="I1163" s="79"/>
    </row>
    <row r="1164" spans="1:9" ht="15">
      <c r="A1164" s="79" t="s">
        <v>3154</v>
      </c>
      <c r="B1164" s="79" t="s">
        <v>3155</v>
      </c>
      <c r="C1164" s="79">
        <v>596256845</v>
      </c>
      <c r="D1164" s="79">
        <v>0</v>
      </c>
      <c r="E1164" s="79" t="s">
        <v>1124</v>
      </c>
      <c r="F1164" s="79" t="s">
        <v>2539</v>
      </c>
      <c r="G1164" s="79" t="s">
        <v>2578</v>
      </c>
      <c r="H1164" s="79"/>
      <c r="I1164" s="79"/>
    </row>
    <row r="1165" spans="1:9" ht="15">
      <c r="A1165" s="79" t="s">
        <v>3156</v>
      </c>
      <c r="B1165" s="79" t="s">
        <v>3157</v>
      </c>
      <c r="C1165" s="79">
        <v>596257445</v>
      </c>
      <c r="D1165" s="79">
        <v>0</v>
      </c>
      <c r="E1165" s="79" t="s">
        <v>1124</v>
      </c>
      <c r="F1165" s="79" t="s">
        <v>2539</v>
      </c>
      <c r="G1165" s="79" t="s">
        <v>2546</v>
      </c>
      <c r="H1165" s="79" t="s">
        <v>2547</v>
      </c>
      <c r="I1165" s="79"/>
    </row>
    <row r="1166" spans="1:9" ht="15">
      <c r="A1166" s="79" t="s">
        <v>3156</v>
      </c>
      <c r="B1166" s="79" t="s">
        <v>3157</v>
      </c>
      <c r="C1166" s="79">
        <v>596257445</v>
      </c>
      <c r="D1166" s="79">
        <v>0</v>
      </c>
      <c r="E1166" s="79" t="s">
        <v>1124</v>
      </c>
      <c r="F1166" s="79" t="s">
        <v>2539</v>
      </c>
      <c r="G1166" s="79" t="s">
        <v>2581</v>
      </c>
      <c r="H1166" s="79"/>
      <c r="I1166" s="79"/>
    </row>
    <row r="1167" spans="1:9" ht="15">
      <c r="A1167" s="79" t="s">
        <v>3158</v>
      </c>
      <c r="B1167" s="79" t="s">
        <v>3159</v>
      </c>
      <c r="C1167" s="79">
        <v>596300045</v>
      </c>
      <c r="D1167" s="79">
        <v>0</v>
      </c>
      <c r="E1167" s="79" t="s">
        <v>1124</v>
      </c>
      <c r="F1167" s="79" t="s">
        <v>2539</v>
      </c>
      <c r="G1167" s="79" t="s">
        <v>1130</v>
      </c>
      <c r="H1167" s="79"/>
      <c r="I1167" s="79"/>
    </row>
    <row r="1168" spans="1:9" ht="15">
      <c r="A1168" s="79" t="s">
        <v>3158</v>
      </c>
      <c r="B1168" s="79" t="s">
        <v>3159</v>
      </c>
      <c r="C1168" s="79">
        <v>596300045</v>
      </c>
      <c r="D1168" s="79">
        <v>0</v>
      </c>
      <c r="E1168" s="79" t="s">
        <v>1124</v>
      </c>
      <c r="F1168" s="79" t="s">
        <v>2539</v>
      </c>
      <c r="G1168" s="79" t="s">
        <v>1131</v>
      </c>
      <c r="H1168" s="79" t="s">
        <v>1132</v>
      </c>
      <c r="I1168" s="79"/>
    </row>
    <row r="1169" spans="1:9" ht="15">
      <c r="A1169" s="79" t="s">
        <v>3158</v>
      </c>
      <c r="B1169" s="79" t="s">
        <v>3159</v>
      </c>
      <c r="C1169" s="79">
        <v>596300045</v>
      </c>
      <c r="D1169" s="79">
        <v>0</v>
      </c>
      <c r="E1169" s="79" t="s">
        <v>1124</v>
      </c>
      <c r="F1169" s="79" t="s">
        <v>2539</v>
      </c>
      <c r="G1169" s="79" t="s">
        <v>2578</v>
      </c>
      <c r="H1169" s="79"/>
      <c r="I1169" s="79"/>
    </row>
    <row r="1170" spans="1:9" ht="15">
      <c r="A1170" s="79" t="s">
        <v>3160</v>
      </c>
      <c r="B1170" s="79" t="s">
        <v>3161</v>
      </c>
      <c r="C1170" s="79">
        <v>596300645</v>
      </c>
      <c r="D1170" s="79">
        <v>0</v>
      </c>
      <c r="E1170" s="79" t="s">
        <v>1124</v>
      </c>
      <c r="F1170" s="79" t="s">
        <v>2539</v>
      </c>
      <c r="G1170" s="79" t="s">
        <v>2546</v>
      </c>
      <c r="H1170" s="79" t="s">
        <v>2547</v>
      </c>
      <c r="I1170" s="79"/>
    </row>
    <row r="1171" spans="1:9" ht="15">
      <c r="A1171" s="79" t="s">
        <v>3160</v>
      </c>
      <c r="B1171" s="79" t="s">
        <v>3161</v>
      </c>
      <c r="C1171" s="79">
        <v>596300645</v>
      </c>
      <c r="D1171" s="79">
        <v>0</v>
      </c>
      <c r="E1171" s="79" t="s">
        <v>1124</v>
      </c>
      <c r="F1171" s="79" t="s">
        <v>2539</v>
      </c>
      <c r="G1171" s="79" t="s">
        <v>2581</v>
      </c>
      <c r="H1171" s="79"/>
      <c r="I1171" s="79"/>
    </row>
    <row r="1172" spans="1:9" ht="15">
      <c r="A1172" s="79" t="s">
        <v>3162</v>
      </c>
      <c r="B1172" s="79" t="s">
        <v>3163</v>
      </c>
      <c r="C1172" s="79">
        <v>596343245</v>
      </c>
      <c r="D1172" s="79">
        <v>0</v>
      </c>
      <c r="E1172" s="79" t="s">
        <v>1124</v>
      </c>
      <c r="F1172" s="79" t="s">
        <v>2539</v>
      </c>
      <c r="G1172" s="79" t="s">
        <v>1130</v>
      </c>
      <c r="H1172" s="79"/>
      <c r="I1172" s="79"/>
    </row>
    <row r="1173" spans="1:9" ht="15">
      <c r="A1173" s="79" t="s">
        <v>3162</v>
      </c>
      <c r="B1173" s="79" t="s">
        <v>3163</v>
      </c>
      <c r="C1173" s="79">
        <v>596343245</v>
      </c>
      <c r="D1173" s="79">
        <v>0</v>
      </c>
      <c r="E1173" s="79" t="s">
        <v>1124</v>
      </c>
      <c r="F1173" s="79" t="s">
        <v>2539</v>
      </c>
      <c r="G1173" s="79" t="s">
        <v>1131</v>
      </c>
      <c r="H1173" s="79" t="s">
        <v>1132</v>
      </c>
      <c r="I1173" s="79"/>
    </row>
    <row r="1174" spans="1:9" ht="15">
      <c r="A1174" s="79" t="s">
        <v>3162</v>
      </c>
      <c r="B1174" s="79" t="s">
        <v>3163</v>
      </c>
      <c r="C1174" s="79">
        <v>596343245</v>
      </c>
      <c r="D1174" s="79">
        <v>0</v>
      </c>
      <c r="E1174" s="79" t="s">
        <v>1124</v>
      </c>
      <c r="F1174" s="79" t="s">
        <v>2539</v>
      </c>
      <c r="G1174" s="79" t="s">
        <v>2578</v>
      </c>
      <c r="H1174" s="79"/>
      <c r="I1174" s="79"/>
    </row>
    <row r="1175" spans="1:9" ht="15">
      <c r="A1175" s="79" t="s">
        <v>3164</v>
      </c>
      <c r="B1175" s="79" t="s">
        <v>3165</v>
      </c>
      <c r="C1175" s="79">
        <v>596343845</v>
      </c>
      <c r="D1175" s="79">
        <v>0</v>
      </c>
      <c r="E1175" s="79" t="s">
        <v>1124</v>
      </c>
      <c r="F1175" s="79" t="s">
        <v>2539</v>
      </c>
      <c r="G1175" s="79" t="s">
        <v>2546</v>
      </c>
      <c r="H1175" s="79" t="s">
        <v>2547</v>
      </c>
      <c r="I1175" s="79"/>
    </row>
    <row r="1176" spans="1:9" ht="15">
      <c r="A1176" s="79" t="s">
        <v>3164</v>
      </c>
      <c r="B1176" s="79" t="s">
        <v>3165</v>
      </c>
      <c r="C1176" s="79">
        <v>596343845</v>
      </c>
      <c r="D1176" s="79">
        <v>0</v>
      </c>
      <c r="E1176" s="79" t="s">
        <v>1124</v>
      </c>
      <c r="F1176" s="79" t="s">
        <v>2539</v>
      </c>
      <c r="G1176" s="79" t="s">
        <v>2581</v>
      </c>
      <c r="H1176" s="79"/>
      <c r="I1176" s="79"/>
    </row>
    <row r="1177" spans="1:9" ht="15">
      <c r="A1177" s="79" t="s">
        <v>3166</v>
      </c>
      <c r="B1177" s="79" t="s">
        <v>3167</v>
      </c>
      <c r="C1177" s="79">
        <v>596386445</v>
      </c>
      <c r="D1177" s="79">
        <v>0</v>
      </c>
      <c r="E1177" s="79" t="s">
        <v>1124</v>
      </c>
      <c r="F1177" s="79" t="s">
        <v>2539</v>
      </c>
      <c r="G1177" s="79" t="s">
        <v>1130</v>
      </c>
      <c r="H1177" s="79"/>
      <c r="I1177" s="79"/>
    </row>
    <row r="1178" spans="1:9" ht="15">
      <c r="A1178" s="79" t="s">
        <v>3166</v>
      </c>
      <c r="B1178" s="79" t="s">
        <v>3167</v>
      </c>
      <c r="C1178" s="79">
        <v>596386445</v>
      </c>
      <c r="D1178" s="79">
        <v>0</v>
      </c>
      <c r="E1178" s="79" t="s">
        <v>1124</v>
      </c>
      <c r="F1178" s="79" t="s">
        <v>2539</v>
      </c>
      <c r="G1178" s="79" t="s">
        <v>1131</v>
      </c>
      <c r="H1178" s="79" t="s">
        <v>1132</v>
      </c>
      <c r="I1178" s="79"/>
    </row>
    <row r="1179" spans="1:9" ht="15">
      <c r="A1179" s="79" t="s">
        <v>3166</v>
      </c>
      <c r="B1179" s="79" t="s">
        <v>3167</v>
      </c>
      <c r="C1179" s="79">
        <v>596386445</v>
      </c>
      <c r="D1179" s="79">
        <v>0</v>
      </c>
      <c r="E1179" s="79" t="s">
        <v>1124</v>
      </c>
      <c r="F1179" s="79" t="s">
        <v>2539</v>
      </c>
      <c r="G1179" s="79" t="s">
        <v>2578</v>
      </c>
      <c r="H1179" s="79"/>
      <c r="I1179" s="79"/>
    </row>
    <row r="1180" spans="1:9" ht="15">
      <c r="A1180" s="79" t="s">
        <v>3168</v>
      </c>
      <c r="B1180" s="79" t="s">
        <v>3169</v>
      </c>
      <c r="C1180" s="79">
        <v>596387045</v>
      </c>
      <c r="D1180" s="79">
        <v>0</v>
      </c>
      <c r="E1180" s="79" t="s">
        <v>1124</v>
      </c>
      <c r="F1180" s="79" t="s">
        <v>2539</v>
      </c>
      <c r="G1180" s="79" t="s">
        <v>2546</v>
      </c>
      <c r="H1180" s="79" t="s">
        <v>2547</v>
      </c>
      <c r="I1180" s="79"/>
    </row>
    <row r="1181" spans="1:9" ht="15">
      <c r="A1181" s="79" t="s">
        <v>3168</v>
      </c>
      <c r="B1181" s="79" t="s">
        <v>3169</v>
      </c>
      <c r="C1181" s="79">
        <v>596387045</v>
      </c>
      <c r="D1181" s="79">
        <v>0</v>
      </c>
      <c r="E1181" s="79" t="s">
        <v>1124</v>
      </c>
      <c r="F1181" s="79" t="s">
        <v>2539</v>
      </c>
      <c r="G1181" s="79" t="s">
        <v>2581</v>
      </c>
      <c r="H1181" s="79"/>
      <c r="I1181" s="79"/>
    </row>
    <row r="1182" spans="1:9" ht="15">
      <c r="A1182" s="79" t="s">
        <v>3170</v>
      </c>
      <c r="B1182" s="79" t="s">
        <v>3171</v>
      </c>
      <c r="C1182" s="79">
        <v>596429645</v>
      </c>
      <c r="D1182" s="79">
        <v>0</v>
      </c>
      <c r="E1182" s="79" t="s">
        <v>1124</v>
      </c>
      <c r="F1182" s="79" t="s">
        <v>2539</v>
      </c>
      <c r="G1182" s="79" t="s">
        <v>1130</v>
      </c>
      <c r="H1182" s="79"/>
      <c r="I1182" s="79"/>
    </row>
    <row r="1183" spans="1:9" ht="15">
      <c r="A1183" s="79" t="s">
        <v>3170</v>
      </c>
      <c r="B1183" s="79" t="s">
        <v>3171</v>
      </c>
      <c r="C1183" s="79">
        <v>596429645</v>
      </c>
      <c r="D1183" s="79">
        <v>0</v>
      </c>
      <c r="E1183" s="79" t="s">
        <v>1124</v>
      </c>
      <c r="F1183" s="79" t="s">
        <v>2539</v>
      </c>
      <c r="G1183" s="79" t="s">
        <v>1131</v>
      </c>
      <c r="H1183" s="79" t="s">
        <v>1132</v>
      </c>
      <c r="I1183" s="79"/>
    </row>
    <row r="1184" spans="1:9" ht="15">
      <c r="A1184" s="79" t="s">
        <v>3170</v>
      </c>
      <c r="B1184" s="79" t="s">
        <v>3171</v>
      </c>
      <c r="C1184" s="79">
        <v>596429645</v>
      </c>
      <c r="D1184" s="79">
        <v>0</v>
      </c>
      <c r="E1184" s="79" t="s">
        <v>1124</v>
      </c>
      <c r="F1184" s="79" t="s">
        <v>2539</v>
      </c>
      <c r="G1184" s="79" t="s">
        <v>2578</v>
      </c>
      <c r="H1184" s="79"/>
      <c r="I1184" s="79"/>
    </row>
    <row r="1185" spans="1:9" ht="15">
      <c r="A1185" s="79" t="s">
        <v>3172</v>
      </c>
      <c r="B1185" s="79" t="s">
        <v>3173</v>
      </c>
      <c r="C1185" s="79">
        <v>596430245</v>
      </c>
      <c r="D1185" s="79">
        <v>0</v>
      </c>
      <c r="E1185" s="79" t="s">
        <v>1124</v>
      </c>
      <c r="F1185" s="79" t="s">
        <v>2539</v>
      </c>
      <c r="G1185" s="79" t="s">
        <v>2546</v>
      </c>
      <c r="H1185" s="79" t="s">
        <v>2547</v>
      </c>
      <c r="I1185" s="79"/>
    </row>
    <row r="1186" spans="1:9" ht="15">
      <c r="A1186" s="79" t="s">
        <v>3172</v>
      </c>
      <c r="B1186" s="79" t="s">
        <v>3173</v>
      </c>
      <c r="C1186" s="79">
        <v>596430245</v>
      </c>
      <c r="D1186" s="79">
        <v>0</v>
      </c>
      <c r="E1186" s="79" t="s">
        <v>1124</v>
      </c>
      <c r="F1186" s="79" t="s">
        <v>2539</v>
      </c>
      <c r="G1186" s="79" t="s">
        <v>2581</v>
      </c>
      <c r="H1186" s="79"/>
      <c r="I1186" s="79"/>
    </row>
    <row r="1187" spans="1:9" ht="15">
      <c r="A1187" s="79" t="s">
        <v>3174</v>
      </c>
      <c r="B1187" s="79" t="s">
        <v>3175</v>
      </c>
      <c r="C1187" s="79">
        <v>596472845</v>
      </c>
      <c r="D1187" s="79">
        <v>0</v>
      </c>
      <c r="E1187" s="79" t="s">
        <v>1124</v>
      </c>
      <c r="F1187" s="79" t="s">
        <v>2539</v>
      </c>
      <c r="G1187" s="79" t="s">
        <v>1130</v>
      </c>
      <c r="H1187" s="79"/>
      <c r="I1187" s="79"/>
    </row>
    <row r="1188" spans="1:9" ht="15">
      <c r="A1188" s="79" t="s">
        <v>3174</v>
      </c>
      <c r="B1188" s="79" t="s">
        <v>3175</v>
      </c>
      <c r="C1188" s="79">
        <v>596472845</v>
      </c>
      <c r="D1188" s="79">
        <v>0</v>
      </c>
      <c r="E1188" s="79" t="s">
        <v>1124</v>
      </c>
      <c r="F1188" s="79" t="s">
        <v>2539</v>
      </c>
      <c r="G1188" s="79" t="s">
        <v>1131</v>
      </c>
      <c r="H1188" s="79" t="s">
        <v>1132</v>
      </c>
      <c r="I1188" s="79"/>
    </row>
    <row r="1189" spans="1:9" ht="15">
      <c r="A1189" s="79" t="s">
        <v>3174</v>
      </c>
      <c r="B1189" s="79" t="s">
        <v>3175</v>
      </c>
      <c r="C1189" s="79">
        <v>596472845</v>
      </c>
      <c r="D1189" s="79">
        <v>0</v>
      </c>
      <c r="E1189" s="79" t="s">
        <v>1124</v>
      </c>
      <c r="F1189" s="79" t="s">
        <v>2539</v>
      </c>
      <c r="G1189" s="79" t="s">
        <v>2578</v>
      </c>
      <c r="H1189" s="79"/>
      <c r="I1189" s="79"/>
    </row>
    <row r="1190" spans="1:9" ht="15">
      <c r="A1190" s="79" t="s">
        <v>3176</v>
      </c>
      <c r="B1190" s="79" t="s">
        <v>3177</v>
      </c>
      <c r="C1190" s="79">
        <v>596473445</v>
      </c>
      <c r="D1190" s="79">
        <v>0</v>
      </c>
      <c r="E1190" s="79" t="s">
        <v>1124</v>
      </c>
      <c r="F1190" s="79" t="s">
        <v>2539</v>
      </c>
      <c r="G1190" s="79" t="s">
        <v>2546</v>
      </c>
      <c r="H1190" s="79" t="s">
        <v>2547</v>
      </c>
      <c r="I1190" s="79"/>
    </row>
    <row r="1191" spans="1:9" ht="15">
      <c r="A1191" s="79" t="s">
        <v>3176</v>
      </c>
      <c r="B1191" s="79" t="s">
        <v>3177</v>
      </c>
      <c r="C1191" s="79">
        <v>596473445</v>
      </c>
      <c r="D1191" s="79">
        <v>0</v>
      </c>
      <c r="E1191" s="79" t="s">
        <v>1124</v>
      </c>
      <c r="F1191" s="79" t="s">
        <v>2539</v>
      </c>
      <c r="G1191" s="79" t="s">
        <v>2581</v>
      </c>
      <c r="H1191" s="79"/>
      <c r="I1191" s="79"/>
    </row>
    <row r="1192" spans="1:9" ht="15">
      <c r="A1192" s="79" t="s">
        <v>3178</v>
      </c>
      <c r="B1192" s="79" t="s">
        <v>3179</v>
      </c>
      <c r="C1192" s="79">
        <v>596516045</v>
      </c>
      <c r="D1192" s="79">
        <v>0</v>
      </c>
      <c r="E1192" s="79" t="s">
        <v>1124</v>
      </c>
      <c r="F1192" s="79" t="s">
        <v>2539</v>
      </c>
      <c r="G1192" s="79" t="s">
        <v>1130</v>
      </c>
      <c r="H1192" s="79"/>
      <c r="I1192" s="79"/>
    </row>
    <row r="1193" spans="1:9" ht="15">
      <c r="A1193" s="79" t="s">
        <v>3178</v>
      </c>
      <c r="B1193" s="79" t="s">
        <v>3179</v>
      </c>
      <c r="C1193" s="79">
        <v>596516045</v>
      </c>
      <c r="D1193" s="79">
        <v>0</v>
      </c>
      <c r="E1193" s="79" t="s">
        <v>1124</v>
      </c>
      <c r="F1193" s="79" t="s">
        <v>2539</v>
      </c>
      <c r="G1193" s="79" t="s">
        <v>1131</v>
      </c>
      <c r="H1193" s="79" t="s">
        <v>1132</v>
      </c>
      <c r="I1193" s="79"/>
    </row>
    <row r="1194" spans="1:9" ht="15">
      <c r="A1194" s="79" t="s">
        <v>3178</v>
      </c>
      <c r="B1194" s="79" t="s">
        <v>3179</v>
      </c>
      <c r="C1194" s="79">
        <v>596516045</v>
      </c>
      <c r="D1194" s="79">
        <v>0</v>
      </c>
      <c r="E1194" s="79" t="s">
        <v>1124</v>
      </c>
      <c r="F1194" s="79" t="s">
        <v>2539</v>
      </c>
      <c r="G1194" s="79" t="s">
        <v>2578</v>
      </c>
      <c r="H1194" s="79"/>
      <c r="I1194" s="79"/>
    </row>
    <row r="1195" spans="1:9" ht="15">
      <c r="A1195" s="79" t="s">
        <v>3180</v>
      </c>
      <c r="B1195" s="79" t="s">
        <v>3181</v>
      </c>
      <c r="C1195" s="79">
        <v>596516645</v>
      </c>
      <c r="D1195" s="79">
        <v>0</v>
      </c>
      <c r="E1195" s="79" t="s">
        <v>1124</v>
      </c>
      <c r="F1195" s="79" t="s">
        <v>2539</v>
      </c>
      <c r="G1195" s="79" t="s">
        <v>2546</v>
      </c>
      <c r="H1195" s="79" t="s">
        <v>2547</v>
      </c>
      <c r="I1195" s="79"/>
    </row>
    <row r="1196" spans="1:9" ht="15">
      <c r="A1196" s="79" t="s">
        <v>3180</v>
      </c>
      <c r="B1196" s="79" t="s">
        <v>3181</v>
      </c>
      <c r="C1196" s="79">
        <v>596516645</v>
      </c>
      <c r="D1196" s="79">
        <v>0</v>
      </c>
      <c r="E1196" s="79" t="s">
        <v>1124</v>
      </c>
      <c r="F1196" s="79" t="s">
        <v>2539</v>
      </c>
      <c r="G1196" s="79" t="s">
        <v>2581</v>
      </c>
      <c r="H1196" s="79"/>
      <c r="I1196" s="79"/>
    </row>
    <row r="1197" spans="1:9" ht="15">
      <c r="A1197" s="79" t="s">
        <v>3182</v>
      </c>
      <c r="B1197" s="79" t="s">
        <v>3183</v>
      </c>
      <c r="C1197" s="79">
        <v>596559245</v>
      </c>
      <c r="D1197" s="79">
        <v>0</v>
      </c>
      <c r="E1197" s="79" t="s">
        <v>1124</v>
      </c>
      <c r="F1197" s="79" t="s">
        <v>2539</v>
      </c>
      <c r="G1197" s="79" t="s">
        <v>1130</v>
      </c>
      <c r="H1197" s="79"/>
      <c r="I1197" s="79"/>
    </row>
    <row r="1198" spans="1:9" ht="15">
      <c r="A1198" s="79" t="s">
        <v>3182</v>
      </c>
      <c r="B1198" s="79" t="s">
        <v>3183</v>
      </c>
      <c r="C1198" s="79">
        <v>596559245</v>
      </c>
      <c r="D1198" s="79">
        <v>0</v>
      </c>
      <c r="E1198" s="79" t="s">
        <v>1124</v>
      </c>
      <c r="F1198" s="79" t="s">
        <v>2539</v>
      </c>
      <c r="G1198" s="79" t="s">
        <v>1131</v>
      </c>
      <c r="H1198" s="79" t="s">
        <v>1132</v>
      </c>
      <c r="I1198" s="79"/>
    </row>
    <row r="1199" spans="1:9" ht="15">
      <c r="A1199" s="79" t="s">
        <v>3182</v>
      </c>
      <c r="B1199" s="79" t="s">
        <v>3183</v>
      </c>
      <c r="C1199" s="79">
        <v>596559245</v>
      </c>
      <c r="D1199" s="79">
        <v>0</v>
      </c>
      <c r="E1199" s="79" t="s">
        <v>1124</v>
      </c>
      <c r="F1199" s="79" t="s">
        <v>2539</v>
      </c>
      <c r="G1199" s="79" t="s">
        <v>2578</v>
      </c>
      <c r="H1199" s="79"/>
      <c r="I1199" s="79"/>
    </row>
    <row r="1200" spans="1:9" ht="15">
      <c r="A1200" s="79" t="s">
        <v>3184</v>
      </c>
      <c r="B1200" s="79" t="s">
        <v>3185</v>
      </c>
      <c r="C1200" s="79">
        <v>596559845</v>
      </c>
      <c r="D1200" s="79">
        <v>0</v>
      </c>
      <c r="E1200" s="79" t="s">
        <v>1124</v>
      </c>
      <c r="F1200" s="79" t="s">
        <v>2539</v>
      </c>
      <c r="G1200" s="79" t="s">
        <v>2546</v>
      </c>
      <c r="H1200" s="79" t="s">
        <v>2547</v>
      </c>
      <c r="I1200" s="79"/>
    </row>
    <row r="1201" spans="1:9" ht="15">
      <c r="A1201" s="79" t="s">
        <v>3184</v>
      </c>
      <c r="B1201" s="79" t="s">
        <v>3185</v>
      </c>
      <c r="C1201" s="79">
        <v>596559845</v>
      </c>
      <c r="D1201" s="79">
        <v>0</v>
      </c>
      <c r="E1201" s="79" t="s">
        <v>1124</v>
      </c>
      <c r="F1201" s="79" t="s">
        <v>2539</v>
      </c>
      <c r="G1201" s="79" t="s">
        <v>2581</v>
      </c>
      <c r="H1201" s="79"/>
      <c r="I1201" s="79"/>
    </row>
    <row r="1202" spans="1:9" ht="15">
      <c r="A1202" s="79" t="s">
        <v>3186</v>
      </c>
      <c r="B1202" s="79" t="s">
        <v>3187</v>
      </c>
      <c r="C1202" s="79">
        <v>596602445</v>
      </c>
      <c r="D1202" s="79">
        <v>0</v>
      </c>
      <c r="E1202" s="79" t="s">
        <v>1124</v>
      </c>
      <c r="F1202" s="79" t="s">
        <v>2539</v>
      </c>
      <c r="G1202" s="79" t="s">
        <v>1130</v>
      </c>
      <c r="H1202" s="79"/>
      <c r="I1202" s="79"/>
    </row>
    <row r="1203" spans="1:9" ht="15">
      <c r="A1203" s="79" t="s">
        <v>3186</v>
      </c>
      <c r="B1203" s="79" t="s">
        <v>3187</v>
      </c>
      <c r="C1203" s="79">
        <v>596602445</v>
      </c>
      <c r="D1203" s="79">
        <v>0</v>
      </c>
      <c r="E1203" s="79" t="s">
        <v>1124</v>
      </c>
      <c r="F1203" s="79" t="s">
        <v>2539</v>
      </c>
      <c r="G1203" s="79" t="s">
        <v>1131</v>
      </c>
      <c r="H1203" s="79" t="s">
        <v>1132</v>
      </c>
      <c r="I1203" s="79"/>
    </row>
    <row r="1204" spans="1:9" ht="15">
      <c r="A1204" s="79" t="s">
        <v>3186</v>
      </c>
      <c r="B1204" s="79" t="s">
        <v>3187</v>
      </c>
      <c r="C1204" s="79">
        <v>596602445</v>
      </c>
      <c r="D1204" s="79">
        <v>0</v>
      </c>
      <c r="E1204" s="79" t="s">
        <v>1124</v>
      </c>
      <c r="F1204" s="79" t="s">
        <v>2539</v>
      </c>
      <c r="G1204" s="79" t="s">
        <v>2578</v>
      </c>
      <c r="H1204" s="79"/>
      <c r="I1204" s="79"/>
    </row>
    <row r="1205" spans="1:9" ht="15">
      <c r="A1205" s="79" t="s">
        <v>3188</v>
      </c>
      <c r="B1205" s="79" t="s">
        <v>3189</v>
      </c>
      <c r="C1205" s="79">
        <v>596603045</v>
      </c>
      <c r="D1205" s="79">
        <v>0</v>
      </c>
      <c r="E1205" s="79" t="s">
        <v>1124</v>
      </c>
      <c r="F1205" s="79" t="s">
        <v>2539</v>
      </c>
      <c r="G1205" s="79" t="s">
        <v>2546</v>
      </c>
      <c r="H1205" s="79" t="s">
        <v>2547</v>
      </c>
      <c r="I1205" s="79"/>
    </row>
    <row r="1206" spans="1:9" ht="15">
      <c r="A1206" s="79" t="s">
        <v>3188</v>
      </c>
      <c r="B1206" s="79" t="s">
        <v>3189</v>
      </c>
      <c r="C1206" s="79">
        <v>596603045</v>
      </c>
      <c r="D1206" s="79">
        <v>0</v>
      </c>
      <c r="E1206" s="79" t="s">
        <v>1124</v>
      </c>
      <c r="F1206" s="79" t="s">
        <v>2539</v>
      </c>
      <c r="G1206" s="79" t="s">
        <v>2581</v>
      </c>
      <c r="H1206" s="79"/>
      <c r="I1206" s="79"/>
    </row>
    <row r="1207" spans="1:9" ht="15">
      <c r="A1207" s="79" t="s">
        <v>3190</v>
      </c>
      <c r="B1207" s="79" t="s">
        <v>3191</v>
      </c>
      <c r="C1207" s="79">
        <v>596645645</v>
      </c>
      <c r="D1207" s="79">
        <v>0</v>
      </c>
      <c r="E1207" s="79" t="s">
        <v>1124</v>
      </c>
      <c r="F1207" s="79" t="s">
        <v>2539</v>
      </c>
      <c r="G1207" s="79" t="s">
        <v>1130</v>
      </c>
      <c r="H1207" s="79"/>
      <c r="I1207" s="79"/>
    </row>
    <row r="1208" spans="1:9" ht="15">
      <c r="A1208" s="79" t="s">
        <v>3190</v>
      </c>
      <c r="B1208" s="79" t="s">
        <v>3191</v>
      </c>
      <c r="C1208" s="79">
        <v>596645645</v>
      </c>
      <c r="D1208" s="79">
        <v>0</v>
      </c>
      <c r="E1208" s="79" t="s">
        <v>1124</v>
      </c>
      <c r="F1208" s="79" t="s">
        <v>2539</v>
      </c>
      <c r="G1208" s="79" t="s">
        <v>1131</v>
      </c>
      <c r="H1208" s="79" t="s">
        <v>1132</v>
      </c>
      <c r="I1208" s="79"/>
    </row>
    <row r="1209" spans="1:9" ht="15">
      <c r="A1209" s="79" t="s">
        <v>3190</v>
      </c>
      <c r="B1209" s="79" t="s">
        <v>3191</v>
      </c>
      <c r="C1209" s="79">
        <v>596645645</v>
      </c>
      <c r="D1209" s="79">
        <v>0</v>
      </c>
      <c r="E1209" s="79" t="s">
        <v>1124</v>
      </c>
      <c r="F1209" s="79" t="s">
        <v>2539</v>
      </c>
      <c r="G1209" s="79" t="s">
        <v>2578</v>
      </c>
      <c r="H1209" s="79"/>
      <c r="I1209" s="79"/>
    </row>
    <row r="1210" spans="1:9" ht="15">
      <c r="A1210" s="79" t="s">
        <v>3192</v>
      </c>
      <c r="B1210" s="79" t="s">
        <v>3193</v>
      </c>
      <c r="C1210" s="79">
        <v>596646245</v>
      </c>
      <c r="D1210" s="79">
        <v>0</v>
      </c>
      <c r="E1210" s="79" t="s">
        <v>1124</v>
      </c>
      <c r="F1210" s="79" t="s">
        <v>2539</v>
      </c>
      <c r="G1210" s="79" t="s">
        <v>2546</v>
      </c>
      <c r="H1210" s="79" t="s">
        <v>2547</v>
      </c>
      <c r="I1210" s="79"/>
    </row>
    <row r="1211" spans="1:9" ht="15">
      <c r="A1211" s="79" t="s">
        <v>3192</v>
      </c>
      <c r="B1211" s="79" t="s">
        <v>3193</v>
      </c>
      <c r="C1211" s="79">
        <v>596646245</v>
      </c>
      <c r="D1211" s="79">
        <v>0</v>
      </c>
      <c r="E1211" s="79" t="s">
        <v>1124</v>
      </c>
      <c r="F1211" s="79" t="s">
        <v>2539</v>
      </c>
      <c r="G1211" s="79" t="s">
        <v>2581</v>
      </c>
      <c r="H1211" s="79"/>
      <c r="I1211" s="79"/>
    </row>
    <row r="1212" spans="1:9" ht="15">
      <c r="A1212" s="79" t="s">
        <v>3194</v>
      </c>
      <c r="B1212" s="79" t="s">
        <v>3195</v>
      </c>
      <c r="C1212" s="79">
        <v>596688845</v>
      </c>
      <c r="D1212" s="79">
        <v>0</v>
      </c>
      <c r="E1212" s="79" t="s">
        <v>1124</v>
      </c>
      <c r="F1212" s="79" t="s">
        <v>2539</v>
      </c>
      <c r="G1212" s="79" t="s">
        <v>1130</v>
      </c>
      <c r="H1212" s="79"/>
      <c r="I1212" s="79"/>
    </row>
    <row r="1213" spans="1:9" ht="15">
      <c r="A1213" s="79" t="s">
        <v>3194</v>
      </c>
      <c r="B1213" s="79" t="s">
        <v>3195</v>
      </c>
      <c r="C1213" s="79">
        <v>596688845</v>
      </c>
      <c r="D1213" s="79">
        <v>0</v>
      </c>
      <c r="E1213" s="79" t="s">
        <v>1124</v>
      </c>
      <c r="F1213" s="79" t="s">
        <v>2539</v>
      </c>
      <c r="G1213" s="79" t="s">
        <v>1131</v>
      </c>
      <c r="H1213" s="79" t="s">
        <v>1132</v>
      </c>
      <c r="I1213" s="79"/>
    </row>
    <row r="1214" spans="1:9" ht="15">
      <c r="A1214" s="79" t="s">
        <v>3194</v>
      </c>
      <c r="B1214" s="79" t="s">
        <v>3195</v>
      </c>
      <c r="C1214" s="79">
        <v>596688845</v>
      </c>
      <c r="D1214" s="79">
        <v>0</v>
      </c>
      <c r="E1214" s="79" t="s">
        <v>1124</v>
      </c>
      <c r="F1214" s="79" t="s">
        <v>2539</v>
      </c>
      <c r="G1214" s="79" t="s">
        <v>2578</v>
      </c>
      <c r="H1214" s="79"/>
      <c r="I1214" s="79"/>
    </row>
    <row r="1215" spans="1:9" ht="15">
      <c r="A1215" s="79" t="s">
        <v>3196</v>
      </c>
      <c r="B1215" s="79" t="s">
        <v>3197</v>
      </c>
      <c r="C1215" s="79">
        <v>596689445</v>
      </c>
      <c r="D1215" s="79">
        <v>0</v>
      </c>
      <c r="E1215" s="79" t="s">
        <v>1124</v>
      </c>
      <c r="F1215" s="79" t="s">
        <v>2539</v>
      </c>
      <c r="G1215" s="79" t="s">
        <v>2546</v>
      </c>
      <c r="H1215" s="79" t="s">
        <v>2547</v>
      </c>
      <c r="I1215" s="79"/>
    </row>
    <row r="1216" spans="1:9" ht="15">
      <c r="A1216" s="79" t="s">
        <v>3196</v>
      </c>
      <c r="B1216" s="79" t="s">
        <v>3197</v>
      </c>
      <c r="C1216" s="79">
        <v>596689445</v>
      </c>
      <c r="D1216" s="79">
        <v>0</v>
      </c>
      <c r="E1216" s="79" t="s">
        <v>1124</v>
      </c>
      <c r="F1216" s="79" t="s">
        <v>2539</v>
      </c>
      <c r="G1216" s="79" t="s">
        <v>2581</v>
      </c>
      <c r="H1216" s="79"/>
      <c r="I1216" s="79"/>
    </row>
    <row r="1217" spans="1:9" ht="15">
      <c r="A1217" s="79" t="s">
        <v>3198</v>
      </c>
      <c r="B1217" s="79" t="s">
        <v>3199</v>
      </c>
      <c r="C1217" s="79">
        <v>596732045</v>
      </c>
      <c r="D1217" s="79">
        <v>0</v>
      </c>
      <c r="E1217" s="79" t="s">
        <v>1124</v>
      </c>
      <c r="F1217" s="79" t="s">
        <v>2539</v>
      </c>
      <c r="G1217" s="79" t="s">
        <v>1130</v>
      </c>
      <c r="H1217" s="79"/>
      <c r="I1217" s="79"/>
    </row>
    <row r="1218" spans="1:9" ht="15">
      <c r="A1218" s="79" t="s">
        <v>3198</v>
      </c>
      <c r="B1218" s="79" t="s">
        <v>3199</v>
      </c>
      <c r="C1218" s="79">
        <v>596732045</v>
      </c>
      <c r="D1218" s="79">
        <v>0</v>
      </c>
      <c r="E1218" s="79" t="s">
        <v>1124</v>
      </c>
      <c r="F1218" s="79" t="s">
        <v>2539</v>
      </c>
      <c r="G1218" s="79" t="s">
        <v>1131</v>
      </c>
      <c r="H1218" s="79" t="s">
        <v>1132</v>
      </c>
      <c r="I1218" s="79"/>
    </row>
    <row r="1219" spans="1:9" ht="15">
      <c r="A1219" s="79" t="s">
        <v>3198</v>
      </c>
      <c r="B1219" s="79" t="s">
        <v>3199</v>
      </c>
      <c r="C1219" s="79">
        <v>596732045</v>
      </c>
      <c r="D1219" s="79">
        <v>0</v>
      </c>
      <c r="E1219" s="79" t="s">
        <v>1124</v>
      </c>
      <c r="F1219" s="79" t="s">
        <v>2539</v>
      </c>
      <c r="G1219" s="79" t="s">
        <v>2578</v>
      </c>
      <c r="H1219" s="79"/>
      <c r="I1219" s="79"/>
    </row>
    <row r="1220" spans="1:9" ht="15">
      <c r="A1220" s="79" t="s">
        <v>3200</v>
      </c>
      <c r="B1220" s="79" t="s">
        <v>3201</v>
      </c>
      <c r="C1220" s="79">
        <v>596732645</v>
      </c>
      <c r="D1220" s="79">
        <v>0</v>
      </c>
      <c r="E1220" s="79" t="s">
        <v>1124</v>
      </c>
      <c r="F1220" s="79" t="s">
        <v>2539</v>
      </c>
      <c r="G1220" s="79" t="s">
        <v>2546</v>
      </c>
      <c r="H1220" s="79" t="s">
        <v>2547</v>
      </c>
      <c r="I1220" s="79"/>
    </row>
    <row r="1221" spans="1:9" ht="15">
      <c r="A1221" s="79" t="s">
        <v>3200</v>
      </c>
      <c r="B1221" s="79" t="s">
        <v>3201</v>
      </c>
      <c r="C1221" s="79">
        <v>596732645</v>
      </c>
      <c r="D1221" s="79">
        <v>0</v>
      </c>
      <c r="E1221" s="79" t="s">
        <v>1124</v>
      </c>
      <c r="F1221" s="79" t="s">
        <v>2539</v>
      </c>
      <c r="G1221" s="79" t="s">
        <v>2581</v>
      </c>
      <c r="H1221" s="79"/>
      <c r="I1221" s="79"/>
    </row>
    <row r="1222" spans="1:9" ht="15">
      <c r="A1222" s="79" t="s">
        <v>3202</v>
      </c>
      <c r="B1222" s="79" t="s">
        <v>3203</v>
      </c>
      <c r="C1222" s="79">
        <v>596775245</v>
      </c>
      <c r="D1222" s="79">
        <v>0</v>
      </c>
      <c r="E1222" s="79" t="s">
        <v>1124</v>
      </c>
      <c r="F1222" s="79" t="s">
        <v>2539</v>
      </c>
      <c r="G1222" s="79" t="s">
        <v>1130</v>
      </c>
      <c r="H1222" s="79"/>
      <c r="I1222" s="79"/>
    </row>
    <row r="1223" spans="1:9" ht="15">
      <c r="A1223" s="79" t="s">
        <v>3202</v>
      </c>
      <c r="B1223" s="79" t="s">
        <v>3203</v>
      </c>
      <c r="C1223" s="79">
        <v>596775245</v>
      </c>
      <c r="D1223" s="79">
        <v>0</v>
      </c>
      <c r="E1223" s="79" t="s">
        <v>1124</v>
      </c>
      <c r="F1223" s="79" t="s">
        <v>2539</v>
      </c>
      <c r="G1223" s="79" t="s">
        <v>1131</v>
      </c>
      <c r="H1223" s="79" t="s">
        <v>1132</v>
      </c>
      <c r="I1223" s="79"/>
    </row>
    <row r="1224" spans="1:9" ht="15">
      <c r="A1224" s="79" t="s">
        <v>3202</v>
      </c>
      <c r="B1224" s="79" t="s">
        <v>3203</v>
      </c>
      <c r="C1224" s="79">
        <v>596775245</v>
      </c>
      <c r="D1224" s="79">
        <v>0</v>
      </c>
      <c r="E1224" s="79" t="s">
        <v>1124</v>
      </c>
      <c r="F1224" s="79" t="s">
        <v>2539</v>
      </c>
      <c r="G1224" s="79" t="s">
        <v>2578</v>
      </c>
      <c r="H1224" s="79"/>
      <c r="I1224" s="79"/>
    </row>
    <row r="1225" spans="1:9" ht="15">
      <c r="A1225" s="79" t="s">
        <v>3204</v>
      </c>
      <c r="B1225" s="79" t="s">
        <v>3205</v>
      </c>
      <c r="C1225" s="79">
        <v>596775845</v>
      </c>
      <c r="D1225" s="79">
        <v>0</v>
      </c>
      <c r="E1225" s="79" t="s">
        <v>1124</v>
      </c>
      <c r="F1225" s="79" t="s">
        <v>2539</v>
      </c>
      <c r="G1225" s="79" t="s">
        <v>2546</v>
      </c>
      <c r="H1225" s="79" t="s">
        <v>2547</v>
      </c>
      <c r="I1225" s="79"/>
    </row>
    <row r="1226" spans="1:9" ht="15">
      <c r="A1226" s="79" t="s">
        <v>3204</v>
      </c>
      <c r="B1226" s="79" t="s">
        <v>3205</v>
      </c>
      <c r="C1226" s="79">
        <v>596775845</v>
      </c>
      <c r="D1226" s="79">
        <v>0</v>
      </c>
      <c r="E1226" s="79" t="s">
        <v>1124</v>
      </c>
      <c r="F1226" s="79" t="s">
        <v>2539</v>
      </c>
      <c r="G1226" s="79" t="s">
        <v>2581</v>
      </c>
      <c r="H1226" s="79"/>
      <c r="I1226" s="79"/>
    </row>
    <row r="1227" spans="1:9" ht="15">
      <c r="A1227" s="79" t="s">
        <v>3206</v>
      </c>
      <c r="B1227" s="79" t="s">
        <v>3207</v>
      </c>
      <c r="C1227" s="79">
        <v>596818445</v>
      </c>
      <c r="D1227" s="79">
        <v>0</v>
      </c>
      <c r="E1227" s="79" t="s">
        <v>1124</v>
      </c>
      <c r="F1227" s="79" t="s">
        <v>2539</v>
      </c>
      <c r="G1227" s="79" t="s">
        <v>1130</v>
      </c>
      <c r="H1227" s="79"/>
      <c r="I1227" s="79"/>
    </row>
    <row r="1228" spans="1:9" ht="15">
      <c r="A1228" s="79" t="s">
        <v>3206</v>
      </c>
      <c r="B1228" s="79" t="s">
        <v>3207</v>
      </c>
      <c r="C1228" s="79">
        <v>596818445</v>
      </c>
      <c r="D1228" s="79">
        <v>0</v>
      </c>
      <c r="E1228" s="79" t="s">
        <v>1124</v>
      </c>
      <c r="F1228" s="79" t="s">
        <v>2539</v>
      </c>
      <c r="G1228" s="79" t="s">
        <v>1131</v>
      </c>
      <c r="H1228" s="79" t="s">
        <v>1132</v>
      </c>
      <c r="I1228" s="79"/>
    </row>
    <row r="1229" spans="1:9" ht="15">
      <c r="A1229" s="79" t="s">
        <v>3206</v>
      </c>
      <c r="B1229" s="79" t="s">
        <v>3207</v>
      </c>
      <c r="C1229" s="79">
        <v>596818445</v>
      </c>
      <c r="D1229" s="79">
        <v>0</v>
      </c>
      <c r="E1229" s="79" t="s">
        <v>1124</v>
      </c>
      <c r="F1229" s="79" t="s">
        <v>2539</v>
      </c>
      <c r="G1229" s="79" t="s">
        <v>2578</v>
      </c>
      <c r="H1229" s="79"/>
      <c r="I1229" s="79"/>
    </row>
    <row r="1230" spans="1:9" ht="15">
      <c r="A1230" s="79" t="s">
        <v>3208</v>
      </c>
      <c r="B1230" s="79" t="s">
        <v>3209</v>
      </c>
      <c r="C1230" s="79">
        <v>596819045</v>
      </c>
      <c r="D1230" s="79">
        <v>0</v>
      </c>
      <c r="E1230" s="79" t="s">
        <v>1124</v>
      </c>
      <c r="F1230" s="79" t="s">
        <v>2539</v>
      </c>
      <c r="G1230" s="79" t="s">
        <v>2546</v>
      </c>
      <c r="H1230" s="79" t="s">
        <v>2547</v>
      </c>
      <c r="I1230" s="79"/>
    </row>
    <row r="1231" spans="1:9" ht="15">
      <c r="A1231" s="79" t="s">
        <v>3208</v>
      </c>
      <c r="B1231" s="79" t="s">
        <v>3209</v>
      </c>
      <c r="C1231" s="79">
        <v>596819045</v>
      </c>
      <c r="D1231" s="79">
        <v>0</v>
      </c>
      <c r="E1231" s="79" t="s">
        <v>1124</v>
      </c>
      <c r="F1231" s="79" t="s">
        <v>2539</v>
      </c>
      <c r="G1231" s="79" t="s">
        <v>2581</v>
      </c>
      <c r="H1231" s="79"/>
      <c r="I1231" s="79"/>
    </row>
    <row r="1232" spans="1:9" ht="15">
      <c r="A1232" s="79" t="s">
        <v>3210</v>
      </c>
      <c r="B1232" s="79" t="s">
        <v>3211</v>
      </c>
      <c r="C1232" s="79">
        <v>596861645</v>
      </c>
      <c r="D1232" s="79">
        <v>0</v>
      </c>
      <c r="E1232" s="79" t="s">
        <v>1124</v>
      </c>
      <c r="F1232" s="79" t="s">
        <v>2539</v>
      </c>
      <c r="G1232" s="79" t="s">
        <v>1130</v>
      </c>
      <c r="H1232" s="79"/>
      <c r="I1232" s="79"/>
    </row>
    <row r="1233" spans="1:9" ht="15">
      <c r="A1233" s="79" t="s">
        <v>3210</v>
      </c>
      <c r="B1233" s="79" t="s">
        <v>3211</v>
      </c>
      <c r="C1233" s="79">
        <v>596861645</v>
      </c>
      <c r="D1233" s="79">
        <v>0</v>
      </c>
      <c r="E1233" s="79" t="s">
        <v>1124</v>
      </c>
      <c r="F1233" s="79" t="s">
        <v>2539</v>
      </c>
      <c r="G1233" s="79" t="s">
        <v>1131</v>
      </c>
      <c r="H1233" s="79" t="s">
        <v>1132</v>
      </c>
      <c r="I1233" s="79"/>
    </row>
    <row r="1234" spans="1:9" ht="15">
      <c r="A1234" s="79" t="s">
        <v>3210</v>
      </c>
      <c r="B1234" s="79" t="s">
        <v>3211</v>
      </c>
      <c r="C1234" s="79">
        <v>596861645</v>
      </c>
      <c r="D1234" s="79">
        <v>0</v>
      </c>
      <c r="E1234" s="79" t="s">
        <v>1124</v>
      </c>
      <c r="F1234" s="79" t="s">
        <v>2539</v>
      </c>
      <c r="G1234" s="79" t="s">
        <v>2578</v>
      </c>
      <c r="H1234" s="79"/>
      <c r="I1234" s="79"/>
    </row>
    <row r="1235" spans="1:9" ht="15">
      <c r="A1235" s="79" t="s">
        <v>3212</v>
      </c>
      <c r="B1235" s="79" t="s">
        <v>3213</v>
      </c>
      <c r="C1235" s="79">
        <v>596862245</v>
      </c>
      <c r="D1235" s="79">
        <v>0</v>
      </c>
      <c r="E1235" s="79" t="s">
        <v>1124</v>
      </c>
      <c r="F1235" s="79" t="s">
        <v>2539</v>
      </c>
      <c r="G1235" s="79" t="s">
        <v>2546</v>
      </c>
      <c r="H1235" s="79" t="s">
        <v>2547</v>
      </c>
      <c r="I1235" s="79"/>
    </row>
    <row r="1236" spans="1:9" ht="15">
      <c r="A1236" s="79" t="s">
        <v>3212</v>
      </c>
      <c r="B1236" s="79" t="s">
        <v>3213</v>
      </c>
      <c r="C1236" s="79">
        <v>596862245</v>
      </c>
      <c r="D1236" s="79">
        <v>0</v>
      </c>
      <c r="E1236" s="79" t="s">
        <v>1124</v>
      </c>
      <c r="F1236" s="79" t="s">
        <v>2539</v>
      </c>
      <c r="G1236" s="79" t="s">
        <v>2581</v>
      </c>
      <c r="H1236" s="79"/>
      <c r="I1236" s="79"/>
    </row>
    <row r="1237" spans="1:9" ht="15">
      <c r="A1237" s="79" t="s">
        <v>3214</v>
      </c>
      <c r="B1237" s="79" t="s">
        <v>3215</v>
      </c>
      <c r="C1237" s="79">
        <v>596904845</v>
      </c>
      <c r="D1237" s="79">
        <v>0</v>
      </c>
      <c r="E1237" s="79" t="s">
        <v>1124</v>
      </c>
      <c r="F1237" s="79" t="s">
        <v>2539</v>
      </c>
      <c r="G1237" s="79" t="s">
        <v>1130</v>
      </c>
      <c r="H1237" s="79"/>
      <c r="I1237" s="79"/>
    </row>
    <row r="1238" spans="1:9" ht="15">
      <c r="A1238" s="79" t="s">
        <v>3214</v>
      </c>
      <c r="B1238" s="79" t="s">
        <v>3215</v>
      </c>
      <c r="C1238" s="79">
        <v>596904845</v>
      </c>
      <c r="D1238" s="79">
        <v>0</v>
      </c>
      <c r="E1238" s="79" t="s">
        <v>1124</v>
      </c>
      <c r="F1238" s="79" t="s">
        <v>2539</v>
      </c>
      <c r="G1238" s="79" t="s">
        <v>1131</v>
      </c>
      <c r="H1238" s="79" t="s">
        <v>1132</v>
      </c>
      <c r="I1238" s="79"/>
    </row>
    <row r="1239" spans="1:9" ht="15">
      <c r="A1239" s="79" t="s">
        <v>3214</v>
      </c>
      <c r="B1239" s="79" t="s">
        <v>3215</v>
      </c>
      <c r="C1239" s="79">
        <v>596904845</v>
      </c>
      <c r="D1239" s="79">
        <v>0</v>
      </c>
      <c r="E1239" s="79" t="s">
        <v>1124</v>
      </c>
      <c r="F1239" s="79" t="s">
        <v>2539</v>
      </c>
      <c r="G1239" s="79" t="s">
        <v>2578</v>
      </c>
      <c r="H1239" s="79"/>
      <c r="I1239" s="79"/>
    </row>
    <row r="1240" spans="1:9" ht="15">
      <c r="A1240" s="79" t="s">
        <v>3216</v>
      </c>
      <c r="B1240" s="79" t="s">
        <v>3217</v>
      </c>
      <c r="C1240" s="79">
        <v>596905445</v>
      </c>
      <c r="D1240" s="79">
        <v>0</v>
      </c>
      <c r="E1240" s="79" t="s">
        <v>1124</v>
      </c>
      <c r="F1240" s="79" t="s">
        <v>2539</v>
      </c>
      <c r="G1240" s="79" t="s">
        <v>2546</v>
      </c>
      <c r="H1240" s="79" t="s">
        <v>2547</v>
      </c>
      <c r="I1240" s="79"/>
    </row>
    <row r="1241" spans="1:9" ht="15">
      <c r="A1241" s="79" t="s">
        <v>3216</v>
      </c>
      <c r="B1241" s="79" t="s">
        <v>3217</v>
      </c>
      <c r="C1241" s="79">
        <v>596905445</v>
      </c>
      <c r="D1241" s="79">
        <v>0</v>
      </c>
      <c r="E1241" s="79" t="s">
        <v>1124</v>
      </c>
      <c r="F1241" s="79" t="s">
        <v>2539</v>
      </c>
      <c r="G1241" s="79" t="s">
        <v>2581</v>
      </c>
      <c r="H1241" s="79"/>
      <c r="I1241" s="79"/>
    </row>
    <row r="1242" spans="1:9" ht="15">
      <c r="A1242" s="79" t="s">
        <v>3218</v>
      </c>
      <c r="B1242" s="79" t="s">
        <v>3219</v>
      </c>
      <c r="C1242" s="79">
        <v>596948045</v>
      </c>
      <c r="D1242" s="79">
        <v>0</v>
      </c>
      <c r="E1242" s="79" t="s">
        <v>1124</v>
      </c>
      <c r="F1242" s="79" t="s">
        <v>2539</v>
      </c>
      <c r="G1242" s="79" t="s">
        <v>1130</v>
      </c>
      <c r="H1242" s="79"/>
      <c r="I1242" s="79"/>
    </row>
    <row r="1243" spans="1:9" ht="15">
      <c r="A1243" s="79" t="s">
        <v>3218</v>
      </c>
      <c r="B1243" s="79" t="s">
        <v>3219</v>
      </c>
      <c r="C1243" s="79">
        <v>596948045</v>
      </c>
      <c r="D1243" s="79">
        <v>0</v>
      </c>
      <c r="E1243" s="79" t="s">
        <v>1124</v>
      </c>
      <c r="F1243" s="79" t="s">
        <v>2539</v>
      </c>
      <c r="G1243" s="79" t="s">
        <v>1131</v>
      </c>
      <c r="H1243" s="79" t="s">
        <v>1132</v>
      </c>
      <c r="I1243" s="79"/>
    </row>
    <row r="1244" spans="1:9" ht="15">
      <c r="A1244" s="79" t="s">
        <v>3218</v>
      </c>
      <c r="B1244" s="79" t="s">
        <v>3219</v>
      </c>
      <c r="C1244" s="79">
        <v>596948045</v>
      </c>
      <c r="D1244" s="79">
        <v>0</v>
      </c>
      <c r="E1244" s="79" t="s">
        <v>1124</v>
      </c>
      <c r="F1244" s="79" t="s">
        <v>2539</v>
      </c>
      <c r="G1244" s="79" t="s">
        <v>2578</v>
      </c>
      <c r="H1244" s="79"/>
      <c r="I1244" s="79"/>
    </row>
    <row r="1245" spans="1:9" ht="15">
      <c r="A1245" s="79" t="s">
        <v>3220</v>
      </c>
      <c r="B1245" s="79" t="s">
        <v>3221</v>
      </c>
      <c r="C1245" s="79">
        <v>596948645</v>
      </c>
      <c r="D1245" s="79">
        <v>0</v>
      </c>
      <c r="E1245" s="79" t="s">
        <v>1124</v>
      </c>
      <c r="F1245" s="79" t="s">
        <v>2539</v>
      </c>
      <c r="G1245" s="79" t="s">
        <v>2546</v>
      </c>
      <c r="H1245" s="79" t="s">
        <v>2547</v>
      </c>
      <c r="I1245" s="79"/>
    </row>
    <row r="1246" spans="1:9" ht="15">
      <c r="A1246" s="79" t="s">
        <v>3220</v>
      </c>
      <c r="B1246" s="79" t="s">
        <v>3221</v>
      </c>
      <c r="C1246" s="79">
        <v>596948645</v>
      </c>
      <c r="D1246" s="79">
        <v>0</v>
      </c>
      <c r="E1246" s="79" t="s">
        <v>1124</v>
      </c>
      <c r="F1246" s="79" t="s">
        <v>2539</v>
      </c>
      <c r="G1246" s="79" t="s">
        <v>2581</v>
      </c>
      <c r="H1246" s="79"/>
      <c r="I1246" s="79"/>
    </row>
    <row r="1247" spans="1:9" ht="15">
      <c r="A1247" s="79" t="s">
        <v>3222</v>
      </c>
      <c r="B1247" s="79" t="s">
        <v>3223</v>
      </c>
      <c r="C1247" s="79">
        <v>596991245</v>
      </c>
      <c r="D1247" s="79">
        <v>0</v>
      </c>
      <c r="E1247" s="79" t="s">
        <v>1124</v>
      </c>
      <c r="F1247" s="79" t="s">
        <v>2539</v>
      </c>
      <c r="G1247" s="79" t="s">
        <v>1130</v>
      </c>
      <c r="H1247" s="79"/>
      <c r="I1247" s="79"/>
    </row>
    <row r="1248" spans="1:9" ht="15">
      <c r="A1248" s="79" t="s">
        <v>3222</v>
      </c>
      <c r="B1248" s="79" t="s">
        <v>3223</v>
      </c>
      <c r="C1248" s="79">
        <v>596991245</v>
      </c>
      <c r="D1248" s="79">
        <v>0</v>
      </c>
      <c r="E1248" s="79" t="s">
        <v>1124</v>
      </c>
      <c r="F1248" s="79" t="s">
        <v>2539</v>
      </c>
      <c r="G1248" s="79" t="s">
        <v>1131</v>
      </c>
      <c r="H1248" s="79" t="s">
        <v>1132</v>
      </c>
      <c r="I1248" s="79"/>
    </row>
    <row r="1249" spans="1:9" ht="15">
      <c r="A1249" s="79" t="s">
        <v>3222</v>
      </c>
      <c r="B1249" s="79" t="s">
        <v>3223</v>
      </c>
      <c r="C1249" s="79">
        <v>596991245</v>
      </c>
      <c r="D1249" s="79">
        <v>0</v>
      </c>
      <c r="E1249" s="79" t="s">
        <v>1124</v>
      </c>
      <c r="F1249" s="79" t="s">
        <v>2539</v>
      </c>
      <c r="G1249" s="79" t="s">
        <v>2578</v>
      </c>
      <c r="H1249" s="79"/>
      <c r="I1249" s="79"/>
    </row>
    <row r="1250" spans="1:9" ht="15">
      <c r="A1250" s="79" t="s">
        <v>3224</v>
      </c>
      <c r="B1250" s="79" t="s">
        <v>3225</v>
      </c>
      <c r="C1250" s="79">
        <v>596991845</v>
      </c>
      <c r="D1250" s="79">
        <v>0</v>
      </c>
      <c r="E1250" s="79" t="s">
        <v>1124</v>
      </c>
      <c r="F1250" s="79" t="s">
        <v>2539</v>
      </c>
      <c r="G1250" s="79" t="s">
        <v>2546</v>
      </c>
      <c r="H1250" s="79" t="s">
        <v>2547</v>
      </c>
      <c r="I1250" s="79"/>
    </row>
    <row r="1251" spans="1:9" ht="15">
      <c r="A1251" s="79" t="s">
        <v>3224</v>
      </c>
      <c r="B1251" s="79" t="s">
        <v>3225</v>
      </c>
      <c r="C1251" s="79">
        <v>596991845</v>
      </c>
      <c r="D1251" s="79">
        <v>0</v>
      </c>
      <c r="E1251" s="79" t="s">
        <v>1124</v>
      </c>
      <c r="F1251" s="79" t="s">
        <v>2539</v>
      </c>
      <c r="G1251" s="79" t="s">
        <v>2581</v>
      </c>
      <c r="H1251" s="79"/>
      <c r="I1251" s="79"/>
    </row>
    <row r="1252" spans="1:9" ht="15">
      <c r="A1252" s="79" t="s">
        <v>3226</v>
      </c>
      <c r="B1252" s="79" t="s">
        <v>3227</v>
      </c>
      <c r="C1252" s="79">
        <v>597034445</v>
      </c>
      <c r="D1252" s="79">
        <v>0</v>
      </c>
      <c r="E1252" s="79" t="s">
        <v>1124</v>
      </c>
      <c r="F1252" s="79" t="s">
        <v>2539</v>
      </c>
      <c r="G1252" s="79" t="s">
        <v>1130</v>
      </c>
      <c r="H1252" s="79"/>
      <c r="I1252" s="79"/>
    </row>
    <row r="1253" spans="1:9" ht="15">
      <c r="A1253" s="79" t="s">
        <v>3226</v>
      </c>
      <c r="B1253" s="79" t="s">
        <v>3227</v>
      </c>
      <c r="C1253" s="79">
        <v>597034445</v>
      </c>
      <c r="D1253" s="79">
        <v>0</v>
      </c>
      <c r="E1253" s="79" t="s">
        <v>1124</v>
      </c>
      <c r="F1253" s="79" t="s">
        <v>2539</v>
      </c>
      <c r="G1253" s="79" t="s">
        <v>1131</v>
      </c>
      <c r="H1253" s="79" t="s">
        <v>1132</v>
      </c>
      <c r="I1253" s="79"/>
    </row>
    <row r="1254" spans="1:9" ht="15">
      <c r="A1254" s="79" t="s">
        <v>3226</v>
      </c>
      <c r="B1254" s="79" t="s">
        <v>3227</v>
      </c>
      <c r="C1254" s="79">
        <v>597034445</v>
      </c>
      <c r="D1254" s="79">
        <v>0</v>
      </c>
      <c r="E1254" s="79" t="s">
        <v>1124</v>
      </c>
      <c r="F1254" s="79" t="s">
        <v>2539</v>
      </c>
      <c r="G1254" s="79" t="s">
        <v>2578</v>
      </c>
      <c r="H1254" s="79"/>
      <c r="I1254" s="79"/>
    </row>
    <row r="1255" spans="1:9" ht="15">
      <c r="A1255" s="79" t="s">
        <v>3228</v>
      </c>
      <c r="B1255" s="79" t="s">
        <v>3229</v>
      </c>
      <c r="C1255" s="79">
        <v>597035045</v>
      </c>
      <c r="D1255" s="79">
        <v>0</v>
      </c>
      <c r="E1255" s="79" t="s">
        <v>1124</v>
      </c>
      <c r="F1255" s="79" t="s">
        <v>2539</v>
      </c>
      <c r="G1255" s="79" t="s">
        <v>2546</v>
      </c>
      <c r="H1255" s="79" t="s">
        <v>2547</v>
      </c>
      <c r="I1255" s="79"/>
    </row>
    <row r="1256" spans="1:9" ht="15">
      <c r="A1256" s="79" t="s">
        <v>3228</v>
      </c>
      <c r="B1256" s="79" t="s">
        <v>3229</v>
      </c>
      <c r="C1256" s="79">
        <v>597035045</v>
      </c>
      <c r="D1256" s="79">
        <v>0</v>
      </c>
      <c r="E1256" s="79" t="s">
        <v>1124</v>
      </c>
      <c r="F1256" s="79" t="s">
        <v>2539</v>
      </c>
      <c r="G1256" s="79" t="s">
        <v>2581</v>
      </c>
      <c r="H1256" s="79"/>
      <c r="I1256" s="79"/>
    </row>
    <row r="1257" spans="1:9" ht="15">
      <c r="A1257" s="79" t="s">
        <v>3230</v>
      </c>
      <c r="B1257" s="79" t="s">
        <v>3231</v>
      </c>
      <c r="C1257" s="79">
        <v>597077645</v>
      </c>
      <c r="D1257" s="79">
        <v>0</v>
      </c>
      <c r="E1257" s="79" t="s">
        <v>1124</v>
      </c>
      <c r="F1257" s="79" t="s">
        <v>2539</v>
      </c>
      <c r="G1257" s="79" t="s">
        <v>1130</v>
      </c>
      <c r="H1257" s="79"/>
      <c r="I1257" s="79"/>
    </row>
    <row r="1258" spans="1:9" ht="15">
      <c r="A1258" s="79" t="s">
        <v>3230</v>
      </c>
      <c r="B1258" s="79" t="s">
        <v>3231</v>
      </c>
      <c r="C1258" s="79">
        <v>597077645</v>
      </c>
      <c r="D1258" s="79">
        <v>0</v>
      </c>
      <c r="E1258" s="79" t="s">
        <v>1124</v>
      </c>
      <c r="F1258" s="79" t="s">
        <v>2539</v>
      </c>
      <c r="G1258" s="79" t="s">
        <v>1131</v>
      </c>
      <c r="H1258" s="79" t="s">
        <v>1132</v>
      </c>
      <c r="I1258" s="79"/>
    </row>
    <row r="1259" spans="1:9" ht="15">
      <c r="A1259" s="79" t="s">
        <v>3230</v>
      </c>
      <c r="B1259" s="79" t="s">
        <v>3231</v>
      </c>
      <c r="C1259" s="79">
        <v>597077645</v>
      </c>
      <c r="D1259" s="79">
        <v>0</v>
      </c>
      <c r="E1259" s="79" t="s">
        <v>1124</v>
      </c>
      <c r="F1259" s="79" t="s">
        <v>2539</v>
      </c>
      <c r="G1259" s="79" t="s">
        <v>2578</v>
      </c>
      <c r="H1259" s="79"/>
      <c r="I1259" s="79"/>
    </row>
    <row r="1260" spans="1:9" ht="15">
      <c r="A1260" s="79" t="s">
        <v>3232</v>
      </c>
      <c r="B1260" s="79" t="s">
        <v>3233</v>
      </c>
      <c r="C1260" s="79">
        <v>597078245</v>
      </c>
      <c r="D1260" s="79">
        <v>0</v>
      </c>
      <c r="E1260" s="79" t="s">
        <v>1124</v>
      </c>
      <c r="F1260" s="79" t="s">
        <v>2539</v>
      </c>
      <c r="G1260" s="79" t="s">
        <v>2546</v>
      </c>
      <c r="H1260" s="79" t="s">
        <v>2547</v>
      </c>
      <c r="I1260" s="79"/>
    </row>
    <row r="1261" spans="1:9" ht="15">
      <c r="A1261" s="79" t="s">
        <v>3232</v>
      </c>
      <c r="B1261" s="79" t="s">
        <v>3233</v>
      </c>
      <c r="C1261" s="79">
        <v>597078245</v>
      </c>
      <c r="D1261" s="79">
        <v>0</v>
      </c>
      <c r="E1261" s="79" t="s">
        <v>1124</v>
      </c>
      <c r="F1261" s="79" t="s">
        <v>2539</v>
      </c>
      <c r="G1261" s="79" t="s">
        <v>2581</v>
      </c>
      <c r="H1261" s="79"/>
      <c r="I1261" s="79"/>
    </row>
    <row r="1262" spans="1:9" ht="15">
      <c r="A1262" s="79" t="s">
        <v>3234</v>
      </c>
      <c r="B1262" s="79" t="s">
        <v>3235</v>
      </c>
      <c r="C1262" s="79">
        <v>597120845</v>
      </c>
      <c r="D1262" s="79">
        <v>0</v>
      </c>
      <c r="E1262" s="79" t="s">
        <v>1124</v>
      </c>
      <c r="F1262" s="79" t="s">
        <v>2539</v>
      </c>
      <c r="G1262" s="79" t="s">
        <v>1130</v>
      </c>
      <c r="H1262" s="79"/>
      <c r="I1262" s="79"/>
    </row>
    <row r="1263" spans="1:9" ht="15">
      <c r="A1263" s="79" t="s">
        <v>3234</v>
      </c>
      <c r="B1263" s="79" t="s">
        <v>3235</v>
      </c>
      <c r="C1263" s="79">
        <v>597120845</v>
      </c>
      <c r="D1263" s="79">
        <v>0</v>
      </c>
      <c r="E1263" s="79" t="s">
        <v>1124</v>
      </c>
      <c r="F1263" s="79" t="s">
        <v>2539</v>
      </c>
      <c r="G1263" s="79" t="s">
        <v>1131</v>
      </c>
      <c r="H1263" s="79" t="s">
        <v>1132</v>
      </c>
      <c r="I1263" s="79"/>
    </row>
    <row r="1264" spans="1:9" ht="15">
      <c r="A1264" s="79" t="s">
        <v>3234</v>
      </c>
      <c r="B1264" s="79" t="s">
        <v>3235</v>
      </c>
      <c r="C1264" s="79">
        <v>597120845</v>
      </c>
      <c r="D1264" s="79">
        <v>0</v>
      </c>
      <c r="E1264" s="79" t="s">
        <v>1124</v>
      </c>
      <c r="F1264" s="79" t="s">
        <v>2539</v>
      </c>
      <c r="G1264" s="79" t="s">
        <v>2578</v>
      </c>
      <c r="H1264" s="79"/>
      <c r="I1264" s="79"/>
    </row>
    <row r="1265" spans="1:9" ht="15">
      <c r="A1265" s="79" t="s">
        <v>3236</v>
      </c>
      <c r="B1265" s="79" t="s">
        <v>3237</v>
      </c>
      <c r="C1265" s="79">
        <v>597121445</v>
      </c>
      <c r="D1265" s="79">
        <v>0</v>
      </c>
      <c r="E1265" s="79" t="s">
        <v>1124</v>
      </c>
      <c r="F1265" s="79" t="s">
        <v>2539</v>
      </c>
      <c r="G1265" s="79" t="s">
        <v>2546</v>
      </c>
      <c r="H1265" s="79" t="s">
        <v>2547</v>
      </c>
      <c r="I1265" s="79"/>
    </row>
    <row r="1266" spans="1:9" ht="15">
      <c r="A1266" s="79" t="s">
        <v>3236</v>
      </c>
      <c r="B1266" s="79" t="s">
        <v>3237</v>
      </c>
      <c r="C1266" s="79">
        <v>597121445</v>
      </c>
      <c r="D1266" s="79">
        <v>0</v>
      </c>
      <c r="E1266" s="79" t="s">
        <v>1124</v>
      </c>
      <c r="F1266" s="79" t="s">
        <v>2539</v>
      </c>
      <c r="G1266" s="79" t="s">
        <v>2581</v>
      </c>
      <c r="H1266" s="79"/>
      <c r="I1266" s="79"/>
    </row>
    <row r="1267" spans="1:9" ht="15">
      <c r="A1267" s="79" t="s">
        <v>3238</v>
      </c>
      <c r="B1267" s="79" t="s">
        <v>3239</v>
      </c>
      <c r="C1267" s="79">
        <v>597164045</v>
      </c>
      <c r="D1267" s="79">
        <v>0</v>
      </c>
      <c r="E1267" s="79" t="s">
        <v>1124</v>
      </c>
      <c r="F1267" s="79" t="s">
        <v>2539</v>
      </c>
      <c r="G1267" s="79" t="s">
        <v>1130</v>
      </c>
      <c r="H1267" s="79"/>
      <c r="I1267" s="79"/>
    </row>
    <row r="1268" spans="1:9" ht="15">
      <c r="A1268" s="79" t="s">
        <v>3238</v>
      </c>
      <c r="B1268" s="79" t="s">
        <v>3239</v>
      </c>
      <c r="C1268" s="79">
        <v>597164045</v>
      </c>
      <c r="D1268" s="79">
        <v>0</v>
      </c>
      <c r="E1268" s="79" t="s">
        <v>1124</v>
      </c>
      <c r="F1268" s="79" t="s">
        <v>2539</v>
      </c>
      <c r="G1268" s="79" t="s">
        <v>2109</v>
      </c>
      <c r="H1268" s="79"/>
      <c r="I1268" s="79"/>
    </row>
    <row r="1269" spans="1:9" ht="15">
      <c r="A1269" s="79" t="s">
        <v>3240</v>
      </c>
      <c r="B1269" s="79" t="s">
        <v>3241</v>
      </c>
      <c r="C1269" s="79">
        <v>597164048</v>
      </c>
      <c r="D1269" s="79">
        <v>0</v>
      </c>
      <c r="E1269" s="79" t="s">
        <v>1124</v>
      </c>
      <c r="F1269" s="79" t="s">
        <v>2539</v>
      </c>
      <c r="G1269" s="79" t="s">
        <v>1130</v>
      </c>
      <c r="H1269" s="79"/>
      <c r="I1269" s="79"/>
    </row>
    <row r="1270" spans="1:9" ht="15">
      <c r="A1270" s="79" t="s">
        <v>3240</v>
      </c>
      <c r="B1270" s="79" t="s">
        <v>3241</v>
      </c>
      <c r="C1270" s="79">
        <v>597164048</v>
      </c>
      <c r="D1270" s="79">
        <v>0</v>
      </c>
      <c r="E1270" s="79" t="s">
        <v>1124</v>
      </c>
      <c r="F1270" s="79" t="s">
        <v>2539</v>
      </c>
      <c r="G1270" s="79" t="s">
        <v>2572</v>
      </c>
      <c r="H1270" s="79" t="s">
        <v>2573</v>
      </c>
      <c r="I1270" s="79"/>
    </row>
    <row r="1271" spans="1:9" ht="15">
      <c r="A1271" s="79" t="s">
        <v>3240</v>
      </c>
      <c r="B1271" s="79" t="s">
        <v>3241</v>
      </c>
      <c r="C1271" s="79">
        <v>597164048</v>
      </c>
      <c r="D1271" s="79">
        <v>0</v>
      </c>
      <c r="E1271" s="79" t="s">
        <v>1124</v>
      </c>
      <c r="F1271" s="79" t="s">
        <v>2539</v>
      </c>
      <c r="G1271" s="79" t="s">
        <v>2568</v>
      </c>
      <c r="H1271" s="79"/>
      <c r="I1271" s="79"/>
    </row>
    <row r="1272" spans="1:9" ht="15">
      <c r="A1272" s="79" t="s">
        <v>3242</v>
      </c>
      <c r="B1272" s="79" t="s">
        <v>3243</v>
      </c>
      <c r="C1272" s="79">
        <v>597164408</v>
      </c>
      <c r="D1272" s="79">
        <v>0</v>
      </c>
      <c r="E1272" s="79" t="s">
        <v>1124</v>
      </c>
      <c r="F1272" s="79" t="s">
        <v>2539</v>
      </c>
      <c r="G1272" s="79" t="s">
        <v>2576</v>
      </c>
      <c r="H1272" s="79"/>
      <c r="I1272" s="79"/>
    </row>
    <row r="1273" spans="1:9" ht="15">
      <c r="A1273" s="79" t="s">
        <v>3242</v>
      </c>
      <c r="B1273" s="79" t="s">
        <v>3243</v>
      </c>
      <c r="C1273" s="79">
        <v>597164408</v>
      </c>
      <c r="D1273" s="79">
        <v>0</v>
      </c>
      <c r="E1273" s="79" t="s">
        <v>1124</v>
      </c>
      <c r="F1273" s="79" t="s">
        <v>2539</v>
      </c>
      <c r="G1273" s="79" t="s">
        <v>2577</v>
      </c>
      <c r="H1273" s="79"/>
      <c r="I1273" s="79"/>
    </row>
    <row r="1274" spans="1:9" ht="15">
      <c r="A1274" s="79" t="s">
        <v>3242</v>
      </c>
      <c r="B1274" s="79" t="s">
        <v>3243</v>
      </c>
      <c r="C1274" s="79">
        <v>597164408</v>
      </c>
      <c r="D1274" s="79">
        <v>0</v>
      </c>
      <c r="E1274" s="79" t="s">
        <v>1124</v>
      </c>
      <c r="F1274" s="79" t="s">
        <v>2539</v>
      </c>
      <c r="G1274" s="79" t="s">
        <v>1131</v>
      </c>
      <c r="H1274" s="79" t="s">
        <v>1132</v>
      </c>
      <c r="I1274" s="79"/>
    </row>
    <row r="1275" spans="1:9" ht="15">
      <c r="A1275" s="79" t="s">
        <v>3242</v>
      </c>
      <c r="B1275" s="79" t="s">
        <v>3243</v>
      </c>
      <c r="C1275" s="79">
        <v>597164408</v>
      </c>
      <c r="D1275" s="79">
        <v>0</v>
      </c>
      <c r="E1275" s="79" t="s">
        <v>1124</v>
      </c>
      <c r="F1275" s="79" t="s">
        <v>2539</v>
      </c>
      <c r="G1275" s="79" t="s">
        <v>2578</v>
      </c>
      <c r="H1275" s="79"/>
      <c r="I1275" s="79"/>
    </row>
    <row r="1276" spans="1:9" ht="15">
      <c r="A1276" s="79" t="s">
        <v>3244</v>
      </c>
      <c r="B1276" s="79" t="s">
        <v>3245</v>
      </c>
      <c r="C1276" s="79">
        <v>597165008</v>
      </c>
      <c r="D1276" s="79">
        <v>0</v>
      </c>
      <c r="E1276" s="79" t="s">
        <v>1124</v>
      </c>
      <c r="F1276" s="79" t="s">
        <v>2539</v>
      </c>
      <c r="G1276" s="79" t="s">
        <v>2546</v>
      </c>
      <c r="H1276" s="79" t="s">
        <v>2547</v>
      </c>
      <c r="I1276" s="79"/>
    </row>
    <row r="1277" spans="1:9" ht="15">
      <c r="A1277" s="79" t="s">
        <v>3244</v>
      </c>
      <c r="B1277" s="79" t="s">
        <v>3245</v>
      </c>
      <c r="C1277" s="79">
        <v>597165008</v>
      </c>
      <c r="D1277" s="79">
        <v>0</v>
      </c>
      <c r="E1277" s="79" t="s">
        <v>1124</v>
      </c>
      <c r="F1277" s="79" t="s">
        <v>2539</v>
      </c>
      <c r="G1277" s="79" t="s">
        <v>2581</v>
      </c>
      <c r="H1277" s="79"/>
      <c r="I1277" s="79"/>
    </row>
    <row r="1278" spans="1:9" ht="15">
      <c r="A1278" s="79" t="s">
        <v>3246</v>
      </c>
      <c r="B1278" s="79" t="s">
        <v>3247</v>
      </c>
      <c r="C1278" s="79">
        <v>597207608</v>
      </c>
      <c r="D1278" s="79">
        <v>0</v>
      </c>
      <c r="E1278" s="79" t="s">
        <v>1124</v>
      </c>
      <c r="F1278" s="79" t="s">
        <v>2539</v>
      </c>
      <c r="G1278" s="79" t="s">
        <v>1130</v>
      </c>
      <c r="H1278" s="79"/>
      <c r="I1278" s="79"/>
    </row>
    <row r="1279" spans="1:9" ht="15">
      <c r="A1279" s="79" t="s">
        <v>3246</v>
      </c>
      <c r="B1279" s="79" t="s">
        <v>3247</v>
      </c>
      <c r="C1279" s="79">
        <v>597207608</v>
      </c>
      <c r="D1279" s="79">
        <v>0</v>
      </c>
      <c r="E1279" s="79" t="s">
        <v>1124</v>
      </c>
      <c r="F1279" s="79" t="s">
        <v>2539</v>
      </c>
      <c r="G1279" s="79" t="s">
        <v>1131</v>
      </c>
      <c r="H1279" s="79" t="s">
        <v>1132</v>
      </c>
      <c r="I1279" s="79"/>
    </row>
    <row r="1280" spans="1:9" ht="15">
      <c r="A1280" s="79" t="s">
        <v>3246</v>
      </c>
      <c r="B1280" s="79" t="s">
        <v>3247</v>
      </c>
      <c r="C1280" s="79">
        <v>597207608</v>
      </c>
      <c r="D1280" s="79">
        <v>0</v>
      </c>
      <c r="E1280" s="79" t="s">
        <v>1124</v>
      </c>
      <c r="F1280" s="79" t="s">
        <v>2539</v>
      </c>
      <c r="G1280" s="79" t="s">
        <v>2578</v>
      </c>
      <c r="H1280" s="79"/>
      <c r="I1280" s="79"/>
    </row>
    <row r="1281" spans="1:9" ht="15">
      <c r="A1281" s="79" t="s">
        <v>3248</v>
      </c>
      <c r="B1281" s="79" t="s">
        <v>3249</v>
      </c>
      <c r="C1281" s="79">
        <v>597208208</v>
      </c>
      <c r="D1281" s="79">
        <v>0</v>
      </c>
      <c r="E1281" s="79" t="s">
        <v>1124</v>
      </c>
      <c r="F1281" s="79" t="s">
        <v>2539</v>
      </c>
      <c r="G1281" s="79" t="s">
        <v>2546</v>
      </c>
      <c r="H1281" s="79" t="s">
        <v>2547</v>
      </c>
      <c r="I1281" s="79"/>
    </row>
    <row r="1282" spans="1:9" ht="15">
      <c r="A1282" s="79" t="s">
        <v>3248</v>
      </c>
      <c r="B1282" s="79" t="s">
        <v>3249</v>
      </c>
      <c r="C1282" s="79">
        <v>597208208</v>
      </c>
      <c r="D1282" s="79">
        <v>0</v>
      </c>
      <c r="E1282" s="79" t="s">
        <v>1124</v>
      </c>
      <c r="F1282" s="79" t="s">
        <v>2539</v>
      </c>
      <c r="G1282" s="79" t="s">
        <v>2581</v>
      </c>
      <c r="H1282" s="79"/>
      <c r="I1282" s="79"/>
    </row>
    <row r="1283" spans="1:9" ht="15">
      <c r="A1283" s="79" t="s">
        <v>3250</v>
      </c>
      <c r="B1283" s="79" t="s">
        <v>3251</v>
      </c>
      <c r="C1283" s="79">
        <v>597250808</v>
      </c>
      <c r="D1283" s="79">
        <v>0</v>
      </c>
      <c r="E1283" s="79" t="s">
        <v>1124</v>
      </c>
      <c r="F1283" s="79" t="s">
        <v>2539</v>
      </c>
      <c r="G1283" s="79" t="s">
        <v>1130</v>
      </c>
      <c r="H1283" s="79"/>
      <c r="I1283" s="79"/>
    </row>
    <row r="1284" spans="1:9" ht="15">
      <c r="A1284" s="79" t="s">
        <v>3250</v>
      </c>
      <c r="B1284" s="79" t="s">
        <v>3251</v>
      </c>
      <c r="C1284" s="79">
        <v>597250808</v>
      </c>
      <c r="D1284" s="79">
        <v>0</v>
      </c>
      <c r="E1284" s="79" t="s">
        <v>1124</v>
      </c>
      <c r="F1284" s="79" t="s">
        <v>2539</v>
      </c>
      <c r="G1284" s="79" t="s">
        <v>1131</v>
      </c>
      <c r="H1284" s="79" t="s">
        <v>1132</v>
      </c>
      <c r="I1284" s="79"/>
    </row>
    <row r="1285" spans="1:9" ht="15">
      <c r="A1285" s="79" t="s">
        <v>3250</v>
      </c>
      <c r="B1285" s="79" t="s">
        <v>3251</v>
      </c>
      <c r="C1285" s="79">
        <v>597250808</v>
      </c>
      <c r="D1285" s="79">
        <v>0</v>
      </c>
      <c r="E1285" s="79" t="s">
        <v>1124</v>
      </c>
      <c r="F1285" s="79" t="s">
        <v>2539</v>
      </c>
      <c r="G1285" s="79" t="s">
        <v>2578</v>
      </c>
      <c r="H1285" s="79"/>
      <c r="I1285" s="79"/>
    </row>
    <row r="1286" spans="1:9" ht="15">
      <c r="A1286" s="79" t="s">
        <v>3252</v>
      </c>
      <c r="B1286" s="79" t="s">
        <v>3253</v>
      </c>
      <c r="C1286" s="79">
        <v>597251408</v>
      </c>
      <c r="D1286" s="79">
        <v>0</v>
      </c>
      <c r="E1286" s="79" t="s">
        <v>1124</v>
      </c>
      <c r="F1286" s="79" t="s">
        <v>2539</v>
      </c>
      <c r="G1286" s="79" t="s">
        <v>2546</v>
      </c>
      <c r="H1286" s="79" t="s">
        <v>2547</v>
      </c>
      <c r="I1286" s="79"/>
    </row>
    <row r="1287" spans="1:9" ht="15">
      <c r="A1287" s="79" t="s">
        <v>3252</v>
      </c>
      <c r="B1287" s="79" t="s">
        <v>3253</v>
      </c>
      <c r="C1287" s="79">
        <v>597251408</v>
      </c>
      <c r="D1287" s="79">
        <v>0</v>
      </c>
      <c r="E1287" s="79" t="s">
        <v>1124</v>
      </c>
      <c r="F1287" s="79" t="s">
        <v>2539</v>
      </c>
      <c r="G1287" s="79" t="s">
        <v>2581</v>
      </c>
      <c r="H1287" s="79"/>
      <c r="I1287" s="79"/>
    </row>
    <row r="1288" spans="1:9" ht="15">
      <c r="A1288" s="79" t="s">
        <v>3254</v>
      </c>
      <c r="B1288" s="79" t="s">
        <v>3255</v>
      </c>
      <c r="C1288" s="79">
        <v>597294008</v>
      </c>
      <c r="D1288" s="79">
        <v>0</v>
      </c>
      <c r="E1288" s="79" t="s">
        <v>1124</v>
      </c>
      <c r="F1288" s="79" t="s">
        <v>2539</v>
      </c>
      <c r="G1288" s="79" t="s">
        <v>1130</v>
      </c>
      <c r="H1288" s="79"/>
      <c r="I1288" s="79"/>
    </row>
    <row r="1289" spans="1:9" ht="15">
      <c r="A1289" s="79" t="s">
        <v>3254</v>
      </c>
      <c r="B1289" s="79" t="s">
        <v>3255</v>
      </c>
      <c r="C1289" s="79">
        <v>597294008</v>
      </c>
      <c r="D1289" s="79">
        <v>0</v>
      </c>
      <c r="E1289" s="79" t="s">
        <v>1124</v>
      </c>
      <c r="F1289" s="79" t="s">
        <v>2539</v>
      </c>
      <c r="G1289" s="79" t="s">
        <v>1131</v>
      </c>
      <c r="H1289" s="79" t="s">
        <v>1132</v>
      </c>
      <c r="I1289" s="79"/>
    </row>
    <row r="1290" spans="1:9" ht="15">
      <c r="A1290" s="79" t="s">
        <v>3254</v>
      </c>
      <c r="B1290" s="79" t="s">
        <v>3255</v>
      </c>
      <c r="C1290" s="79">
        <v>597294008</v>
      </c>
      <c r="D1290" s="79">
        <v>0</v>
      </c>
      <c r="E1290" s="79" t="s">
        <v>1124</v>
      </c>
      <c r="F1290" s="79" t="s">
        <v>2539</v>
      </c>
      <c r="G1290" s="79" t="s">
        <v>2578</v>
      </c>
      <c r="H1290" s="79"/>
      <c r="I1290" s="79"/>
    </row>
    <row r="1291" spans="1:9" ht="15">
      <c r="A1291" s="79" t="s">
        <v>3256</v>
      </c>
      <c r="B1291" s="79" t="s">
        <v>3257</v>
      </c>
      <c r="C1291" s="79">
        <v>597294608</v>
      </c>
      <c r="D1291" s="79">
        <v>0</v>
      </c>
      <c r="E1291" s="79" t="s">
        <v>1124</v>
      </c>
      <c r="F1291" s="79" t="s">
        <v>2539</v>
      </c>
      <c r="G1291" s="79" t="s">
        <v>2546</v>
      </c>
      <c r="H1291" s="79" t="s">
        <v>2547</v>
      </c>
      <c r="I1291" s="79"/>
    </row>
    <row r="1292" spans="1:9" ht="15">
      <c r="A1292" s="79" t="s">
        <v>3256</v>
      </c>
      <c r="B1292" s="79" t="s">
        <v>3257</v>
      </c>
      <c r="C1292" s="79">
        <v>597294608</v>
      </c>
      <c r="D1292" s="79">
        <v>0</v>
      </c>
      <c r="E1292" s="79" t="s">
        <v>1124</v>
      </c>
      <c r="F1292" s="79" t="s">
        <v>2539</v>
      </c>
      <c r="G1292" s="79" t="s">
        <v>2581</v>
      </c>
      <c r="H1292" s="79"/>
      <c r="I1292" s="79"/>
    </row>
    <row r="1293" spans="1:9" ht="15">
      <c r="A1293" s="79" t="s">
        <v>3258</v>
      </c>
      <c r="B1293" s="79" t="s">
        <v>3259</v>
      </c>
      <c r="C1293" s="79">
        <v>597337208</v>
      </c>
      <c r="D1293" s="79">
        <v>0</v>
      </c>
      <c r="E1293" s="79" t="s">
        <v>1124</v>
      </c>
      <c r="F1293" s="79" t="s">
        <v>2539</v>
      </c>
      <c r="G1293" s="79" t="s">
        <v>1130</v>
      </c>
      <c r="H1293" s="79"/>
      <c r="I1293" s="79"/>
    </row>
    <row r="1294" spans="1:9" ht="15">
      <c r="A1294" s="79" t="s">
        <v>3258</v>
      </c>
      <c r="B1294" s="79" t="s">
        <v>3259</v>
      </c>
      <c r="C1294" s="79">
        <v>597337208</v>
      </c>
      <c r="D1294" s="79">
        <v>0</v>
      </c>
      <c r="E1294" s="79" t="s">
        <v>1124</v>
      </c>
      <c r="F1294" s="79" t="s">
        <v>2539</v>
      </c>
      <c r="G1294" s="79" t="s">
        <v>1131</v>
      </c>
      <c r="H1294" s="79" t="s">
        <v>1132</v>
      </c>
      <c r="I1294" s="79"/>
    </row>
    <row r="1295" spans="1:9" ht="15">
      <c r="A1295" s="79" t="s">
        <v>3258</v>
      </c>
      <c r="B1295" s="79" t="s">
        <v>3259</v>
      </c>
      <c r="C1295" s="79">
        <v>597337208</v>
      </c>
      <c r="D1295" s="79">
        <v>0</v>
      </c>
      <c r="E1295" s="79" t="s">
        <v>1124</v>
      </c>
      <c r="F1295" s="79" t="s">
        <v>2539</v>
      </c>
      <c r="G1295" s="79" t="s">
        <v>2578</v>
      </c>
      <c r="H1295" s="79"/>
      <c r="I1295" s="79"/>
    </row>
    <row r="1296" spans="1:9" ht="15">
      <c r="A1296" s="79" t="s">
        <v>3260</v>
      </c>
      <c r="B1296" s="79" t="s">
        <v>3261</v>
      </c>
      <c r="C1296" s="79">
        <v>597337808</v>
      </c>
      <c r="D1296" s="79">
        <v>0</v>
      </c>
      <c r="E1296" s="79" t="s">
        <v>1124</v>
      </c>
      <c r="F1296" s="79" t="s">
        <v>2539</v>
      </c>
      <c r="G1296" s="79" t="s">
        <v>2546</v>
      </c>
      <c r="H1296" s="79" t="s">
        <v>2547</v>
      </c>
      <c r="I1296" s="79"/>
    </row>
    <row r="1297" spans="1:9" ht="15">
      <c r="A1297" s="79" t="s">
        <v>3260</v>
      </c>
      <c r="B1297" s="79" t="s">
        <v>3261</v>
      </c>
      <c r="C1297" s="79">
        <v>597337808</v>
      </c>
      <c r="D1297" s="79">
        <v>0</v>
      </c>
      <c r="E1297" s="79" t="s">
        <v>1124</v>
      </c>
      <c r="F1297" s="79" t="s">
        <v>2539</v>
      </c>
      <c r="G1297" s="79" t="s">
        <v>2581</v>
      </c>
      <c r="H1297" s="79"/>
      <c r="I1297" s="79"/>
    </row>
    <row r="1298" spans="1:9" ht="15">
      <c r="A1298" s="79" t="s">
        <v>3262</v>
      </c>
      <c r="B1298" s="79" t="s">
        <v>3263</v>
      </c>
      <c r="C1298" s="79">
        <v>597380408</v>
      </c>
      <c r="D1298" s="79">
        <v>0</v>
      </c>
      <c r="E1298" s="79" t="s">
        <v>1124</v>
      </c>
      <c r="F1298" s="79" t="s">
        <v>2539</v>
      </c>
      <c r="G1298" s="79" t="s">
        <v>1130</v>
      </c>
      <c r="H1298" s="79"/>
      <c r="I1298" s="79"/>
    </row>
    <row r="1299" spans="1:9" ht="15">
      <c r="A1299" s="79" t="s">
        <v>3262</v>
      </c>
      <c r="B1299" s="79" t="s">
        <v>3263</v>
      </c>
      <c r="C1299" s="79">
        <v>597380408</v>
      </c>
      <c r="D1299" s="79">
        <v>0</v>
      </c>
      <c r="E1299" s="79" t="s">
        <v>1124</v>
      </c>
      <c r="F1299" s="79" t="s">
        <v>2539</v>
      </c>
      <c r="G1299" s="79" t="s">
        <v>1131</v>
      </c>
      <c r="H1299" s="79" t="s">
        <v>1132</v>
      </c>
      <c r="I1299" s="79"/>
    </row>
    <row r="1300" spans="1:9" ht="15">
      <c r="A1300" s="79" t="s">
        <v>3262</v>
      </c>
      <c r="B1300" s="79" t="s">
        <v>3263</v>
      </c>
      <c r="C1300" s="79">
        <v>597380408</v>
      </c>
      <c r="D1300" s="79">
        <v>0</v>
      </c>
      <c r="E1300" s="79" t="s">
        <v>1124</v>
      </c>
      <c r="F1300" s="79" t="s">
        <v>2539</v>
      </c>
      <c r="G1300" s="79" t="s">
        <v>2578</v>
      </c>
      <c r="H1300" s="79"/>
      <c r="I1300" s="79"/>
    </row>
    <row r="1301" spans="1:9" ht="15">
      <c r="A1301" s="79" t="s">
        <v>3264</v>
      </c>
      <c r="B1301" s="79" t="s">
        <v>3265</v>
      </c>
      <c r="C1301" s="79">
        <v>597381008</v>
      </c>
      <c r="D1301" s="79">
        <v>0</v>
      </c>
      <c r="E1301" s="79" t="s">
        <v>1124</v>
      </c>
      <c r="F1301" s="79" t="s">
        <v>2539</v>
      </c>
      <c r="G1301" s="79" t="s">
        <v>2546</v>
      </c>
      <c r="H1301" s="79" t="s">
        <v>2547</v>
      </c>
      <c r="I1301" s="79"/>
    </row>
    <row r="1302" spans="1:9" ht="15">
      <c r="A1302" s="79" t="s">
        <v>3264</v>
      </c>
      <c r="B1302" s="79" t="s">
        <v>3265</v>
      </c>
      <c r="C1302" s="79">
        <v>597381008</v>
      </c>
      <c r="D1302" s="79">
        <v>0</v>
      </c>
      <c r="E1302" s="79" t="s">
        <v>1124</v>
      </c>
      <c r="F1302" s="79" t="s">
        <v>2539</v>
      </c>
      <c r="G1302" s="79" t="s">
        <v>2581</v>
      </c>
      <c r="H1302" s="79"/>
      <c r="I1302" s="79"/>
    </row>
    <row r="1303" spans="1:9" ht="15">
      <c r="A1303" s="79" t="s">
        <v>3266</v>
      </c>
      <c r="B1303" s="79" t="s">
        <v>3267</v>
      </c>
      <c r="C1303" s="79">
        <v>597423608</v>
      </c>
      <c r="D1303" s="79">
        <v>0</v>
      </c>
      <c r="E1303" s="79" t="s">
        <v>1124</v>
      </c>
      <c r="F1303" s="79" t="s">
        <v>2539</v>
      </c>
      <c r="G1303" s="79" t="s">
        <v>1130</v>
      </c>
      <c r="H1303" s="79"/>
      <c r="I1303" s="79"/>
    </row>
    <row r="1304" spans="1:9" ht="15">
      <c r="A1304" s="79" t="s">
        <v>3266</v>
      </c>
      <c r="B1304" s="79" t="s">
        <v>3267</v>
      </c>
      <c r="C1304" s="79">
        <v>597423608</v>
      </c>
      <c r="D1304" s="79">
        <v>0</v>
      </c>
      <c r="E1304" s="79" t="s">
        <v>1124</v>
      </c>
      <c r="F1304" s="79" t="s">
        <v>2539</v>
      </c>
      <c r="G1304" s="79" t="s">
        <v>1131</v>
      </c>
      <c r="H1304" s="79" t="s">
        <v>1132</v>
      </c>
      <c r="I1304" s="79"/>
    </row>
    <row r="1305" spans="1:9" ht="15">
      <c r="A1305" s="79" t="s">
        <v>3266</v>
      </c>
      <c r="B1305" s="79" t="s">
        <v>3267</v>
      </c>
      <c r="C1305" s="79">
        <v>597423608</v>
      </c>
      <c r="D1305" s="79">
        <v>0</v>
      </c>
      <c r="E1305" s="79" t="s">
        <v>1124</v>
      </c>
      <c r="F1305" s="79" t="s">
        <v>2539</v>
      </c>
      <c r="G1305" s="79" t="s">
        <v>2578</v>
      </c>
      <c r="H1305" s="79"/>
      <c r="I1305" s="79"/>
    </row>
    <row r="1306" spans="1:9" ht="15">
      <c r="A1306" s="79" t="s">
        <v>3268</v>
      </c>
      <c r="B1306" s="79" t="s">
        <v>3269</v>
      </c>
      <c r="C1306" s="79">
        <v>597424208</v>
      </c>
      <c r="D1306" s="79">
        <v>0</v>
      </c>
      <c r="E1306" s="79" t="s">
        <v>1124</v>
      </c>
      <c r="F1306" s="79" t="s">
        <v>2539</v>
      </c>
      <c r="G1306" s="79" t="s">
        <v>2546</v>
      </c>
      <c r="H1306" s="79" t="s">
        <v>2547</v>
      </c>
      <c r="I1306" s="79"/>
    </row>
    <row r="1307" spans="1:9" ht="15">
      <c r="A1307" s="79" t="s">
        <v>3268</v>
      </c>
      <c r="B1307" s="79" t="s">
        <v>3269</v>
      </c>
      <c r="C1307" s="79">
        <v>597424208</v>
      </c>
      <c r="D1307" s="79">
        <v>0</v>
      </c>
      <c r="E1307" s="79" t="s">
        <v>1124</v>
      </c>
      <c r="F1307" s="79" t="s">
        <v>2539</v>
      </c>
      <c r="G1307" s="79" t="s">
        <v>2581</v>
      </c>
      <c r="H1307" s="79"/>
      <c r="I1307" s="79"/>
    </row>
    <row r="1308" spans="1:9" ht="15">
      <c r="A1308" s="79" t="s">
        <v>3270</v>
      </c>
      <c r="B1308" s="79" t="s">
        <v>3271</v>
      </c>
      <c r="C1308" s="79">
        <v>597466808</v>
      </c>
      <c r="D1308" s="79">
        <v>0</v>
      </c>
      <c r="E1308" s="79" t="s">
        <v>1124</v>
      </c>
      <c r="F1308" s="79" t="s">
        <v>2539</v>
      </c>
      <c r="G1308" s="79" t="s">
        <v>1130</v>
      </c>
      <c r="H1308" s="79"/>
      <c r="I1308" s="79"/>
    </row>
    <row r="1309" spans="1:9" ht="15">
      <c r="A1309" s="79" t="s">
        <v>3270</v>
      </c>
      <c r="B1309" s="79" t="s">
        <v>3271</v>
      </c>
      <c r="C1309" s="79">
        <v>597466808</v>
      </c>
      <c r="D1309" s="79">
        <v>0</v>
      </c>
      <c r="E1309" s="79" t="s">
        <v>1124</v>
      </c>
      <c r="F1309" s="79" t="s">
        <v>2539</v>
      </c>
      <c r="G1309" s="79" t="s">
        <v>1131</v>
      </c>
      <c r="H1309" s="79" t="s">
        <v>1132</v>
      </c>
      <c r="I1309" s="79"/>
    </row>
    <row r="1310" spans="1:9" ht="15">
      <c r="A1310" s="79" t="s">
        <v>3270</v>
      </c>
      <c r="B1310" s="79" t="s">
        <v>3271</v>
      </c>
      <c r="C1310" s="79">
        <v>597466808</v>
      </c>
      <c r="D1310" s="79">
        <v>0</v>
      </c>
      <c r="E1310" s="79" t="s">
        <v>1124</v>
      </c>
      <c r="F1310" s="79" t="s">
        <v>2539</v>
      </c>
      <c r="G1310" s="79" t="s">
        <v>2578</v>
      </c>
      <c r="H1310" s="79"/>
      <c r="I1310" s="79"/>
    </row>
    <row r="1311" spans="1:9" ht="15">
      <c r="A1311" s="79" t="s">
        <v>3272</v>
      </c>
      <c r="B1311" s="79" t="s">
        <v>3273</v>
      </c>
      <c r="C1311" s="79">
        <v>597467408</v>
      </c>
      <c r="D1311" s="79">
        <v>0</v>
      </c>
      <c r="E1311" s="79" t="s">
        <v>1124</v>
      </c>
      <c r="F1311" s="79" t="s">
        <v>2539</v>
      </c>
      <c r="G1311" s="79" t="s">
        <v>2546</v>
      </c>
      <c r="H1311" s="79" t="s">
        <v>2547</v>
      </c>
      <c r="I1311" s="79"/>
    </row>
    <row r="1312" spans="1:9" ht="15">
      <c r="A1312" s="79" t="s">
        <v>3272</v>
      </c>
      <c r="B1312" s="79" t="s">
        <v>3273</v>
      </c>
      <c r="C1312" s="79">
        <v>597467408</v>
      </c>
      <c r="D1312" s="79">
        <v>0</v>
      </c>
      <c r="E1312" s="79" t="s">
        <v>1124</v>
      </c>
      <c r="F1312" s="79" t="s">
        <v>2539</v>
      </c>
      <c r="G1312" s="79" t="s">
        <v>2581</v>
      </c>
      <c r="H1312" s="79"/>
      <c r="I1312" s="79"/>
    </row>
    <row r="1313" spans="1:9" ht="15">
      <c r="A1313" s="79" t="s">
        <v>3274</v>
      </c>
      <c r="B1313" s="79" t="s">
        <v>3275</v>
      </c>
      <c r="C1313" s="79">
        <v>597510008</v>
      </c>
      <c r="D1313" s="79">
        <v>0</v>
      </c>
      <c r="E1313" s="79" t="s">
        <v>1124</v>
      </c>
      <c r="F1313" s="79" t="s">
        <v>2539</v>
      </c>
      <c r="G1313" s="79" t="s">
        <v>1130</v>
      </c>
      <c r="H1313" s="79"/>
      <c r="I1313" s="79"/>
    </row>
    <row r="1314" spans="1:9" ht="15">
      <c r="A1314" s="79" t="s">
        <v>3274</v>
      </c>
      <c r="B1314" s="79" t="s">
        <v>3275</v>
      </c>
      <c r="C1314" s="79">
        <v>597510008</v>
      </c>
      <c r="D1314" s="79">
        <v>0</v>
      </c>
      <c r="E1314" s="79" t="s">
        <v>1124</v>
      </c>
      <c r="F1314" s="79" t="s">
        <v>2539</v>
      </c>
      <c r="G1314" s="79" t="s">
        <v>1131</v>
      </c>
      <c r="H1314" s="79" t="s">
        <v>1132</v>
      </c>
      <c r="I1314" s="79"/>
    </row>
    <row r="1315" spans="1:9" ht="15">
      <c r="A1315" s="79" t="s">
        <v>3274</v>
      </c>
      <c r="B1315" s="79" t="s">
        <v>3275</v>
      </c>
      <c r="C1315" s="79">
        <v>597510008</v>
      </c>
      <c r="D1315" s="79">
        <v>0</v>
      </c>
      <c r="E1315" s="79" t="s">
        <v>1124</v>
      </c>
      <c r="F1315" s="79" t="s">
        <v>2539</v>
      </c>
      <c r="G1315" s="79" t="s">
        <v>2578</v>
      </c>
      <c r="H1315" s="79"/>
      <c r="I1315" s="79"/>
    </row>
    <row r="1316" spans="1:9" ht="15">
      <c r="A1316" s="79" t="s">
        <v>3276</v>
      </c>
      <c r="B1316" s="79" t="s">
        <v>3277</v>
      </c>
      <c r="C1316" s="79">
        <v>597510608</v>
      </c>
      <c r="D1316" s="79">
        <v>0</v>
      </c>
      <c r="E1316" s="79" t="s">
        <v>1124</v>
      </c>
      <c r="F1316" s="79" t="s">
        <v>2539</v>
      </c>
      <c r="G1316" s="79" t="s">
        <v>2546</v>
      </c>
      <c r="H1316" s="79" t="s">
        <v>2547</v>
      </c>
      <c r="I1316" s="79"/>
    </row>
    <row r="1317" spans="1:9" ht="15">
      <c r="A1317" s="79" t="s">
        <v>3276</v>
      </c>
      <c r="B1317" s="79" t="s">
        <v>3277</v>
      </c>
      <c r="C1317" s="79">
        <v>597510608</v>
      </c>
      <c r="D1317" s="79">
        <v>0</v>
      </c>
      <c r="E1317" s="79" t="s">
        <v>1124</v>
      </c>
      <c r="F1317" s="79" t="s">
        <v>2539</v>
      </c>
      <c r="G1317" s="79" t="s">
        <v>2581</v>
      </c>
      <c r="H1317" s="79"/>
      <c r="I1317" s="79"/>
    </row>
    <row r="1318" spans="1:9" ht="15">
      <c r="A1318" s="79" t="s">
        <v>3278</v>
      </c>
      <c r="B1318" s="79" t="s">
        <v>3279</v>
      </c>
      <c r="C1318" s="79">
        <v>597553208</v>
      </c>
      <c r="D1318" s="79">
        <v>0</v>
      </c>
      <c r="E1318" s="79" t="s">
        <v>1124</v>
      </c>
      <c r="F1318" s="79" t="s">
        <v>2539</v>
      </c>
      <c r="G1318" s="79" t="s">
        <v>1130</v>
      </c>
      <c r="H1318" s="79"/>
      <c r="I1318" s="79"/>
    </row>
    <row r="1319" spans="1:9" ht="15">
      <c r="A1319" s="79" t="s">
        <v>3278</v>
      </c>
      <c r="B1319" s="79" t="s">
        <v>3279</v>
      </c>
      <c r="C1319" s="79">
        <v>597553208</v>
      </c>
      <c r="D1319" s="79">
        <v>0</v>
      </c>
      <c r="E1319" s="79" t="s">
        <v>1124</v>
      </c>
      <c r="F1319" s="79" t="s">
        <v>2539</v>
      </c>
      <c r="G1319" s="79" t="s">
        <v>1131</v>
      </c>
      <c r="H1319" s="79" t="s">
        <v>1132</v>
      </c>
      <c r="I1319" s="79"/>
    </row>
    <row r="1320" spans="1:9" ht="15">
      <c r="A1320" s="79" t="s">
        <v>3278</v>
      </c>
      <c r="B1320" s="79" t="s">
        <v>3279</v>
      </c>
      <c r="C1320" s="79">
        <v>597553208</v>
      </c>
      <c r="D1320" s="79">
        <v>0</v>
      </c>
      <c r="E1320" s="79" t="s">
        <v>1124</v>
      </c>
      <c r="F1320" s="79" t="s">
        <v>2539</v>
      </c>
      <c r="G1320" s="79" t="s">
        <v>2578</v>
      </c>
      <c r="H1320" s="79"/>
      <c r="I1320" s="79"/>
    </row>
    <row r="1321" spans="1:9" ht="15">
      <c r="A1321" s="79" t="s">
        <v>3280</v>
      </c>
      <c r="B1321" s="79" t="s">
        <v>3281</v>
      </c>
      <c r="C1321" s="79">
        <v>597553808</v>
      </c>
      <c r="D1321" s="79">
        <v>0</v>
      </c>
      <c r="E1321" s="79" t="s">
        <v>1124</v>
      </c>
      <c r="F1321" s="79" t="s">
        <v>2539</v>
      </c>
      <c r="G1321" s="79" t="s">
        <v>2546</v>
      </c>
      <c r="H1321" s="79" t="s">
        <v>2547</v>
      </c>
      <c r="I1321" s="79"/>
    </row>
    <row r="1322" spans="1:9" ht="15">
      <c r="A1322" s="79" t="s">
        <v>3280</v>
      </c>
      <c r="B1322" s="79" t="s">
        <v>3281</v>
      </c>
      <c r="C1322" s="79">
        <v>597553808</v>
      </c>
      <c r="D1322" s="79">
        <v>0</v>
      </c>
      <c r="E1322" s="79" t="s">
        <v>1124</v>
      </c>
      <c r="F1322" s="79" t="s">
        <v>2539</v>
      </c>
      <c r="G1322" s="79" t="s">
        <v>2581</v>
      </c>
      <c r="H1322" s="79"/>
      <c r="I1322" s="79"/>
    </row>
    <row r="1323" spans="1:9" ht="15">
      <c r="A1323" s="79" t="s">
        <v>3282</v>
      </c>
      <c r="B1323" s="79" t="s">
        <v>3283</v>
      </c>
      <c r="C1323" s="79">
        <v>597596408</v>
      </c>
      <c r="D1323" s="79">
        <v>0</v>
      </c>
      <c r="E1323" s="79" t="s">
        <v>1124</v>
      </c>
      <c r="F1323" s="79" t="s">
        <v>2539</v>
      </c>
      <c r="G1323" s="79" t="s">
        <v>1130</v>
      </c>
      <c r="H1323" s="79"/>
      <c r="I1323" s="79"/>
    </row>
    <row r="1324" spans="1:9" ht="15">
      <c r="A1324" s="79" t="s">
        <v>3282</v>
      </c>
      <c r="B1324" s="79" t="s">
        <v>3283</v>
      </c>
      <c r="C1324" s="79">
        <v>597596408</v>
      </c>
      <c r="D1324" s="79">
        <v>0</v>
      </c>
      <c r="E1324" s="79" t="s">
        <v>1124</v>
      </c>
      <c r="F1324" s="79" t="s">
        <v>2539</v>
      </c>
      <c r="G1324" s="79" t="s">
        <v>1131</v>
      </c>
      <c r="H1324" s="79" t="s">
        <v>1132</v>
      </c>
      <c r="I1324" s="79"/>
    </row>
    <row r="1325" spans="1:9" ht="15">
      <c r="A1325" s="79" t="s">
        <v>3282</v>
      </c>
      <c r="B1325" s="79" t="s">
        <v>3283</v>
      </c>
      <c r="C1325" s="79">
        <v>597596408</v>
      </c>
      <c r="D1325" s="79">
        <v>0</v>
      </c>
      <c r="E1325" s="79" t="s">
        <v>1124</v>
      </c>
      <c r="F1325" s="79" t="s">
        <v>2539</v>
      </c>
      <c r="G1325" s="79" t="s">
        <v>2578</v>
      </c>
      <c r="H1325" s="79"/>
      <c r="I1325" s="79"/>
    </row>
    <row r="1326" spans="1:9" ht="15">
      <c r="A1326" s="79" t="s">
        <v>3284</v>
      </c>
      <c r="B1326" s="79" t="s">
        <v>3285</v>
      </c>
      <c r="C1326" s="79">
        <v>597597008</v>
      </c>
      <c r="D1326" s="79">
        <v>0</v>
      </c>
      <c r="E1326" s="79" t="s">
        <v>1124</v>
      </c>
      <c r="F1326" s="79" t="s">
        <v>2539</v>
      </c>
      <c r="G1326" s="79" t="s">
        <v>2546</v>
      </c>
      <c r="H1326" s="79" t="s">
        <v>2547</v>
      </c>
      <c r="I1326" s="79"/>
    </row>
    <row r="1327" spans="1:9" ht="15">
      <c r="A1327" s="79" t="s">
        <v>3284</v>
      </c>
      <c r="B1327" s="79" t="s">
        <v>3285</v>
      </c>
      <c r="C1327" s="79">
        <v>597597008</v>
      </c>
      <c r="D1327" s="79">
        <v>0</v>
      </c>
      <c r="E1327" s="79" t="s">
        <v>1124</v>
      </c>
      <c r="F1327" s="79" t="s">
        <v>2539</v>
      </c>
      <c r="G1327" s="79" t="s">
        <v>2581</v>
      </c>
      <c r="H1327" s="79"/>
      <c r="I1327" s="79"/>
    </row>
    <row r="1328" spans="1:9" ht="15">
      <c r="A1328" s="79" t="s">
        <v>3286</v>
      </c>
      <c r="B1328" s="79" t="s">
        <v>3287</v>
      </c>
      <c r="C1328" s="79">
        <v>597639608</v>
      </c>
      <c r="D1328" s="79">
        <v>0</v>
      </c>
      <c r="E1328" s="79" t="s">
        <v>1124</v>
      </c>
      <c r="F1328" s="79" t="s">
        <v>2539</v>
      </c>
      <c r="G1328" s="79" t="s">
        <v>1130</v>
      </c>
      <c r="H1328" s="79"/>
      <c r="I1328" s="79"/>
    </row>
    <row r="1329" spans="1:9" ht="15">
      <c r="A1329" s="79" t="s">
        <v>3286</v>
      </c>
      <c r="B1329" s="79" t="s">
        <v>3287</v>
      </c>
      <c r="C1329" s="79">
        <v>597639608</v>
      </c>
      <c r="D1329" s="79">
        <v>0</v>
      </c>
      <c r="E1329" s="79" t="s">
        <v>1124</v>
      </c>
      <c r="F1329" s="79" t="s">
        <v>2539</v>
      </c>
      <c r="G1329" s="79" t="s">
        <v>1131</v>
      </c>
      <c r="H1329" s="79" t="s">
        <v>1132</v>
      </c>
      <c r="I1329" s="79"/>
    </row>
    <row r="1330" spans="1:9" ht="15">
      <c r="A1330" s="79" t="s">
        <v>3286</v>
      </c>
      <c r="B1330" s="79" t="s">
        <v>3287</v>
      </c>
      <c r="C1330" s="79">
        <v>597639608</v>
      </c>
      <c r="D1330" s="79">
        <v>0</v>
      </c>
      <c r="E1330" s="79" t="s">
        <v>1124</v>
      </c>
      <c r="F1330" s="79" t="s">
        <v>2539</v>
      </c>
      <c r="G1330" s="79" t="s">
        <v>2578</v>
      </c>
      <c r="H1330" s="79"/>
      <c r="I1330" s="79"/>
    </row>
    <row r="1331" spans="1:9" ht="15">
      <c r="A1331" s="79" t="s">
        <v>3288</v>
      </c>
      <c r="B1331" s="79" t="s">
        <v>3289</v>
      </c>
      <c r="C1331" s="79">
        <v>597640208</v>
      </c>
      <c r="D1331" s="79">
        <v>0</v>
      </c>
      <c r="E1331" s="79" t="s">
        <v>1124</v>
      </c>
      <c r="F1331" s="79" t="s">
        <v>2539</v>
      </c>
      <c r="G1331" s="79" t="s">
        <v>2546</v>
      </c>
      <c r="H1331" s="79" t="s">
        <v>2547</v>
      </c>
      <c r="I1331" s="79"/>
    </row>
    <row r="1332" spans="1:9" ht="15">
      <c r="A1332" s="79" t="s">
        <v>3288</v>
      </c>
      <c r="B1332" s="79" t="s">
        <v>3289</v>
      </c>
      <c r="C1332" s="79">
        <v>597640208</v>
      </c>
      <c r="D1332" s="79">
        <v>0</v>
      </c>
      <c r="E1332" s="79" t="s">
        <v>1124</v>
      </c>
      <c r="F1332" s="79" t="s">
        <v>2539</v>
      </c>
      <c r="G1332" s="79" t="s">
        <v>2581</v>
      </c>
      <c r="H1332" s="79"/>
      <c r="I1332" s="79"/>
    </row>
    <row r="1333" spans="1:9" ht="15">
      <c r="A1333" s="79" t="s">
        <v>3290</v>
      </c>
      <c r="B1333" s="79" t="s">
        <v>3291</v>
      </c>
      <c r="C1333" s="79">
        <v>597682808</v>
      </c>
      <c r="D1333" s="79">
        <v>0</v>
      </c>
      <c r="E1333" s="79" t="s">
        <v>1124</v>
      </c>
      <c r="F1333" s="79" t="s">
        <v>2539</v>
      </c>
      <c r="G1333" s="79" t="s">
        <v>1130</v>
      </c>
      <c r="H1333" s="79"/>
      <c r="I1333" s="79"/>
    </row>
    <row r="1334" spans="1:9" ht="15">
      <c r="A1334" s="79" t="s">
        <v>3290</v>
      </c>
      <c r="B1334" s="79" t="s">
        <v>3291</v>
      </c>
      <c r="C1334" s="79">
        <v>597682808</v>
      </c>
      <c r="D1334" s="79">
        <v>0</v>
      </c>
      <c r="E1334" s="79" t="s">
        <v>1124</v>
      </c>
      <c r="F1334" s="79" t="s">
        <v>2539</v>
      </c>
      <c r="G1334" s="79" t="s">
        <v>1131</v>
      </c>
      <c r="H1334" s="79" t="s">
        <v>1132</v>
      </c>
      <c r="I1334" s="79"/>
    </row>
    <row r="1335" spans="1:9" ht="15">
      <c r="A1335" s="79" t="s">
        <v>3290</v>
      </c>
      <c r="B1335" s="79" t="s">
        <v>3291</v>
      </c>
      <c r="C1335" s="79">
        <v>597682808</v>
      </c>
      <c r="D1335" s="79">
        <v>0</v>
      </c>
      <c r="E1335" s="79" t="s">
        <v>1124</v>
      </c>
      <c r="F1335" s="79" t="s">
        <v>2539</v>
      </c>
      <c r="G1335" s="79" t="s">
        <v>2578</v>
      </c>
      <c r="H1335" s="79"/>
      <c r="I1335" s="79"/>
    </row>
    <row r="1336" spans="1:9" ht="15">
      <c r="A1336" s="79" t="s">
        <v>3292</v>
      </c>
      <c r="B1336" s="79" t="s">
        <v>3293</v>
      </c>
      <c r="C1336" s="79">
        <v>597683408</v>
      </c>
      <c r="D1336" s="79">
        <v>0</v>
      </c>
      <c r="E1336" s="79" t="s">
        <v>1124</v>
      </c>
      <c r="F1336" s="79" t="s">
        <v>2539</v>
      </c>
      <c r="G1336" s="79" t="s">
        <v>2546</v>
      </c>
      <c r="H1336" s="79" t="s">
        <v>2547</v>
      </c>
      <c r="I1336" s="79"/>
    </row>
    <row r="1337" spans="1:9" ht="15">
      <c r="A1337" s="79" t="s">
        <v>3292</v>
      </c>
      <c r="B1337" s="79" t="s">
        <v>3293</v>
      </c>
      <c r="C1337" s="79">
        <v>597683408</v>
      </c>
      <c r="D1337" s="79">
        <v>0</v>
      </c>
      <c r="E1337" s="79" t="s">
        <v>1124</v>
      </c>
      <c r="F1337" s="79" t="s">
        <v>2539</v>
      </c>
      <c r="G1337" s="79" t="s">
        <v>2581</v>
      </c>
      <c r="H1337" s="79"/>
      <c r="I1337" s="79"/>
    </row>
    <row r="1338" spans="1:9" ht="15">
      <c r="A1338" s="79" t="s">
        <v>3294</v>
      </c>
      <c r="B1338" s="79" t="s">
        <v>3295</v>
      </c>
      <c r="C1338" s="79">
        <v>597726008</v>
      </c>
      <c r="D1338" s="79">
        <v>0</v>
      </c>
      <c r="E1338" s="79" t="s">
        <v>1124</v>
      </c>
      <c r="F1338" s="79" t="s">
        <v>2539</v>
      </c>
      <c r="G1338" s="79" t="s">
        <v>1130</v>
      </c>
      <c r="H1338" s="79"/>
      <c r="I1338" s="79"/>
    </row>
    <row r="1339" spans="1:9" ht="15">
      <c r="A1339" s="79" t="s">
        <v>3294</v>
      </c>
      <c r="B1339" s="79" t="s">
        <v>3295</v>
      </c>
      <c r="C1339" s="79">
        <v>597726008</v>
      </c>
      <c r="D1339" s="79">
        <v>0</v>
      </c>
      <c r="E1339" s="79" t="s">
        <v>1124</v>
      </c>
      <c r="F1339" s="79" t="s">
        <v>2539</v>
      </c>
      <c r="G1339" s="79" t="s">
        <v>1131</v>
      </c>
      <c r="H1339" s="79" t="s">
        <v>1132</v>
      </c>
      <c r="I1339" s="79"/>
    </row>
    <row r="1340" spans="1:9" ht="15">
      <c r="A1340" s="79" t="s">
        <v>3294</v>
      </c>
      <c r="B1340" s="79" t="s">
        <v>3295</v>
      </c>
      <c r="C1340" s="79">
        <v>597726008</v>
      </c>
      <c r="D1340" s="79">
        <v>0</v>
      </c>
      <c r="E1340" s="79" t="s">
        <v>1124</v>
      </c>
      <c r="F1340" s="79" t="s">
        <v>2539</v>
      </c>
      <c r="G1340" s="79" t="s">
        <v>2578</v>
      </c>
      <c r="H1340" s="79"/>
      <c r="I1340" s="79"/>
    </row>
    <row r="1341" spans="1:9" ht="15">
      <c r="A1341" s="79" t="s">
        <v>3296</v>
      </c>
      <c r="B1341" s="79" t="s">
        <v>3297</v>
      </c>
      <c r="C1341" s="79">
        <v>597726608</v>
      </c>
      <c r="D1341" s="79">
        <v>0</v>
      </c>
      <c r="E1341" s="79" t="s">
        <v>1124</v>
      </c>
      <c r="F1341" s="79" t="s">
        <v>2539</v>
      </c>
      <c r="G1341" s="79" t="s">
        <v>2546</v>
      </c>
      <c r="H1341" s="79" t="s">
        <v>2547</v>
      </c>
      <c r="I1341" s="79"/>
    </row>
    <row r="1342" spans="1:9" ht="15">
      <c r="A1342" s="79" t="s">
        <v>3296</v>
      </c>
      <c r="B1342" s="79" t="s">
        <v>3297</v>
      </c>
      <c r="C1342" s="79">
        <v>597726608</v>
      </c>
      <c r="D1342" s="79">
        <v>0</v>
      </c>
      <c r="E1342" s="79" t="s">
        <v>1124</v>
      </c>
      <c r="F1342" s="79" t="s">
        <v>2539</v>
      </c>
      <c r="G1342" s="79" t="s">
        <v>2581</v>
      </c>
      <c r="H1342" s="79"/>
      <c r="I1342" s="79"/>
    </row>
    <row r="1343" spans="1:9" ht="15">
      <c r="A1343" s="79" t="s">
        <v>3298</v>
      </c>
      <c r="B1343" s="79" t="s">
        <v>3299</v>
      </c>
      <c r="C1343" s="79">
        <v>597769208</v>
      </c>
      <c r="D1343" s="79">
        <v>0</v>
      </c>
      <c r="E1343" s="79" t="s">
        <v>1124</v>
      </c>
      <c r="F1343" s="79" t="s">
        <v>2539</v>
      </c>
      <c r="G1343" s="79" t="s">
        <v>1130</v>
      </c>
      <c r="H1343" s="79"/>
      <c r="I1343" s="79"/>
    </row>
    <row r="1344" spans="1:9" ht="15">
      <c r="A1344" s="79" t="s">
        <v>3298</v>
      </c>
      <c r="B1344" s="79" t="s">
        <v>3299</v>
      </c>
      <c r="C1344" s="79">
        <v>597769208</v>
      </c>
      <c r="D1344" s="79">
        <v>0</v>
      </c>
      <c r="E1344" s="79" t="s">
        <v>1124</v>
      </c>
      <c r="F1344" s="79" t="s">
        <v>2539</v>
      </c>
      <c r="G1344" s="79" t="s">
        <v>1131</v>
      </c>
      <c r="H1344" s="79" t="s">
        <v>1132</v>
      </c>
      <c r="I1344" s="79"/>
    </row>
    <row r="1345" spans="1:9" ht="15">
      <c r="A1345" s="79" t="s">
        <v>3298</v>
      </c>
      <c r="B1345" s="79" t="s">
        <v>3299</v>
      </c>
      <c r="C1345" s="79">
        <v>597769208</v>
      </c>
      <c r="D1345" s="79">
        <v>0</v>
      </c>
      <c r="E1345" s="79" t="s">
        <v>1124</v>
      </c>
      <c r="F1345" s="79" t="s">
        <v>2539</v>
      </c>
      <c r="G1345" s="79" t="s">
        <v>2578</v>
      </c>
      <c r="H1345" s="79"/>
      <c r="I1345" s="79"/>
    </row>
    <row r="1346" spans="1:9" ht="15">
      <c r="A1346" s="79" t="s">
        <v>3300</v>
      </c>
      <c r="B1346" s="79" t="s">
        <v>3301</v>
      </c>
      <c r="C1346" s="79">
        <v>597769808</v>
      </c>
      <c r="D1346" s="79">
        <v>0</v>
      </c>
      <c r="E1346" s="79" t="s">
        <v>1124</v>
      </c>
      <c r="F1346" s="79" t="s">
        <v>2539</v>
      </c>
      <c r="G1346" s="79" t="s">
        <v>2546</v>
      </c>
      <c r="H1346" s="79" t="s">
        <v>2547</v>
      </c>
      <c r="I1346" s="79"/>
    </row>
    <row r="1347" spans="1:9" ht="15">
      <c r="A1347" s="79" t="s">
        <v>3300</v>
      </c>
      <c r="B1347" s="79" t="s">
        <v>3301</v>
      </c>
      <c r="C1347" s="79">
        <v>597769808</v>
      </c>
      <c r="D1347" s="79">
        <v>0</v>
      </c>
      <c r="E1347" s="79" t="s">
        <v>1124</v>
      </c>
      <c r="F1347" s="79" t="s">
        <v>2539</v>
      </c>
      <c r="G1347" s="79" t="s">
        <v>2581</v>
      </c>
      <c r="H1347" s="79"/>
      <c r="I1347" s="79"/>
    </row>
    <row r="1348" spans="1:9" ht="15">
      <c r="A1348" s="79" t="s">
        <v>3302</v>
      </c>
      <c r="B1348" s="79" t="s">
        <v>3303</v>
      </c>
      <c r="C1348" s="79">
        <v>597812408</v>
      </c>
      <c r="D1348" s="79">
        <v>0</v>
      </c>
      <c r="E1348" s="79" t="s">
        <v>1124</v>
      </c>
      <c r="F1348" s="79" t="s">
        <v>2539</v>
      </c>
      <c r="G1348" s="79" t="s">
        <v>1130</v>
      </c>
      <c r="H1348" s="79"/>
      <c r="I1348" s="79"/>
    </row>
    <row r="1349" spans="1:9" ht="15">
      <c r="A1349" s="79" t="s">
        <v>3302</v>
      </c>
      <c r="B1349" s="79" t="s">
        <v>3303</v>
      </c>
      <c r="C1349" s="79">
        <v>597812408</v>
      </c>
      <c r="D1349" s="79">
        <v>0</v>
      </c>
      <c r="E1349" s="79" t="s">
        <v>1124</v>
      </c>
      <c r="F1349" s="79" t="s">
        <v>2539</v>
      </c>
      <c r="G1349" s="79" t="s">
        <v>1131</v>
      </c>
      <c r="H1349" s="79" t="s">
        <v>1132</v>
      </c>
      <c r="I1349" s="79"/>
    </row>
    <row r="1350" spans="1:9" ht="15">
      <c r="A1350" s="79" t="s">
        <v>3302</v>
      </c>
      <c r="B1350" s="79" t="s">
        <v>3303</v>
      </c>
      <c r="C1350" s="79">
        <v>597812408</v>
      </c>
      <c r="D1350" s="79">
        <v>0</v>
      </c>
      <c r="E1350" s="79" t="s">
        <v>1124</v>
      </c>
      <c r="F1350" s="79" t="s">
        <v>2539</v>
      </c>
      <c r="G1350" s="79" t="s">
        <v>2578</v>
      </c>
      <c r="H1350" s="79"/>
      <c r="I1350" s="79"/>
    </row>
    <row r="1351" spans="1:9" ht="15">
      <c r="A1351" s="79" t="s">
        <v>3304</v>
      </c>
      <c r="B1351" s="79" t="s">
        <v>3305</v>
      </c>
      <c r="C1351" s="79">
        <v>597813008</v>
      </c>
      <c r="D1351" s="79">
        <v>0</v>
      </c>
      <c r="E1351" s="79" t="s">
        <v>1124</v>
      </c>
      <c r="F1351" s="79" t="s">
        <v>2539</v>
      </c>
      <c r="G1351" s="79" t="s">
        <v>2546</v>
      </c>
      <c r="H1351" s="79" t="s">
        <v>2547</v>
      </c>
      <c r="I1351" s="79"/>
    </row>
    <row r="1352" spans="1:9" ht="15">
      <c r="A1352" s="79" t="s">
        <v>3304</v>
      </c>
      <c r="B1352" s="79" t="s">
        <v>3305</v>
      </c>
      <c r="C1352" s="79">
        <v>597813008</v>
      </c>
      <c r="D1352" s="79">
        <v>0</v>
      </c>
      <c r="E1352" s="79" t="s">
        <v>1124</v>
      </c>
      <c r="F1352" s="79" t="s">
        <v>2539</v>
      </c>
      <c r="G1352" s="79" t="s">
        <v>2581</v>
      </c>
      <c r="H1352" s="79"/>
      <c r="I1352" s="79"/>
    </row>
    <row r="1353" spans="1:9" ht="15">
      <c r="A1353" s="79" t="s">
        <v>3306</v>
      </c>
      <c r="B1353" s="79" t="s">
        <v>3307</v>
      </c>
      <c r="C1353" s="79">
        <v>597855608</v>
      </c>
      <c r="D1353" s="79">
        <v>0</v>
      </c>
      <c r="E1353" s="79" t="s">
        <v>1124</v>
      </c>
      <c r="F1353" s="79" t="s">
        <v>2539</v>
      </c>
      <c r="G1353" s="79" t="s">
        <v>1130</v>
      </c>
      <c r="H1353" s="79"/>
      <c r="I1353" s="79"/>
    </row>
    <row r="1354" spans="1:9" ht="15">
      <c r="A1354" s="79" t="s">
        <v>3306</v>
      </c>
      <c r="B1354" s="79" t="s">
        <v>3307</v>
      </c>
      <c r="C1354" s="79">
        <v>597855608</v>
      </c>
      <c r="D1354" s="79">
        <v>0</v>
      </c>
      <c r="E1354" s="79" t="s">
        <v>1124</v>
      </c>
      <c r="F1354" s="79" t="s">
        <v>2539</v>
      </c>
      <c r="G1354" s="79" t="s">
        <v>1131</v>
      </c>
      <c r="H1354" s="79" t="s">
        <v>1132</v>
      </c>
      <c r="I1354" s="79"/>
    </row>
    <row r="1355" spans="1:9" ht="15">
      <c r="A1355" s="79" t="s">
        <v>3306</v>
      </c>
      <c r="B1355" s="79" t="s">
        <v>3307</v>
      </c>
      <c r="C1355" s="79">
        <v>597855608</v>
      </c>
      <c r="D1355" s="79">
        <v>0</v>
      </c>
      <c r="E1355" s="79" t="s">
        <v>1124</v>
      </c>
      <c r="F1355" s="79" t="s">
        <v>2539</v>
      </c>
      <c r="G1355" s="79" t="s">
        <v>2578</v>
      </c>
      <c r="H1355" s="79"/>
      <c r="I1355" s="79"/>
    </row>
    <row r="1356" spans="1:9" ht="15">
      <c r="A1356" s="79" t="s">
        <v>3308</v>
      </c>
      <c r="B1356" s="79" t="s">
        <v>3309</v>
      </c>
      <c r="C1356" s="79">
        <v>597856208</v>
      </c>
      <c r="D1356" s="79">
        <v>0</v>
      </c>
      <c r="E1356" s="79" t="s">
        <v>1124</v>
      </c>
      <c r="F1356" s="79" t="s">
        <v>2539</v>
      </c>
      <c r="G1356" s="79" t="s">
        <v>2546</v>
      </c>
      <c r="H1356" s="79" t="s">
        <v>2547</v>
      </c>
      <c r="I1356" s="79"/>
    </row>
    <row r="1357" spans="1:9" ht="15">
      <c r="A1357" s="79" t="s">
        <v>3308</v>
      </c>
      <c r="B1357" s="79" t="s">
        <v>3309</v>
      </c>
      <c r="C1357" s="79">
        <v>597856208</v>
      </c>
      <c r="D1357" s="79">
        <v>0</v>
      </c>
      <c r="E1357" s="79" t="s">
        <v>1124</v>
      </c>
      <c r="F1357" s="79" t="s">
        <v>2539</v>
      </c>
      <c r="G1357" s="79" t="s">
        <v>2581</v>
      </c>
      <c r="H1357" s="79"/>
      <c r="I1357" s="79"/>
    </row>
    <row r="1358" spans="1:9" ht="15">
      <c r="A1358" s="79" t="s">
        <v>3310</v>
      </c>
      <c r="B1358" s="79" t="s">
        <v>3311</v>
      </c>
      <c r="C1358" s="79">
        <v>597898808</v>
      </c>
      <c r="D1358" s="79">
        <v>0</v>
      </c>
      <c r="E1358" s="79" t="s">
        <v>1124</v>
      </c>
      <c r="F1358" s="79" t="s">
        <v>2539</v>
      </c>
      <c r="G1358" s="79" t="s">
        <v>1130</v>
      </c>
      <c r="H1358" s="79"/>
      <c r="I1358" s="79"/>
    </row>
    <row r="1359" spans="1:9" ht="15">
      <c r="A1359" s="79" t="s">
        <v>3310</v>
      </c>
      <c r="B1359" s="79" t="s">
        <v>3311</v>
      </c>
      <c r="C1359" s="79">
        <v>597898808</v>
      </c>
      <c r="D1359" s="79">
        <v>0</v>
      </c>
      <c r="E1359" s="79" t="s">
        <v>1124</v>
      </c>
      <c r="F1359" s="79" t="s">
        <v>2539</v>
      </c>
      <c r="G1359" s="79" t="s">
        <v>1131</v>
      </c>
      <c r="H1359" s="79" t="s">
        <v>1132</v>
      </c>
      <c r="I1359" s="79"/>
    </row>
    <row r="1360" spans="1:9" ht="15">
      <c r="A1360" s="79" t="s">
        <v>3310</v>
      </c>
      <c r="B1360" s="79" t="s">
        <v>3311</v>
      </c>
      <c r="C1360" s="79">
        <v>597898808</v>
      </c>
      <c r="D1360" s="79">
        <v>0</v>
      </c>
      <c r="E1360" s="79" t="s">
        <v>1124</v>
      </c>
      <c r="F1360" s="79" t="s">
        <v>2539</v>
      </c>
      <c r="G1360" s="79" t="s">
        <v>2578</v>
      </c>
      <c r="H1360" s="79"/>
      <c r="I1360" s="79"/>
    </row>
    <row r="1361" spans="1:9" ht="15">
      <c r="A1361" s="79" t="s">
        <v>3312</v>
      </c>
      <c r="B1361" s="79" t="s">
        <v>3313</v>
      </c>
      <c r="C1361" s="79">
        <v>597899408</v>
      </c>
      <c r="D1361" s="79">
        <v>0</v>
      </c>
      <c r="E1361" s="79" t="s">
        <v>1124</v>
      </c>
      <c r="F1361" s="79" t="s">
        <v>2539</v>
      </c>
      <c r="G1361" s="79" t="s">
        <v>2546</v>
      </c>
      <c r="H1361" s="79" t="s">
        <v>2547</v>
      </c>
      <c r="I1361" s="79"/>
    </row>
    <row r="1362" spans="1:9" ht="15">
      <c r="A1362" s="79" t="s">
        <v>3312</v>
      </c>
      <c r="B1362" s="79" t="s">
        <v>3313</v>
      </c>
      <c r="C1362" s="79">
        <v>597899408</v>
      </c>
      <c r="D1362" s="79">
        <v>0</v>
      </c>
      <c r="E1362" s="79" t="s">
        <v>1124</v>
      </c>
      <c r="F1362" s="79" t="s">
        <v>2539</v>
      </c>
      <c r="G1362" s="79" t="s">
        <v>2581</v>
      </c>
      <c r="H1362" s="79"/>
      <c r="I1362" s="79"/>
    </row>
    <row r="1363" spans="1:9" ht="15">
      <c r="A1363" s="79" t="s">
        <v>3314</v>
      </c>
      <c r="B1363" s="79" t="s">
        <v>3315</v>
      </c>
      <c r="C1363" s="79">
        <v>597942008</v>
      </c>
      <c r="D1363" s="79">
        <v>0</v>
      </c>
      <c r="E1363" s="79" t="s">
        <v>1124</v>
      </c>
      <c r="F1363" s="79" t="s">
        <v>2539</v>
      </c>
      <c r="G1363" s="79" t="s">
        <v>1130</v>
      </c>
      <c r="H1363" s="79"/>
      <c r="I1363" s="79"/>
    </row>
    <row r="1364" spans="1:9" ht="15">
      <c r="A1364" s="79" t="s">
        <v>3314</v>
      </c>
      <c r="B1364" s="79" t="s">
        <v>3315</v>
      </c>
      <c r="C1364" s="79">
        <v>597942008</v>
      </c>
      <c r="D1364" s="79">
        <v>0</v>
      </c>
      <c r="E1364" s="79" t="s">
        <v>1124</v>
      </c>
      <c r="F1364" s="79" t="s">
        <v>2539</v>
      </c>
      <c r="G1364" s="79" t="s">
        <v>1131</v>
      </c>
      <c r="H1364" s="79" t="s">
        <v>1132</v>
      </c>
      <c r="I1364" s="79"/>
    </row>
    <row r="1365" spans="1:9" ht="15">
      <c r="A1365" s="79" t="s">
        <v>3314</v>
      </c>
      <c r="B1365" s="79" t="s">
        <v>3315</v>
      </c>
      <c r="C1365" s="79">
        <v>597942008</v>
      </c>
      <c r="D1365" s="79">
        <v>0</v>
      </c>
      <c r="E1365" s="79" t="s">
        <v>1124</v>
      </c>
      <c r="F1365" s="79" t="s">
        <v>2539</v>
      </c>
      <c r="G1365" s="79" t="s">
        <v>2578</v>
      </c>
      <c r="H1365" s="79"/>
      <c r="I1365" s="79"/>
    </row>
    <row r="1366" spans="1:9" ht="15">
      <c r="A1366" s="79" t="s">
        <v>3316</v>
      </c>
      <c r="B1366" s="79" t="s">
        <v>3317</v>
      </c>
      <c r="C1366" s="79">
        <v>597942608</v>
      </c>
      <c r="D1366" s="79">
        <v>0</v>
      </c>
      <c r="E1366" s="79" t="s">
        <v>1124</v>
      </c>
      <c r="F1366" s="79" t="s">
        <v>2539</v>
      </c>
      <c r="G1366" s="79" t="s">
        <v>2546</v>
      </c>
      <c r="H1366" s="79" t="s">
        <v>2547</v>
      </c>
      <c r="I1366" s="79"/>
    </row>
    <row r="1367" spans="1:9" ht="15">
      <c r="A1367" s="79" t="s">
        <v>3316</v>
      </c>
      <c r="B1367" s="79" t="s">
        <v>3317</v>
      </c>
      <c r="C1367" s="79">
        <v>597942608</v>
      </c>
      <c r="D1367" s="79">
        <v>0</v>
      </c>
      <c r="E1367" s="79" t="s">
        <v>1124</v>
      </c>
      <c r="F1367" s="79" t="s">
        <v>2539</v>
      </c>
      <c r="G1367" s="79" t="s">
        <v>2581</v>
      </c>
      <c r="H1367" s="79"/>
      <c r="I1367" s="79"/>
    </row>
    <row r="1368" spans="1:9" ht="15">
      <c r="A1368" s="79" t="s">
        <v>3318</v>
      </c>
      <c r="B1368" s="79" t="s">
        <v>3319</v>
      </c>
      <c r="C1368" s="79">
        <v>597985208</v>
      </c>
      <c r="D1368" s="79">
        <v>0</v>
      </c>
      <c r="E1368" s="79" t="s">
        <v>1124</v>
      </c>
      <c r="F1368" s="79" t="s">
        <v>2539</v>
      </c>
      <c r="G1368" s="79" t="s">
        <v>1130</v>
      </c>
      <c r="H1368" s="79"/>
      <c r="I1368" s="79"/>
    </row>
    <row r="1369" spans="1:9" ht="15">
      <c r="A1369" s="79" t="s">
        <v>3318</v>
      </c>
      <c r="B1369" s="79" t="s">
        <v>3319</v>
      </c>
      <c r="C1369" s="79">
        <v>597985208</v>
      </c>
      <c r="D1369" s="79">
        <v>0</v>
      </c>
      <c r="E1369" s="79" t="s">
        <v>1124</v>
      </c>
      <c r="F1369" s="79" t="s">
        <v>2539</v>
      </c>
      <c r="G1369" s="79" t="s">
        <v>1131</v>
      </c>
      <c r="H1369" s="79" t="s">
        <v>1132</v>
      </c>
      <c r="I1369" s="79"/>
    </row>
    <row r="1370" spans="1:9" ht="15">
      <c r="A1370" s="79" t="s">
        <v>3318</v>
      </c>
      <c r="B1370" s="79" t="s">
        <v>3319</v>
      </c>
      <c r="C1370" s="79">
        <v>597985208</v>
      </c>
      <c r="D1370" s="79">
        <v>0</v>
      </c>
      <c r="E1370" s="79" t="s">
        <v>1124</v>
      </c>
      <c r="F1370" s="79" t="s">
        <v>2539</v>
      </c>
      <c r="G1370" s="79" t="s">
        <v>2578</v>
      </c>
      <c r="H1370" s="79"/>
      <c r="I1370" s="79"/>
    </row>
    <row r="1371" spans="1:9" ht="15">
      <c r="A1371" s="79" t="s">
        <v>3320</v>
      </c>
      <c r="B1371" s="79" t="s">
        <v>3321</v>
      </c>
      <c r="C1371" s="79">
        <v>597985808</v>
      </c>
      <c r="D1371" s="79">
        <v>0</v>
      </c>
      <c r="E1371" s="79" t="s">
        <v>1124</v>
      </c>
      <c r="F1371" s="79" t="s">
        <v>2539</v>
      </c>
      <c r="G1371" s="79" t="s">
        <v>2546</v>
      </c>
      <c r="H1371" s="79" t="s">
        <v>2547</v>
      </c>
      <c r="I1371" s="79"/>
    </row>
    <row r="1372" spans="1:9" ht="15">
      <c r="A1372" s="79" t="s">
        <v>3320</v>
      </c>
      <c r="B1372" s="79" t="s">
        <v>3321</v>
      </c>
      <c r="C1372" s="79">
        <v>597985808</v>
      </c>
      <c r="D1372" s="79">
        <v>0</v>
      </c>
      <c r="E1372" s="79" t="s">
        <v>1124</v>
      </c>
      <c r="F1372" s="79" t="s">
        <v>2539</v>
      </c>
      <c r="G1372" s="79" t="s">
        <v>2581</v>
      </c>
      <c r="H1372" s="79"/>
      <c r="I1372" s="79"/>
    </row>
    <row r="1373" spans="1:9" ht="15">
      <c r="A1373" s="79" t="s">
        <v>3322</v>
      </c>
      <c r="B1373" s="79" t="s">
        <v>3323</v>
      </c>
      <c r="C1373" s="79">
        <v>598028408</v>
      </c>
      <c r="D1373" s="79">
        <v>0</v>
      </c>
      <c r="E1373" s="79" t="s">
        <v>1124</v>
      </c>
      <c r="F1373" s="79" t="s">
        <v>2539</v>
      </c>
      <c r="G1373" s="79" t="s">
        <v>1130</v>
      </c>
      <c r="H1373" s="79"/>
      <c r="I1373" s="79"/>
    </row>
    <row r="1374" spans="1:9" ht="15">
      <c r="A1374" s="79" t="s">
        <v>3322</v>
      </c>
      <c r="B1374" s="79" t="s">
        <v>3323</v>
      </c>
      <c r="C1374" s="79">
        <v>598028408</v>
      </c>
      <c r="D1374" s="79">
        <v>0</v>
      </c>
      <c r="E1374" s="79" t="s">
        <v>1124</v>
      </c>
      <c r="F1374" s="79" t="s">
        <v>2539</v>
      </c>
      <c r="G1374" s="79" t="s">
        <v>1131</v>
      </c>
      <c r="H1374" s="79" t="s">
        <v>1132</v>
      </c>
      <c r="I1374" s="79"/>
    </row>
    <row r="1375" spans="1:9" ht="15">
      <c r="A1375" s="79" t="s">
        <v>3322</v>
      </c>
      <c r="B1375" s="79" t="s">
        <v>3323</v>
      </c>
      <c r="C1375" s="79">
        <v>598028408</v>
      </c>
      <c r="D1375" s="79">
        <v>0</v>
      </c>
      <c r="E1375" s="79" t="s">
        <v>1124</v>
      </c>
      <c r="F1375" s="79" t="s">
        <v>2539</v>
      </c>
      <c r="G1375" s="79" t="s">
        <v>2578</v>
      </c>
      <c r="H1375" s="79"/>
      <c r="I1375" s="79"/>
    </row>
    <row r="1376" spans="1:9" ht="15">
      <c r="A1376" s="79" t="s">
        <v>3324</v>
      </c>
      <c r="B1376" s="79" t="s">
        <v>3325</v>
      </c>
      <c r="C1376" s="79">
        <v>598029008</v>
      </c>
      <c r="D1376" s="79">
        <v>0</v>
      </c>
      <c r="E1376" s="79" t="s">
        <v>1124</v>
      </c>
      <c r="F1376" s="79" t="s">
        <v>2539</v>
      </c>
      <c r="G1376" s="79" t="s">
        <v>2546</v>
      </c>
      <c r="H1376" s="79" t="s">
        <v>2547</v>
      </c>
      <c r="I1376" s="79"/>
    </row>
    <row r="1377" spans="1:9" ht="15">
      <c r="A1377" s="79" t="s">
        <v>3324</v>
      </c>
      <c r="B1377" s="79" t="s">
        <v>3325</v>
      </c>
      <c r="C1377" s="79">
        <v>598029008</v>
      </c>
      <c r="D1377" s="79">
        <v>0</v>
      </c>
      <c r="E1377" s="79" t="s">
        <v>1124</v>
      </c>
      <c r="F1377" s="79" t="s">
        <v>2539</v>
      </c>
      <c r="G1377" s="79" t="s">
        <v>2581</v>
      </c>
      <c r="H1377" s="79"/>
      <c r="I1377" s="79"/>
    </row>
    <row r="1378" spans="1:9" ht="15">
      <c r="A1378" s="79" t="s">
        <v>3326</v>
      </c>
      <c r="B1378" s="79" t="s">
        <v>3327</v>
      </c>
      <c r="C1378" s="79">
        <v>598071608</v>
      </c>
      <c r="D1378" s="79">
        <v>0</v>
      </c>
      <c r="E1378" s="79" t="s">
        <v>1124</v>
      </c>
      <c r="F1378" s="79" t="s">
        <v>2539</v>
      </c>
      <c r="G1378" s="79" t="s">
        <v>1130</v>
      </c>
      <c r="H1378" s="79"/>
      <c r="I1378" s="79"/>
    </row>
    <row r="1379" spans="1:9" ht="15">
      <c r="A1379" s="79" t="s">
        <v>3326</v>
      </c>
      <c r="B1379" s="79" t="s">
        <v>3327</v>
      </c>
      <c r="C1379" s="79">
        <v>598071608</v>
      </c>
      <c r="D1379" s="79">
        <v>0</v>
      </c>
      <c r="E1379" s="79" t="s">
        <v>1124</v>
      </c>
      <c r="F1379" s="79" t="s">
        <v>2539</v>
      </c>
      <c r="G1379" s="79" t="s">
        <v>1131</v>
      </c>
      <c r="H1379" s="79" t="s">
        <v>1132</v>
      </c>
      <c r="I1379" s="79"/>
    </row>
    <row r="1380" spans="1:9" ht="15">
      <c r="A1380" s="79" t="s">
        <v>3326</v>
      </c>
      <c r="B1380" s="79" t="s">
        <v>3327</v>
      </c>
      <c r="C1380" s="79">
        <v>598071608</v>
      </c>
      <c r="D1380" s="79">
        <v>0</v>
      </c>
      <c r="E1380" s="79" t="s">
        <v>1124</v>
      </c>
      <c r="F1380" s="79" t="s">
        <v>2539</v>
      </c>
      <c r="G1380" s="79" t="s">
        <v>2578</v>
      </c>
      <c r="H1380" s="79"/>
      <c r="I1380" s="79"/>
    </row>
    <row r="1381" spans="1:9" ht="15">
      <c r="A1381" s="79" t="s">
        <v>3328</v>
      </c>
      <c r="B1381" s="79" t="s">
        <v>3329</v>
      </c>
      <c r="C1381" s="79">
        <v>598072208</v>
      </c>
      <c r="D1381" s="79">
        <v>0</v>
      </c>
      <c r="E1381" s="79" t="s">
        <v>1124</v>
      </c>
      <c r="F1381" s="79" t="s">
        <v>2539</v>
      </c>
      <c r="G1381" s="79" t="s">
        <v>2546</v>
      </c>
      <c r="H1381" s="79" t="s">
        <v>2547</v>
      </c>
      <c r="I1381" s="79"/>
    </row>
    <row r="1382" spans="1:9" ht="15">
      <c r="A1382" s="79" t="s">
        <v>3328</v>
      </c>
      <c r="B1382" s="79" t="s">
        <v>3329</v>
      </c>
      <c r="C1382" s="79">
        <v>598072208</v>
      </c>
      <c r="D1382" s="79">
        <v>0</v>
      </c>
      <c r="E1382" s="79" t="s">
        <v>1124</v>
      </c>
      <c r="F1382" s="79" t="s">
        <v>2539</v>
      </c>
      <c r="G1382" s="79" t="s">
        <v>2581</v>
      </c>
      <c r="H1382" s="79"/>
      <c r="I1382" s="79"/>
    </row>
    <row r="1383" spans="1:9" ht="15">
      <c r="A1383" s="79" t="s">
        <v>3330</v>
      </c>
      <c r="B1383" s="79" t="s">
        <v>3331</v>
      </c>
      <c r="C1383" s="79">
        <v>598114808</v>
      </c>
      <c r="D1383" s="79">
        <v>0</v>
      </c>
      <c r="E1383" s="79" t="s">
        <v>1124</v>
      </c>
      <c r="F1383" s="79" t="s">
        <v>2539</v>
      </c>
      <c r="G1383" s="79" t="s">
        <v>1130</v>
      </c>
      <c r="H1383" s="79"/>
      <c r="I1383" s="79"/>
    </row>
    <row r="1384" spans="1:9" ht="15">
      <c r="A1384" s="79" t="s">
        <v>3330</v>
      </c>
      <c r="B1384" s="79" t="s">
        <v>3331</v>
      </c>
      <c r="C1384" s="79">
        <v>598114808</v>
      </c>
      <c r="D1384" s="79">
        <v>0</v>
      </c>
      <c r="E1384" s="79" t="s">
        <v>1124</v>
      </c>
      <c r="F1384" s="79" t="s">
        <v>2539</v>
      </c>
      <c r="G1384" s="79" t="s">
        <v>1131</v>
      </c>
      <c r="H1384" s="79" t="s">
        <v>1132</v>
      </c>
      <c r="I1384" s="79"/>
    </row>
    <row r="1385" spans="1:9" ht="15">
      <c r="A1385" s="79" t="s">
        <v>3330</v>
      </c>
      <c r="B1385" s="79" t="s">
        <v>3331</v>
      </c>
      <c r="C1385" s="79">
        <v>598114808</v>
      </c>
      <c r="D1385" s="79">
        <v>0</v>
      </c>
      <c r="E1385" s="79" t="s">
        <v>1124</v>
      </c>
      <c r="F1385" s="79" t="s">
        <v>2539</v>
      </c>
      <c r="G1385" s="79" t="s">
        <v>2578</v>
      </c>
      <c r="H1385" s="79"/>
      <c r="I1385" s="79"/>
    </row>
    <row r="1386" spans="1:9" ht="15">
      <c r="A1386" s="79" t="s">
        <v>3332</v>
      </c>
      <c r="B1386" s="79" t="s">
        <v>3333</v>
      </c>
      <c r="C1386" s="79">
        <v>598115408</v>
      </c>
      <c r="D1386" s="79">
        <v>0</v>
      </c>
      <c r="E1386" s="79" t="s">
        <v>1124</v>
      </c>
      <c r="F1386" s="79" t="s">
        <v>2539</v>
      </c>
      <c r="G1386" s="79" t="s">
        <v>2546</v>
      </c>
      <c r="H1386" s="79" t="s">
        <v>2547</v>
      </c>
      <c r="I1386" s="79"/>
    </row>
    <row r="1387" spans="1:9" ht="15">
      <c r="A1387" s="79" t="s">
        <v>3332</v>
      </c>
      <c r="B1387" s="79" t="s">
        <v>3333</v>
      </c>
      <c r="C1387" s="79">
        <v>598115408</v>
      </c>
      <c r="D1387" s="79">
        <v>0</v>
      </c>
      <c r="E1387" s="79" t="s">
        <v>1124</v>
      </c>
      <c r="F1387" s="79" t="s">
        <v>2539</v>
      </c>
      <c r="G1387" s="79" t="s">
        <v>2581</v>
      </c>
      <c r="H1387" s="79"/>
      <c r="I1387" s="79"/>
    </row>
    <row r="1388" spans="1:9" ht="15">
      <c r="A1388" s="79" t="s">
        <v>3334</v>
      </c>
      <c r="B1388" s="79" t="s">
        <v>3335</v>
      </c>
      <c r="C1388" s="79">
        <v>598158008</v>
      </c>
      <c r="D1388" s="79">
        <v>0</v>
      </c>
      <c r="E1388" s="79" t="s">
        <v>1124</v>
      </c>
      <c r="F1388" s="79" t="s">
        <v>2539</v>
      </c>
      <c r="G1388" s="79" t="s">
        <v>1130</v>
      </c>
      <c r="H1388" s="79"/>
      <c r="I1388" s="79"/>
    </row>
    <row r="1389" spans="1:9" ht="15">
      <c r="A1389" s="79" t="s">
        <v>3334</v>
      </c>
      <c r="B1389" s="79" t="s">
        <v>3335</v>
      </c>
      <c r="C1389" s="79">
        <v>598158008</v>
      </c>
      <c r="D1389" s="79">
        <v>0</v>
      </c>
      <c r="E1389" s="79" t="s">
        <v>1124</v>
      </c>
      <c r="F1389" s="79" t="s">
        <v>2539</v>
      </c>
      <c r="G1389" s="79" t="s">
        <v>1131</v>
      </c>
      <c r="H1389" s="79" t="s">
        <v>1132</v>
      </c>
      <c r="I1389" s="79"/>
    </row>
    <row r="1390" spans="1:9" ht="15">
      <c r="A1390" s="79" t="s">
        <v>3334</v>
      </c>
      <c r="B1390" s="79" t="s">
        <v>3335</v>
      </c>
      <c r="C1390" s="79">
        <v>598158008</v>
      </c>
      <c r="D1390" s="79">
        <v>0</v>
      </c>
      <c r="E1390" s="79" t="s">
        <v>1124</v>
      </c>
      <c r="F1390" s="79" t="s">
        <v>2539</v>
      </c>
      <c r="G1390" s="79" t="s">
        <v>2578</v>
      </c>
      <c r="H1390" s="79"/>
      <c r="I1390" s="79"/>
    </row>
    <row r="1391" spans="1:9" ht="15">
      <c r="A1391" s="79" t="s">
        <v>3336</v>
      </c>
      <c r="B1391" s="79" t="s">
        <v>3337</v>
      </c>
      <c r="C1391" s="79">
        <v>598158608</v>
      </c>
      <c r="D1391" s="79">
        <v>0</v>
      </c>
      <c r="E1391" s="79" t="s">
        <v>1124</v>
      </c>
      <c r="F1391" s="79" t="s">
        <v>2539</v>
      </c>
      <c r="G1391" s="79" t="s">
        <v>2546</v>
      </c>
      <c r="H1391" s="79" t="s">
        <v>2547</v>
      </c>
      <c r="I1391" s="79"/>
    </row>
    <row r="1392" spans="1:9" ht="15">
      <c r="A1392" s="79" t="s">
        <v>3336</v>
      </c>
      <c r="B1392" s="79" t="s">
        <v>3337</v>
      </c>
      <c r="C1392" s="79">
        <v>598158608</v>
      </c>
      <c r="D1392" s="79">
        <v>0</v>
      </c>
      <c r="E1392" s="79" t="s">
        <v>1124</v>
      </c>
      <c r="F1392" s="79" t="s">
        <v>2539</v>
      </c>
      <c r="G1392" s="79" t="s">
        <v>2581</v>
      </c>
      <c r="H1392" s="79"/>
      <c r="I1392" s="79"/>
    </row>
    <row r="1393" spans="1:9" ht="15">
      <c r="A1393" s="79" t="s">
        <v>3338</v>
      </c>
      <c r="B1393" s="79" t="s">
        <v>3339</v>
      </c>
      <c r="C1393" s="79">
        <v>598201208</v>
      </c>
      <c r="D1393" s="79">
        <v>0</v>
      </c>
      <c r="E1393" s="79" t="s">
        <v>1124</v>
      </c>
      <c r="F1393" s="79" t="s">
        <v>2539</v>
      </c>
      <c r="G1393" s="79" t="s">
        <v>1130</v>
      </c>
      <c r="H1393" s="79"/>
      <c r="I1393" s="79"/>
    </row>
    <row r="1394" spans="1:9" ht="15">
      <c r="A1394" s="79" t="s">
        <v>3338</v>
      </c>
      <c r="B1394" s="79" t="s">
        <v>3339</v>
      </c>
      <c r="C1394" s="79">
        <v>598201208</v>
      </c>
      <c r="D1394" s="79">
        <v>0</v>
      </c>
      <c r="E1394" s="79" t="s">
        <v>1124</v>
      </c>
      <c r="F1394" s="79" t="s">
        <v>2539</v>
      </c>
      <c r="G1394" s="79" t="s">
        <v>1131</v>
      </c>
      <c r="H1394" s="79" t="s">
        <v>1132</v>
      </c>
      <c r="I1394" s="79"/>
    </row>
    <row r="1395" spans="1:9" ht="15">
      <c r="A1395" s="79" t="s">
        <v>3338</v>
      </c>
      <c r="B1395" s="79" t="s">
        <v>3339</v>
      </c>
      <c r="C1395" s="79">
        <v>598201208</v>
      </c>
      <c r="D1395" s="79">
        <v>0</v>
      </c>
      <c r="E1395" s="79" t="s">
        <v>1124</v>
      </c>
      <c r="F1395" s="79" t="s">
        <v>2539</v>
      </c>
      <c r="G1395" s="79" t="s">
        <v>2578</v>
      </c>
      <c r="H1395" s="79"/>
      <c r="I1395" s="79"/>
    </row>
    <row r="1396" spans="1:9" ht="15">
      <c r="A1396" s="79" t="s">
        <v>3340</v>
      </c>
      <c r="B1396" s="79" t="s">
        <v>3341</v>
      </c>
      <c r="C1396" s="79">
        <v>598201808</v>
      </c>
      <c r="D1396" s="79">
        <v>0</v>
      </c>
      <c r="E1396" s="79" t="s">
        <v>1124</v>
      </c>
      <c r="F1396" s="79" t="s">
        <v>2539</v>
      </c>
      <c r="G1396" s="79" t="s">
        <v>2546</v>
      </c>
      <c r="H1396" s="79" t="s">
        <v>2547</v>
      </c>
      <c r="I1396" s="79"/>
    </row>
    <row r="1397" spans="1:9" ht="15">
      <c r="A1397" s="79" t="s">
        <v>3340</v>
      </c>
      <c r="B1397" s="79" t="s">
        <v>3341</v>
      </c>
      <c r="C1397" s="79">
        <v>598201808</v>
      </c>
      <c r="D1397" s="79">
        <v>0</v>
      </c>
      <c r="E1397" s="79" t="s">
        <v>1124</v>
      </c>
      <c r="F1397" s="79" t="s">
        <v>2539</v>
      </c>
      <c r="G1397" s="79" t="s">
        <v>2581</v>
      </c>
      <c r="H1397" s="79"/>
      <c r="I1397" s="79"/>
    </row>
    <row r="1398" spans="1:9" ht="15">
      <c r="A1398" s="79" t="s">
        <v>3342</v>
      </c>
      <c r="B1398" s="79" t="s">
        <v>3343</v>
      </c>
      <c r="C1398" s="79">
        <v>598244408</v>
      </c>
      <c r="D1398" s="79">
        <v>0</v>
      </c>
      <c r="E1398" s="79" t="s">
        <v>1124</v>
      </c>
      <c r="F1398" s="79" t="s">
        <v>2539</v>
      </c>
      <c r="G1398" s="79" t="s">
        <v>1130</v>
      </c>
      <c r="H1398" s="79"/>
      <c r="I1398" s="79"/>
    </row>
    <row r="1399" spans="1:9" ht="15">
      <c r="A1399" s="79" t="s">
        <v>3342</v>
      </c>
      <c r="B1399" s="79" t="s">
        <v>3343</v>
      </c>
      <c r="C1399" s="79">
        <v>598244408</v>
      </c>
      <c r="D1399" s="79">
        <v>0</v>
      </c>
      <c r="E1399" s="79" t="s">
        <v>1124</v>
      </c>
      <c r="F1399" s="79" t="s">
        <v>2539</v>
      </c>
      <c r="G1399" s="79" t="s">
        <v>1131</v>
      </c>
      <c r="H1399" s="79" t="s">
        <v>1132</v>
      </c>
      <c r="I1399" s="79"/>
    </row>
    <row r="1400" spans="1:9" ht="15">
      <c r="A1400" s="79" t="s">
        <v>3342</v>
      </c>
      <c r="B1400" s="79" t="s">
        <v>3343</v>
      </c>
      <c r="C1400" s="79">
        <v>598244408</v>
      </c>
      <c r="D1400" s="79">
        <v>0</v>
      </c>
      <c r="E1400" s="79" t="s">
        <v>1124</v>
      </c>
      <c r="F1400" s="79" t="s">
        <v>2539</v>
      </c>
      <c r="G1400" s="79" t="s">
        <v>2578</v>
      </c>
      <c r="H1400" s="79"/>
      <c r="I1400" s="79"/>
    </row>
    <row r="1401" spans="1:9" ht="15">
      <c r="A1401" s="79" t="s">
        <v>3344</v>
      </c>
      <c r="B1401" s="79" t="s">
        <v>3345</v>
      </c>
      <c r="C1401" s="79">
        <v>598245008</v>
      </c>
      <c r="D1401" s="79">
        <v>0</v>
      </c>
      <c r="E1401" s="79" t="s">
        <v>1124</v>
      </c>
      <c r="F1401" s="79" t="s">
        <v>2539</v>
      </c>
      <c r="G1401" s="79" t="s">
        <v>2546</v>
      </c>
      <c r="H1401" s="79" t="s">
        <v>2547</v>
      </c>
      <c r="I1401" s="79"/>
    </row>
    <row r="1402" spans="1:9" ht="15">
      <c r="A1402" s="79" t="s">
        <v>3344</v>
      </c>
      <c r="B1402" s="79" t="s">
        <v>3345</v>
      </c>
      <c r="C1402" s="79">
        <v>598245008</v>
      </c>
      <c r="D1402" s="79">
        <v>0</v>
      </c>
      <c r="E1402" s="79" t="s">
        <v>1124</v>
      </c>
      <c r="F1402" s="79" t="s">
        <v>2539</v>
      </c>
      <c r="G1402" s="79" t="s">
        <v>2581</v>
      </c>
      <c r="H1402" s="79"/>
      <c r="I1402" s="79"/>
    </row>
    <row r="1403" spans="1:9" ht="15">
      <c r="A1403" s="79" t="s">
        <v>3346</v>
      </c>
      <c r="B1403" s="79" t="s">
        <v>3347</v>
      </c>
      <c r="C1403" s="79">
        <v>598287608</v>
      </c>
      <c r="D1403" s="79">
        <v>0</v>
      </c>
      <c r="E1403" s="79" t="s">
        <v>1124</v>
      </c>
      <c r="F1403" s="79" t="s">
        <v>2539</v>
      </c>
      <c r="G1403" s="79" t="s">
        <v>1130</v>
      </c>
      <c r="H1403" s="79"/>
      <c r="I1403" s="79"/>
    </row>
    <row r="1404" spans="1:9" ht="15">
      <c r="A1404" s="79" t="s">
        <v>3346</v>
      </c>
      <c r="B1404" s="79" t="s">
        <v>3347</v>
      </c>
      <c r="C1404" s="79">
        <v>598287608</v>
      </c>
      <c r="D1404" s="79">
        <v>0</v>
      </c>
      <c r="E1404" s="79" t="s">
        <v>1124</v>
      </c>
      <c r="F1404" s="79" t="s">
        <v>2539</v>
      </c>
      <c r="G1404" s="79" t="s">
        <v>1131</v>
      </c>
      <c r="H1404" s="79" t="s">
        <v>1132</v>
      </c>
      <c r="I1404" s="79"/>
    </row>
    <row r="1405" spans="1:9" ht="15">
      <c r="A1405" s="79" t="s">
        <v>3346</v>
      </c>
      <c r="B1405" s="79" t="s">
        <v>3347</v>
      </c>
      <c r="C1405" s="79">
        <v>598287608</v>
      </c>
      <c r="D1405" s="79">
        <v>0</v>
      </c>
      <c r="E1405" s="79" t="s">
        <v>1124</v>
      </c>
      <c r="F1405" s="79" t="s">
        <v>2539</v>
      </c>
      <c r="G1405" s="79" t="s">
        <v>2578</v>
      </c>
      <c r="H1405" s="79"/>
      <c r="I1405" s="79"/>
    </row>
    <row r="1406" spans="1:9" ht="15">
      <c r="A1406" s="79" t="s">
        <v>3348</v>
      </c>
      <c r="B1406" s="79" t="s">
        <v>3349</v>
      </c>
      <c r="C1406" s="79">
        <v>598288208</v>
      </c>
      <c r="D1406" s="79">
        <v>0</v>
      </c>
      <c r="E1406" s="79" t="s">
        <v>1124</v>
      </c>
      <c r="F1406" s="79" t="s">
        <v>2539</v>
      </c>
      <c r="G1406" s="79" t="s">
        <v>2546</v>
      </c>
      <c r="H1406" s="79" t="s">
        <v>2547</v>
      </c>
      <c r="I1406" s="79"/>
    </row>
    <row r="1407" spans="1:9" ht="15">
      <c r="A1407" s="79" t="s">
        <v>3348</v>
      </c>
      <c r="B1407" s="79" t="s">
        <v>3349</v>
      </c>
      <c r="C1407" s="79">
        <v>598288208</v>
      </c>
      <c r="D1407" s="79">
        <v>0</v>
      </c>
      <c r="E1407" s="79" t="s">
        <v>1124</v>
      </c>
      <c r="F1407" s="79" t="s">
        <v>2539</v>
      </c>
      <c r="G1407" s="79" t="s">
        <v>2581</v>
      </c>
      <c r="H1407" s="79"/>
      <c r="I1407" s="79"/>
    </row>
    <row r="1408" spans="1:9" ht="15">
      <c r="A1408" s="79" t="s">
        <v>3350</v>
      </c>
      <c r="B1408" s="79" t="s">
        <v>3351</v>
      </c>
      <c r="C1408" s="79">
        <v>598330808</v>
      </c>
      <c r="D1408" s="79">
        <v>0</v>
      </c>
      <c r="E1408" s="79" t="s">
        <v>1124</v>
      </c>
      <c r="F1408" s="79" t="s">
        <v>2539</v>
      </c>
      <c r="G1408" s="79" t="s">
        <v>1130</v>
      </c>
      <c r="H1408" s="79"/>
      <c r="I1408" s="79"/>
    </row>
    <row r="1409" spans="1:9" ht="15">
      <c r="A1409" s="79" t="s">
        <v>3350</v>
      </c>
      <c r="B1409" s="79" t="s">
        <v>3351</v>
      </c>
      <c r="C1409" s="79">
        <v>598330808</v>
      </c>
      <c r="D1409" s="79">
        <v>0</v>
      </c>
      <c r="E1409" s="79" t="s">
        <v>1124</v>
      </c>
      <c r="F1409" s="79" t="s">
        <v>2539</v>
      </c>
      <c r="G1409" s="79" t="s">
        <v>1131</v>
      </c>
      <c r="H1409" s="79" t="s">
        <v>1132</v>
      </c>
      <c r="I1409" s="79"/>
    </row>
    <row r="1410" spans="1:9" ht="15">
      <c r="A1410" s="79" t="s">
        <v>3350</v>
      </c>
      <c r="B1410" s="79" t="s">
        <v>3351</v>
      </c>
      <c r="C1410" s="79">
        <v>598330808</v>
      </c>
      <c r="D1410" s="79">
        <v>0</v>
      </c>
      <c r="E1410" s="79" t="s">
        <v>1124</v>
      </c>
      <c r="F1410" s="79" t="s">
        <v>2539</v>
      </c>
      <c r="G1410" s="79" t="s">
        <v>2578</v>
      </c>
      <c r="H1410" s="79"/>
      <c r="I1410" s="79"/>
    </row>
    <row r="1411" spans="1:9" ht="15">
      <c r="A1411" s="79" t="s">
        <v>3352</v>
      </c>
      <c r="B1411" s="79" t="s">
        <v>3353</v>
      </c>
      <c r="C1411" s="79">
        <v>598331408</v>
      </c>
      <c r="D1411" s="79">
        <v>0</v>
      </c>
      <c r="E1411" s="79" t="s">
        <v>1124</v>
      </c>
      <c r="F1411" s="79" t="s">
        <v>2539</v>
      </c>
      <c r="G1411" s="79" t="s">
        <v>2546</v>
      </c>
      <c r="H1411" s="79" t="s">
        <v>2547</v>
      </c>
      <c r="I1411" s="79"/>
    </row>
    <row r="1412" spans="1:9" ht="15">
      <c r="A1412" s="79" t="s">
        <v>3352</v>
      </c>
      <c r="B1412" s="79" t="s">
        <v>3353</v>
      </c>
      <c r="C1412" s="79">
        <v>598331408</v>
      </c>
      <c r="D1412" s="79">
        <v>0</v>
      </c>
      <c r="E1412" s="79" t="s">
        <v>1124</v>
      </c>
      <c r="F1412" s="79" t="s">
        <v>2539</v>
      </c>
      <c r="G1412" s="79" t="s">
        <v>2581</v>
      </c>
      <c r="H1412" s="79"/>
      <c r="I1412" s="79"/>
    </row>
    <row r="1413" spans="1:9" ht="15">
      <c r="A1413" s="79" t="s">
        <v>3354</v>
      </c>
      <c r="B1413" s="79" t="s">
        <v>3355</v>
      </c>
      <c r="C1413" s="79">
        <v>598374008</v>
      </c>
      <c r="D1413" s="79">
        <v>0</v>
      </c>
      <c r="E1413" s="79" t="s">
        <v>1124</v>
      </c>
      <c r="F1413" s="79" t="s">
        <v>2539</v>
      </c>
      <c r="G1413" s="79" t="s">
        <v>1130</v>
      </c>
      <c r="H1413" s="79"/>
      <c r="I1413" s="79"/>
    </row>
    <row r="1414" spans="1:9" ht="15">
      <c r="A1414" s="79" t="s">
        <v>3354</v>
      </c>
      <c r="B1414" s="79" t="s">
        <v>3355</v>
      </c>
      <c r="C1414" s="79">
        <v>598374008</v>
      </c>
      <c r="D1414" s="79">
        <v>0</v>
      </c>
      <c r="E1414" s="79" t="s">
        <v>1124</v>
      </c>
      <c r="F1414" s="79" t="s">
        <v>2539</v>
      </c>
      <c r="G1414" s="79" t="s">
        <v>1131</v>
      </c>
      <c r="H1414" s="79" t="s">
        <v>1132</v>
      </c>
      <c r="I1414" s="79"/>
    </row>
    <row r="1415" spans="1:9" ht="15">
      <c r="A1415" s="79" t="s">
        <v>3354</v>
      </c>
      <c r="B1415" s="79" t="s">
        <v>3355</v>
      </c>
      <c r="C1415" s="79">
        <v>598374008</v>
      </c>
      <c r="D1415" s="79">
        <v>0</v>
      </c>
      <c r="E1415" s="79" t="s">
        <v>1124</v>
      </c>
      <c r="F1415" s="79" t="s">
        <v>2539</v>
      </c>
      <c r="G1415" s="79" t="s">
        <v>2578</v>
      </c>
      <c r="H1415" s="79"/>
      <c r="I1415" s="79"/>
    </row>
    <row r="1416" spans="1:9" ht="15">
      <c r="A1416" s="79" t="s">
        <v>3356</v>
      </c>
      <c r="B1416" s="79" t="s">
        <v>3357</v>
      </c>
      <c r="C1416" s="79">
        <v>598374608</v>
      </c>
      <c r="D1416" s="79">
        <v>0</v>
      </c>
      <c r="E1416" s="79" t="s">
        <v>1124</v>
      </c>
      <c r="F1416" s="79" t="s">
        <v>2539</v>
      </c>
      <c r="G1416" s="79" t="s">
        <v>2546</v>
      </c>
      <c r="H1416" s="79" t="s">
        <v>2547</v>
      </c>
      <c r="I1416" s="79"/>
    </row>
    <row r="1417" spans="1:9" ht="15">
      <c r="A1417" s="79" t="s">
        <v>3356</v>
      </c>
      <c r="B1417" s="79" t="s">
        <v>3357</v>
      </c>
      <c r="C1417" s="79">
        <v>598374608</v>
      </c>
      <c r="D1417" s="79">
        <v>0</v>
      </c>
      <c r="E1417" s="79" t="s">
        <v>1124</v>
      </c>
      <c r="F1417" s="79" t="s">
        <v>2539</v>
      </c>
      <c r="G1417" s="79" t="s">
        <v>2581</v>
      </c>
      <c r="H1417" s="79"/>
      <c r="I1417" s="79"/>
    </row>
    <row r="1418" spans="1:9" ht="15">
      <c r="A1418" s="79" t="s">
        <v>3358</v>
      </c>
      <c r="B1418" s="79" t="s">
        <v>3359</v>
      </c>
      <c r="C1418" s="79">
        <v>598417208</v>
      </c>
      <c r="D1418" s="79">
        <v>0</v>
      </c>
      <c r="E1418" s="79" t="s">
        <v>1124</v>
      </c>
      <c r="F1418" s="79" t="s">
        <v>2539</v>
      </c>
      <c r="G1418" s="79" t="s">
        <v>1130</v>
      </c>
      <c r="H1418" s="79"/>
      <c r="I1418" s="79"/>
    </row>
    <row r="1419" spans="1:9" ht="15">
      <c r="A1419" s="79" t="s">
        <v>3358</v>
      </c>
      <c r="B1419" s="79" t="s">
        <v>3359</v>
      </c>
      <c r="C1419" s="79">
        <v>598417208</v>
      </c>
      <c r="D1419" s="79">
        <v>0</v>
      </c>
      <c r="E1419" s="79" t="s">
        <v>1124</v>
      </c>
      <c r="F1419" s="79" t="s">
        <v>2539</v>
      </c>
      <c r="G1419" s="79" t="s">
        <v>1131</v>
      </c>
      <c r="H1419" s="79" t="s">
        <v>1132</v>
      </c>
      <c r="I1419" s="79"/>
    </row>
    <row r="1420" spans="1:9" ht="15">
      <c r="A1420" s="79" t="s">
        <v>3358</v>
      </c>
      <c r="B1420" s="79" t="s">
        <v>3359</v>
      </c>
      <c r="C1420" s="79">
        <v>598417208</v>
      </c>
      <c r="D1420" s="79">
        <v>0</v>
      </c>
      <c r="E1420" s="79" t="s">
        <v>1124</v>
      </c>
      <c r="F1420" s="79" t="s">
        <v>2539</v>
      </c>
      <c r="G1420" s="79" t="s">
        <v>2578</v>
      </c>
      <c r="H1420" s="79"/>
      <c r="I1420" s="79"/>
    </row>
    <row r="1421" spans="1:9" ht="15">
      <c r="A1421" s="79" t="s">
        <v>3360</v>
      </c>
      <c r="B1421" s="79" t="s">
        <v>3361</v>
      </c>
      <c r="C1421" s="79">
        <v>598417808</v>
      </c>
      <c r="D1421" s="79">
        <v>0</v>
      </c>
      <c r="E1421" s="79" t="s">
        <v>1124</v>
      </c>
      <c r="F1421" s="79" t="s">
        <v>2539</v>
      </c>
      <c r="G1421" s="79" t="s">
        <v>2546</v>
      </c>
      <c r="H1421" s="79" t="s">
        <v>2547</v>
      </c>
      <c r="I1421" s="79"/>
    </row>
    <row r="1422" spans="1:9" ht="15">
      <c r="A1422" s="79" t="s">
        <v>3360</v>
      </c>
      <c r="B1422" s="79" t="s">
        <v>3361</v>
      </c>
      <c r="C1422" s="79">
        <v>598417808</v>
      </c>
      <c r="D1422" s="79">
        <v>0</v>
      </c>
      <c r="E1422" s="79" t="s">
        <v>1124</v>
      </c>
      <c r="F1422" s="79" t="s">
        <v>2539</v>
      </c>
      <c r="G1422" s="79" t="s">
        <v>2581</v>
      </c>
      <c r="H1422" s="79"/>
      <c r="I1422" s="79"/>
    </row>
    <row r="1423" spans="1:9" ht="15">
      <c r="A1423" s="79" t="s">
        <v>3362</v>
      </c>
      <c r="B1423" s="79" t="s">
        <v>3363</v>
      </c>
      <c r="C1423" s="79">
        <v>598460408</v>
      </c>
      <c r="D1423" s="79">
        <v>0</v>
      </c>
      <c r="E1423" s="79" t="s">
        <v>1124</v>
      </c>
      <c r="F1423" s="79" t="s">
        <v>2539</v>
      </c>
      <c r="G1423" s="79" t="s">
        <v>1130</v>
      </c>
      <c r="H1423" s="79"/>
      <c r="I1423" s="79"/>
    </row>
    <row r="1424" spans="1:9" ht="15">
      <c r="A1424" s="79" t="s">
        <v>3362</v>
      </c>
      <c r="B1424" s="79" t="s">
        <v>3363</v>
      </c>
      <c r="C1424" s="79">
        <v>598460408</v>
      </c>
      <c r="D1424" s="79">
        <v>0</v>
      </c>
      <c r="E1424" s="79" t="s">
        <v>1124</v>
      </c>
      <c r="F1424" s="79" t="s">
        <v>2539</v>
      </c>
      <c r="G1424" s="79" t="s">
        <v>1131</v>
      </c>
      <c r="H1424" s="79" t="s">
        <v>1132</v>
      </c>
      <c r="I1424" s="79"/>
    </row>
    <row r="1425" spans="1:9" ht="15">
      <c r="A1425" s="79" t="s">
        <v>3362</v>
      </c>
      <c r="B1425" s="79" t="s">
        <v>3363</v>
      </c>
      <c r="C1425" s="79">
        <v>598460408</v>
      </c>
      <c r="D1425" s="79">
        <v>0</v>
      </c>
      <c r="E1425" s="79" t="s">
        <v>1124</v>
      </c>
      <c r="F1425" s="79" t="s">
        <v>2539</v>
      </c>
      <c r="G1425" s="79" t="s">
        <v>2578</v>
      </c>
      <c r="H1425" s="79"/>
      <c r="I1425" s="79"/>
    </row>
    <row r="1426" spans="1:9" ht="15">
      <c r="A1426" s="79" t="s">
        <v>3364</v>
      </c>
      <c r="B1426" s="79" t="s">
        <v>3365</v>
      </c>
      <c r="C1426" s="79">
        <v>598461008</v>
      </c>
      <c r="D1426" s="79">
        <v>0</v>
      </c>
      <c r="E1426" s="79" t="s">
        <v>1124</v>
      </c>
      <c r="F1426" s="79" t="s">
        <v>2539</v>
      </c>
      <c r="G1426" s="79" t="s">
        <v>2546</v>
      </c>
      <c r="H1426" s="79" t="s">
        <v>2547</v>
      </c>
      <c r="I1426" s="79"/>
    </row>
    <row r="1427" spans="1:9" ht="15">
      <c r="A1427" s="79" t="s">
        <v>3364</v>
      </c>
      <c r="B1427" s="79" t="s">
        <v>3365</v>
      </c>
      <c r="C1427" s="79">
        <v>598461008</v>
      </c>
      <c r="D1427" s="79">
        <v>0</v>
      </c>
      <c r="E1427" s="79" t="s">
        <v>1124</v>
      </c>
      <c r="F1427" s="79" t="s">
        <v>2539</v>
      </c>
      <c r="G1427" s="79" t="s">
        <v>2581</v>
      </c>
      <c r="H1427" s="79"/>
      <c r="I1427" s="79"/>
    </row>
    <row r="1428" spans="1:9" ht="15">
      <c r="A1428" s="79" t="s">
        <v>3366</v>
      </c>
      <c r="B1428" s="79" t="s">
        <v>3367</v>
      </c>
      <c r="C1428" s="79">
        <v>598503608</v>
      </c>
      <c r="D1428" s="79">
        <v>0</v>
      </c>
      <c r="E1428" s="79" t="s">
        <v>1124</v>
      </c>
      <c r="F1428" s="79" t="s">
        <v>2539</v>
      </c>
      <c r="G1428" s="79" t="s">
        <v>1130</v>
      </c>
      <c r="H1428" s="79"/>
      <c r="I1428" s="79"/>
    </row>
    <row r="1429" spans="1:9" ht="15">
      <c r="A1429" s="79" t="s">
        <v>3366</v>
      </c>
      <c r="B1429" s="79" t="s">
        <v>3367</v>
      </c>
      <c r="C1429" s="79">
        <v>598503608</v>
      </c>
      <c r="D1429" s="79">
        <v>0</v>
      </c>
      <c r="E1429" s="79" t="s">
        <v>1124</v>
      </c>
      <c r="F1429" s="79" t="s">
        <v>2539</v>
      </c>
      <c r="G1429" s="79" t="s">
        <v>1131</v>
      </c>
      <c r="H1429" s="79" t="s">
        <v>1132</v>
      </c>
      <c r="I1429" s="79"/>
    </row>
    <row r="1430" spans="1:9" ht="15">
      <c r="A1430" s="79" t="s">
        <v>3366</v>
      </c>
      <c r="B1430" s="79" t="s">
        <v>3367</v>
      </c>
      <c r="C1430" s="79">
        <v>598503608</v>
      </c>
      <c r="D1430" s="79">
        <v>0</v>
      </c>
      <c r="E1430" s="79" t="s">
        <v>1124</v>
      </c>
      <c r="F1430" s="79" t="s">
        <v>2539</v>
      </c>
      <c r="G1430" s="79" t="s">
        <v>2578</v>
      </c>
      <c r="H1430" s="79"/>
      <c r="I1430" s="79"/>
    </row>
    <row r="1431" spans="1:9" ht="15">
      <c r="A1431" s="79" t="s">
        <v>3368</v>
      </c>
      <c r="B1431" s="79" t="s">
        <v>3369</v>
      </c>
      <c r="C1431" s="79">
        <v>598504208</v>
      </c>
      <c r="D1431" s="79">
        <v>0</v>
      </c>
      <c r="E1431" s="79" t="s">
        <v>1124</v>
      </c>
      <c r="F1431" s="79" t="s">
        <v>2539</v>
      </c>
      <c r="G1431" s="79" t="s">
        <v>2546</v>
      </c>
      <c r="H1431" s="79" t="s">
        <v>2547</v>
      </c>
      <c r="I1431" s="79"/>
    </row>
    <row r="1432" spans="1:9" ht="15">
      <c r="A1432" s="79" t="s">
        <v>3368</v>
      </c>
      <c r="B1432" s="79" t="s">
        <v>3369</v>
      </c>
      <c r="C1432" s="79">
        <v>598504208</v>
      </c>
      <c r="D1432" s="79">
        <v>0</v>
      </c>
      <c r="E1432" s="79" t="s">
        <v>1124</v>
      </c>
      <c r="F1432" s="79" t="s">
        <v>2539</v>
      </c>
      <c r="G1432" s="79" t="s">
        <v>2581</v>
      </c>
      <c r="H1432" s="79"/>
      <c r="I1432" s="79"/>
    </row>
    <row r="1433" spans="1:9" ht="15">
      <c r="A1433" s="79" t="s">
        <v>3370</v>
      </c>
      <c r="B1433" s="79" t="s">
        <v>3371</v>
      </c>
      <c r="C1433" s="79">
        <v>598546808</v>
      </c>
      <c r="D1433" s="79">
        <v>0</v>
      </c>
      <c r="E1433" s="79" t="s">
        <v>1124</v>
      </c>
      <c r="F1433" s="79" t="s">
        <v>2539</v>
      </c>
      <c r="G1433" s="79" t="s">
        <v>1130</v>
      </c>
      <c r="H1433" s="79"/>
      <c r="I1433" s="79"/>
    </row>
    <row r="1434" spans="1:9" ht="15">
      <c r="A1434" s="79" t="s">
        <v>3370</v>
      </c>
      <c r="B1434" s="79" t="s">
        <v>3371</v>
      </c>
      <c r="C1434" s="79">
        <v>598546808</v>
      </c>
      <c r="D1434" s="79">
        <v>0</v>
      </c>
      <c r="E1434" s="79" t="s">
        <v>1124</v>
      </c>
      <c r="F1434" s="79" t="s">
        <v>2539</v>
      </c>
      <c r="G1434" s="79" t="s">
        <v>1131</v>
      </c>
      <c r="H1434" s="79" t="s">
        <v>1132</v>
      </c>
      <c r="I1434" s="79"/>
    </row>
    <row r="1435" spans="1:9" ht="15">
      <c r="A1435" s="79" t="s">
        <v>3370</v>
      </c>
      <c r="B1435" s="79" t="s">
        <v>3371</v>
      </c>
      <c r="C1435" s="79">
        <v>598546808</v>
      </c>
      <c r="D1435" s="79">
        <v>0</v>
      </c>
      <c r="E1435" s="79" t="s">
        <v>1124</v>
      </c>
      <c r="F1435" s="79" t="s">
        <v>2539</v>
      </c>
      <c r="G1435" s="79" t="s">
        <v>2578</v>
      </c>
      <c r="H1435" s="79"/>
      <c r="I1435" s="79"/>
    </row>
    <row r="1436" spans="1:9" ht="15">
      <c r="A1436" s="79" t="s">
        <v>3372</v>
      </c>
      <c r="B1436" s="79" t="s">
        <v>3373</v>
      </c>
      <c r="C1436" s="79">
        <v>598547408</v>
      </c>
      <c r="D1436" s="79">
        <v>0</v>
      </c>
      <c r="E1436" s="79" t="s">
        <v>1124</v>
      </c>
      <c r="F1436" s="79" t="s">
        <v>2539</v>
      </c>
      <c r="G1436" s="79" t="s">
        <v>2546</v>
      </c>
      <c r="H1436" s="79" t="s">
        <v>2547</v>
      </c>
      <c r="I1436" s="79"/>
    </row>
    <row r="1437" spans="1:9" ht="15">
      <c r="A1437" s="79" t="s">
        <v>3372</v>
      </c>
      <c r="B1437" s="79" t="s">
        <v>3373</v>
      </c>
      <c r="C1437" s="79">
        <v>598547408</v>
      </c>
      <c r="D1437" s="79">
        <v>0</v>
      </c>
      <c r="E1437" s="79" t="s">
        <v>1124</v>
      </c>
      <c r="F1437" s="79" t="s">
        <v>2539</v>
      </c>
      <c r="G1437" s="79" t="s">
        <v>2581</v>
      </c>
      <c r="H1437" s="79"/>
      <c r="I1437" s="79"/>
    </row>
    <row r="1438" spans="1:9" ht="15">
      <c r="A1438" s="79" t="s">
        <v>3374</v>
      </c>
      <c r="B1438" s="79" t="s">
        <v>3375</v>
      </c>
      <c r="C1438" s="79">
        <v>598590008</v>
      </c>
      <c r="D1438" s="79">
        <v>0</v>
      </c>
      <c r="E1438" s="79" t="s">
        <v>1124</v>
      </c>
      <c r="F1438" s="79" t="s">
        <v>2539</v>
      </c>
      <c r="G1438" s="79" t="s">
        <v>1130</v>
      </c>
      <c r="H1438" s="79"/>
      <c r="I1438" s="79"/>
    </row>
    <row r="1439" spans="1:9" ht="15">
      <c r="A1439" s="79" t="s">
        <v>3374</v>
      </c>
      <c r="B1439" s="79" t="s">
        <v>3375</v>
      </c>
      <c r="C1439" s="79">
        <v>598590008</v>
      </c>
      <c r="D1439" s="79">
        <v>0</v>
      </c>
      <c r="E1439" s="79" t="s">
        <v>1124</v>
      </c>
      <c r="F1439" s="79" t="s">
        <v>2539</v>
      </c>
      <c r="G1439" s="79" t="s">
        <v>1131</v>
      </c>
      <c r="H1439" s="79" t="s">
        <v>1132</v>
      </c>
      <c r="I1439" s="79"/>
    </row>
    <row r="1440" spans="1:9" ht="15">
      <c r="A1440" s="79" t="s">
        <v>3374</v>
      </c>
      <c r="B1440" s="79" t="s">
        <v>3375</v>
      </c>
      <c r="C1440" s="79">
        <v>598590008</v>
      </c>
      <c r="D1440" s="79">
        <v>0</v>
      </c>
      <c r="E1440" s="79" t="s">
        <v>1124</v>
      </c>
      <c r="F1440" s="79" t="s">
        <v>2539</v>
      </c>
      <c r="G1440" s="79" t="s">
        <v>2578</v>
      </c>
      <c r="H1440" s="79"/>
      <c r="I1440" s="79"/>
    </row>
    <row r="1441" spans="1:9" ht="15">
      <c r="A1441" s="79" t="s">
        <v>3376</v>
      </c>
      <c r="B1441" s="79" t="s">
        <v>3377</v>
      </c>
      <c r="C1441" s="79">
        <v>598590608</v>
      </c>
      <c r="D1441" s="79">
        <v>0</v>
      </c>
      <c r="E1441" s="79" t="s">
        <v>1124</v>
      </c>
      <c r="F1441" s="79" t="s">
        <v>2539</v>
      </c>
      <c r="G1441" s="79" t="s">
        <v>2546</v>
      </c>
      <c r="H1441" s="79" t="s">
        <v>2547</v>
      </c>
      <c r="I1441" s="79"/>
    </row>
    <row r="1442" spans="1:9" ht="15">
      <c r="A1442" s="79" t="s">
        <v>3376</v>
      </c>
      <c r="B1442" s="79" t="s">
        <v>3377</v>
      </c>
      <c r="C1442" s="79">
        <v>598590608</v>
      </c>
      <c r="D1442" s="79">
        <v>0</v>
      </c>
      <c r="E1442" s="79" t="s">
        <v>1124</v>
      </c>
      <c r="F1442" s="79" t="s">
        <v>2539</v>
      </c>
      <c r="G1442" s="79" t="s">
        <v>2581</v>
      </c>
      <c r="H1442" s="79"/>
      <c r="I1442" s="79"/>
    </row>
    <row r="1443" spans="1:9" ht="15">
      <c r="A1443" s="79" t="s">
        <v>3378</v>
      </c>
      <c r="B1443" s="79" t="s">
        <v>3379</v>
      </c>
      <c r="C1443" s="79">
        <v>598633208</v>
      </c>
      <c r="D1443" s="79">
        <v>0</v>
      </c>
      <c r="E1443" s="79" t="s">
        <v>1124</v>
      </c>
      <c r="F1443" s="79" t="s">
        <v>2539</v>
      </c>
      <c r="G1443" s="79" t="s">
        <v>1130</v>
      </c>
      <c r="H1443" s="79"/>
      <c r="I1443" s="79"/>
    </row>
    <row r="1444" spans="1:9" ht="15">
      <c r="A1444" s="79" t="s">
        <v>3378</v>
      </c>
      <c r="B1444" s="79" t="s">
        <v>3379</v>
      </c>
      <c r="C1444" s="79">
        <v>598633208</v>
      </c>
      <c r="D1444" s="79">
        <v>0</v>
      </c>
      <c r="E1444" s="79" t="s">
        <v>1124</v>
      </c>
      <c r="F1444" s="79" t="s">
        <v>2539</v>
      </c>
      <c r="G1444" s="79" t="s">
        <v>1131</v>
      </c>
      <c r="H1444" s="79" t="s">
        <v>1132</v>
      </c>
      <c r="I1444" s="79"/>
    </row>
    <row r="1445" spans="1:9" ht="15">
      <c r="A1445" s="79" t="s">
        <v>3378</v>
      </c>
      <c r="B1445" s="79" t="s">
        <v>3379</v>
      </c>
      <c r="C1445" s="79">
        <v>598633208</v>
      </c>
      <c r="D1445" s="79">
        <v>0</v>
      </c>
      <c r="E1445" s="79" t="s">
        <v>1124</v>
      </c>
      <c r="F1445" s="79" t="s">
        <v>2539</v>
      </c>
      <c r="G1445" s="79" t="s">
        <v>2578</v>
      </c>
      <c r="H1445" s="79"/>
      <c r="I1445" s="79"/>
    </row>
    <row r="1446" spans="1:9" ht="15">
      <c r="A1446" s="79" t="s">
        <v>3380</v>
      </c>
      <c r="B1446" s="79" t="s">
        <v>3381</v>
      </c>
      <c r="C1446" s="79">
        <v>598633808</v>
      </c>
      <c r="D1446" s="79">
        <v>0</v>
      </c>
      <c r="E1446" s="79" t="s">
        <v>1124</v>
      </c>
      <c r="F1446" s="79" t="s">
        <v>2539</v>
      </c>
      <c r="G1446" s="79" t="s">
        <v>2546</v>
      </c>
      <c r="H1446" s="79" t="s">
        <v>2547</v>
      </c>
      <c r="I1446" s="79"/>
    </row>
    <row r="1447" spans="1:9" ht="15">
      <c r="A1447" s="79" t="s">
        <v>3380</v>
      </c>
      <c r="B1447" s="79" t="s">
        <v>3381</v>
      </c>
      <c r="C1447" s="79">
        <v>598633808</v>
      </c>
      <c r="D1447" s="79">
        <v>0</v>
      </c>
      <c r="E1447" s="79" t="s">
        <v>1124</v>
      </c>
      <c r="F1447" s="79" t="s">
        <v>2539</v>
      </c>
      <c r="G1447" s="79" t="s">
        <v>2581</v>
      </c>
      <c r="H1447" s="79"/>
      <c r="I1447" s="79"/>
    </row>
    <row r="1448" spans="1:9" ht="15">
      <c r="A1448" s="79" t="s">
        <v>3382</v>
      </c>
      <c r="B1448" s="79" t="s">
        <v>3383</v>
      </c>
      <c r="C1448" s="79">
        <v>598676408</v>
      </c>
      <c r="D1448" s="79">
        <v>0</v>
      </c>
      <c r="E1448" s="79" t="s">
        <v>1124</v>
      </c>
      <c r="F1448" s="79" t="s">
        <v>2539</v>
      </c>
      <c r="G1448" s="79" t="s">
        <v>1130</v>
      </c>
      <c r="H1448" s="79"/>
      <c r="I1448" s="79"/>
    </row>
    <row r="1449" spans="1:9" ht="15">
      <c r="A1449" s="79" t="s">
        <v>3382</v>
      </c>
      <c r="B1449" s="79" t="s">
        <v>3383</v>
      </c>
      <c r="C1449" s="79">
        <v>598676408</v>
      </c>
      <c r="D1449" s="79">
        <v>0</v>
      </c>
      <c r="E1449" s="79" t="s">
        <v>1124</v>
      </c>
      <c r="F1449" s="79" t="s">
        <v>2539</v>
      </c>
      <c r="G1449" s="79" t="s">
        <v>1131</v>
      </c>
      <c r="H1449" s="79" t="s">
        <v>1132</v>
      </c>
      <c r="I1449" s="79"/>
    </row>
    <row r="1450" spans="1:9" ht="15">
      <c r="A1450" s="79" t="s">
        <v>3382</v>
      </c>
      <c r="B1450" s="79" t="s">
        <v>3383</v>
      </c>
      <c r="C1450" s="79">
        <v>598676408</v>
      </c>
      <c r="D1450" s="79">
        <v>0</v>
      </c>
      <c r="E1450" s="79" t="s">
        <v>1124</v>
      </c>
      <c r="F1450" s="79" t="s">
        <v>2539</v>
      </c>
      <c r="G1450" s="79" t="s">
        <v>2578</v>
      </c>
      <c r="H1450" s="79"/>
      <c r="I1450" s="79"/>
    </row>
    <row r="1451" spans="1:9" ht="15">
      <c r="A1451" s="79" t="s">
        <v>3384</v>
      </c>
      <c r="B1451" s="79" t="s">
        <v>3385</v>
      </c>
      <c r="C1451" s="79">
        <v>598677008</v>
      </c>
      <c r="D1451" s="79">
        <v>0</v>
      </c>
      <c r="E1451" s="79" t="s">
        <v>1124</v>
      </c>
      <c r="F1451" s="79" t="s">
        <v>2539</v>
      </c>
      <c r="G1451" s="79" t="s">
        <v>2546</v>
      </c>
      <c r="H1451" s="79" t="s">
        <v>2547</v>
      </c>
      <c r="I1451" s="79"/>
    </row>
    <row r="1452" spans="1:9" ht="15">
      <c r="A1452" s="79" t="s">
        <v>3384</v>
      </c>
      <c r="B1452" s="79" t="s">
        <v>3385</v>
      </c>
      <c r="C1452" s="79">
        <v>598677008</v>
      </c>
      <c r="D1452" s="79">
        <v>0</v>
      </c>
      <c r="E1452" s="79" t="s">
        <v>1124</v>
      </c>
      <c r="F1452" s="79" t="s">
        <v>2539</v>
      </c>
      <c r="G1452" s="79" t="s">
        <v>2581</v>
      </c>
      <c r="H1452" s="79"/>
      <c r="I1452" s="79"/>
    </row>
    <row r="1453" spans="1:9" ht="15">
      <c r="A1453" s="79" t="s">
        <v>3386</v>
      </c>
      <c r="B1453" s="79" t="s">
        <v>3387</v>
      </c>
      <c r="C1453" s="79">
        <v>598719608</v>
      </c>
      <c r="D1453" s="79">
        <v>0</v>
      </c>
      <c r="E1453" s="79" t="s">
        <v>1124</v>
      </c>
      <c r="F1453" s="79" t="s">
        <v>2539</v>
      </c>
      <c r="G1453" s="79" t="s">
        <v>1130</v>
      </c>
      <c r="H1453" s="79"/>
      <c r="I1453" s="79"/>
    </row>
    <row r="1454" spans="1:9" ht="15">
      <c r="A1454" s="79" t="s">
        <v>3386</v>
      </c>
      <c r="B1454" s="79" t="s">
        <v>3387</v>
      </c>
      <c r="C1454" s="79">
        <v>598719608</v>
      </c>
      <c r="D1454" s="79">
        <v>0</v>
      </c>
      <c r="E1454" s="79" t="s">
        <v>1124</v>
      </c>
      <c r="F1454" s="79" t="s">
        <v>2539</v>
      </c>
      <c r="G1454" s="79" t="s">
        <v>1131</v>
      </c>
      <c r="H1454" s="79" t="s">
        <v>1132</v>
      </c>
      <c r="I1454" s="79"/>
    </row>
    <row r="1455" spans="1:9" ht="15">
      <c r="A1455" s="79" t="s">
        <v>3386</v>
      </c>
      <c r="B1455" s="79" t="s">
        <v>3387</v>
      </c>
      <c r="C1455" s="79">
        <v>598719608</v>
      </c>
      <c r="D1455" s="79">
        <v>0</v>
      </c>
      <c r="E1455" s="79" t="s">
        <v>1124</v>
      </c>
      <c r="F1455" s="79" t="s">
        <v>2539</v>
      </c>
      <c r="G1455" s="79" t="s">
        <v>2578</v>
      </c>
      <c r="H1455" s="79"/>
      <c r="I1455" s="79"/>
    </row>
    <row r="1456" spans="1:9" ht="15">
      <c r="A1456" s="79" t="s">
        <v>3388</v>
      </c>
      <c r="B1456" s="79" t="s">
        <v>3389</v>
      </c>
      <c r="C1456" s="79">
        <v>598720208</v>
      </c>
      <c r="D1456" s="79">
        <v>0</v>
      </c>
      <c r="E1456" s="79" t="s">
        <v>1124</v>
      </c>
      <c r="F1456" s="79" t="s">
        <v>2539</v>
      </c>
      <c r="G1456" s="79" t="s">
        <v>2546</v>
      </c>
      <c r="H1456" s="79" t="s">
        <v>2547</v>
      </c>
      <c r="I1456" s="79"/>
    </row>
    <row r="1457" spans="1:9" ht="15">
      <c r="A1457" s="79" t="s">
        <v>3388</v>
      </c>
      <c r="B1457" s="79" t="s">
        <v>3389</v>
      </c>
      <c r="C1457" s="79">
        <v>598720208</v>
      </c>
      <c r="D1457" s="79">
        <v>0</v>
      </c>
      <c r="E1457" s="79" t="s">
        <v>1124</v>
      </c>
      <c r="F1457" s="79" t="s">
        <v>2539</v>
      </c>
      <c r="G1457" s="79" t="s">
        <v>2581</v>
      </c>
      <c r="H1457" s="79"/>
      <c r="I1457" s="79"/>
    </row>
    <row r="1458" spans="1:9" ht="15">
      <c r="A1458" s="79" t="s">
        <v>3390</v>
      </c>
      <c r="B1458" s="79" t="s">
        <v>3391</v>
      </c>
      <c r="C1458" s="79">
        <v>598762808</v>
      </c>
      <c r="D1458" s="79">
        <v>0</v>
      </c>
      <c r="E1458" s="79" t="s">
        <v>1124</v>
      </c>
      <c r="F1458" s="79" t="s">
        <v>2539</v>
      </c>
      <c r="G1458" s="79" t="s">
        <v>1130</v>
      </c>
      <c r="H1458" s="79"/>
      <c r="I1458" s="79"/>
    </row>
    <row r="1459" spans="1:9" ht="15">
      <c r="A1459" s="79" t="s">
        <v>3390</v>
      </c>
      <c r="B1459" s="79" t="s">
        <v>3391</v>
      </c>
      <c r="C1459" s="79">
        <v>598762808</v>
      </c>
      <c r="D1459" s="79">
        <v>0</v>
      </c>
      <c r="E1459" s="79" t="s">
        <v>1124</v>
      </c>
      <c r="F1459" s="79" t="s">
        <v>2539</v>
      </c>
      <c r="G1459" s="79" t="s">
        <v>1131</v>
      </c>
      <c r="H1459" s="79" t="s">
        <v>1132</v>
      </c>
      <c r="I1459" s="79"/>
    </row>
    <row r="1460" spans="1:9" ht="15">
      <c r="A1460" s="79" t="s">
        <v>3390</v>
      </c>
      <c r="B1460" s="79" t="s">
        <v>3391</v>
      </c>
      <c r="C1460" s="79">
        <v>598762808</v>
      </c>
      <c r="D1460" s="79">
        <v>0</v>
      </c>
      <c r="E1460" s="79" t="s">
        <v>1124</v>
      </c>
      <c r="F1460" s="79" t="s">
        <v>2539</v>
      </c>
      <c r="G1460" s="79" t="s">
        <v>2578</v>
      </c>
      <c r="H1460" s="79"/>
      <c r="I1460" s="79"/>
    </row>
    <row r="1461" spans="1:9" ht="15">
      <c r="A1461" s="79" t="s">
        <v>3392</v>
      </c>
      <c r="B1461" s="79" t="s">
        <v>3393</v>
      </c>
      <c r="C1461" s="79">
        <v>598763408</v>
      </c>
      <c r="D1461" s="79">
        <v>0</v>
      </c>
      <c r="E1461" s="79" t="s">
        <v>1124</v>
      </c>
      <c r="F1461" s="79" t="s">
        <v>2539</v>
      </c>
      <c r="G1461" s="79" t="s">
        <v>2546</v>
      </c>
      <c r="H1461" s="79" t="s">
        <v>2547</v>
      </c>
      <c r="I1461" s="79"/>
    </row>
    <row r="1462" spans="1:9" ht="15">
      <c r="A1462" s="79" t="s">
        <v>3392</v>
      </c>
      <c r="B1462" s="79" t="s">
        <v>3393</v>
      </c>
      <c r="C1462" s="79">
        <v>598763408</v>
      </c>
      <c r="D1462" s="79">
        <v>0</v>
      </c>
      <c r="E1462" s="79" t="s">
        <v>1124</v>
      </c>
      <c r="F1462" s="79" t="s">
        <v>2539</v>
      </c>
      <c r="G1462" s="79" t="s">
        <v>2581</v>
      </c>
      <c r="H1462" s="79"/>
      <c r="I1462" s="79"/>
    </row>
    <row r="1463" spans="1:9" ht="15">
      <c r="A1463" s="79" t="s">
        <v>3394</v>
      </c>
      <c r="B1463" s="79" t="s">
        <v>3395</v>
      </c>
      <c r="C1463" s="79">
        <v>598806008</v>
      </c>
      <c r="D1463" s="79">
        <v>0</v>
      </c>
      <c r="E1463" s="79" t="s">
        <v>1124</v>
      </c>
      <c r="F1463" s="79" t="s">
        <v>2539</v>
      </c>
      <c r="G1463" s="79" t="s">
        <v>1130</v>
      </c>
      <c r="H1463" s="79"/>
      <c r="I1463" s="79"/>
    </row>
    <row r="1464" spans="1:9" ht="15">
      <c r="A1464" s="79" t="s">
        <v>3394</v>
      </c>
      <c r="B1464" s="79" t="s">
        <v>3395</v>
      </c>
      <c r="C1464" s="79">
        <v>598806008</v>
      </c>
      <c r="D1464" s="79">
        <v>0</v>
      </c>
      <c r="E1464" s="79" t="s">
        <v>1124</v>
      </c>
      <c r="F1464" s="79" t="s">
        <v>2539</v>
      </c>
      <c r="G1464" s="79" t="s">
        <v>1131</v>
      </c>
      <c r="H1464" s="79" t="s">
        <v>1132</v>
      </c>
      <c r="I1464" s="79"/>
    </row>
    <row r="1465" spans="1:9" ht="15">
      <c r="A1465" s="79" t="s">
        <v>3394</v>
      </c>
      <c r="B1465" s="79" t="s">
        <v>3395</v>
      </c>
      <c r="C1465" s="79">
        <v>598806008</v>
      </c>
      <c r="D1465" s="79">
        <v>0</v>
      </c>
      <c r="E1465" s="79" t="s">
        <v>1124</v>
      </c>
      <c r="F1465" s="79" t="s">
        <v>2539</v>
      </c>
      <c r="G1465" s="79" t="s">
        <v>2578</v>
      </c>
      <c r="H1465" s="79"/>
      <c r="I1465" s="79"/>
    </row>
    <row r="1466" spans="1:9" ht="15">
      <c r="A1466" s="79" t="s">
        <v>3396</v>
      </c>
      <c r="B1466" s="79" t="s">
        <v>3397</v>
      </c>
      <c r="C1466" s="79">
        <v>598806608</v>
      </c>
      <c r="D1466" s="79">
        <v>0</v>
      </c>
      <c r="E1466" s="79" t="s">
        <v>1124</v>
      </c>
      <c r="F1466" s="79" t="s">
        <v>2539</v>
      </c>
      <c r="G1466" s="79" t="s">
        <v>2546</v>
      </c>
      <c r="H1466" s="79" t="s">
        <v>2547</v>
      </c>
      <c r="I1466" s="79"/>
    </row>
    <row r="1467" spans="1:9" ht="15">
      <c r="A1467" s="79" t="s">
        <v>3396</v>
      </c>
      <c r="B1467" s="79" t="s">
        <v>3397</v>
      </c>
      <c r="C1467" s="79">
        <v>598806608</v>
      </c>
      <c r="D1467" s="79">
        <v>0</v>
      </c>
      <c r="E1467" s="79" t="s">
        <v>1124</v>
      </c>
      <c r="F1467" s="79" t="s">
        <v>2539</v>
      </c>
      <c r="G1467" s="79" t="s">
        <v>2581</v>
      </c>
      <c r="H1467" s="79"/>
      <c r="I1467" s="79"/>
    </row>
    <row r="1468" spans="1:9" ht="15">
      <c r="A1468" s="79" t="s">
        <v>3398</v>
      </c>
      <c r="B1468" s="79" t="s">
        <v>3399</v>
      </c>
      <c r="C1468" s="79">
        <v>598849208</v>
      </c>
      <c r="D1468" s="79">
        <v>0</v>
      </c>
      <c r="E1468" s="79" t="s">
        <v>1124</v>
      </c>
      <c r="F1468" s="79" t="s">
        <v>2539</v>
      </c>
      <c r="G1468" s="79" t="s">
        <v>1130</v>
      </c>
      <c r="H1468" s="79"/>
      <c r="I1468" s="79"/>
    </row>
    <row r="1469" spans="1:9" ht="15">
      <c r="A1469" s="79" t="s">
        <v>3398</v>
      </c>
      <c r="B1469" s="79" t="s">
        <v>3399</v>
      </c>
      <c r="C1469" s="79">
        <v>598849208</v>
      </c>
      <c r="D1469" s="79">
        <v>0</v>
      </c>
      <c r="E1469" s="79" t="s">
        <v>1124</v>
      </c>
      <c r="F1469" s="79" t="s">
        <v>2539</v>
      </c>
      <c r="G1469" s="79" t="s">
        <v>1131</v>
      </c>
      <c r="H1469" s="79" t="s">
        <v>1132</v>
      </c>
      <c r="I1469" s="79"/>
    </row>
    <row r="1470" spans="1:9" ht="15">
      <c r="A1470" s="79" t="s">
        <v>3398</v>
      </c>
      <c r="B1470" s="79" t="s">
        <v>3399</v>
      </c>
      <c r="C1470" s="79">
        <v>598849208</v>
      </c>
      <c r="D1470" s="79">
        <v>0</v>
      </c>
      <c r="E1470" s="79" t="s">
        <v>1124</v>
      </c>
      <c r="F1470" s="79" t="s">
        <v>2539</v>
      </c>
      <c r="G1470" s="79" t="s">
        <v>2578</v>
      </c>
      <c r="H1470" s="79"/>
      <c r="I1470" s="79"/>
    </row>
    <row r="1471" spans="1:9" ht="15">
      <c r="A1471" s="79" t="s">
        <v>3400</v>
      </c>
      <c r="B1471" s="79" t="s">
        <v>3401</v>
      </c>
      <c r="C1471" s="79">
        <v>598849808</v>
      </c>
      <c r="D1471" s="79">
        <v>0</v>
      </c>
      <c r="E1471" s="79" t="s">
        <v>1124</v>
      </c>
      <c r="F1471" s="79" t="s">
        <v>2539</v>
      </c>
      <c r="G1471" s="79" t="s">
        <v>2546</v>
      </c>
      <c r="H1471" s="79" t="s">
        <v>2547</v>
      </c>
      <c r="I1471" s="79"/>
    </row>
    <row r="1472" spans="1:9" ht="15">
      <c r="A1472" s="79" t="s">
        <v>3400</v>
      </c>
      <c r="B1472" s="79" t="s">
        <v>3401</v>
      </c>
      <c r="C1472" s="79">
        <v>598849808</v>
      </c>
      <c r="D1472" s="79">
        <v>0</v>
      </c>
      <c r="E1472" s="79" t="s">
        <v>1124</v>
      </c>
      <c r="F1472" s="79" t="s">
        <v>2539</v>
      </c>
      <c r="G1472" s="79" t="s">
        <v>2581</v>
      </c>
      <c r="H1472" s="79"/>
      <c r="I1472" s="79"/>
    </row>
    <row r="1473" spans="1:9" ht="15">
      <c r="A1473" s="79" t="s">
        <v>3402</v>
      </c>
      <c r="B1473" s="79" t="s">
        <v>3403</v>
      </c>
      <c r="C1473" s="79">
        <v>598892408</v>
      </c>
      <c r="D1473" s="79">
        <v>0</v>
      </c>
      <c r="E1473" s="79" t="s">
        <v>1124</v>
      </c>
      <c r="F1473" s="79" t="s">
        <v>2539</v>
      </c>
      <c r="G1473" s="79" t="s">
        <v>1130</v>
      </c>
      <c r="H1473" s="79"/>
      <c r="I1473" s="79"/>
    </row>
    <row r="1474" spans="1:9" ht="15">
      <c r="A1474" s="79" t="s">
        <v>3402</v>
      </c>
      <c r="B1474" s="79" t="s">
        <v>3403</v>
      </c>
      <c r="C1474" s="79">
        <v>598892408</v>
      </c>
      <c r="D1474" s="79">
        <v>0</v>
      </c>
      <c r="E1474" s="79" t="s">
        <v>1124</v>
      </c>
      <c r="F1474" s="79" t="s">
        <v>2539</v>
      </c>
      <c r="G1474" s="79" t="s">
        <v>2109</v>
      </c>
      <c r="H1474" s="79"/>
      <c r="I1474" s="79"/>
    </row>
    <row r="1475" spans="1:9" ht="15">
      <c r="A1475" s="79" t="s">
        <v>3404</v>
      </c>
      <c r="B1475" s="79" t="s">
        <v>3405</v>
      </c>
      <c r="C1475" s="79">
        <v>598892411</v>
      </c>
      <c r="D1475" s="79">
        <v>0</v>
      </c>
      <c r="E1475" s="79" t="s">
        <v>1124</v>
      </c>
      <c r="F1475" s="79" t="s">
        <v>2539</v>
      </c>
      <c r="G1475" s="79" t="s">
        <v>1130</v>
      </c>
      <c r="H1475" s="79"/>
      <c r="I1475" s="79"/>
    </row>
    <row r="1476" spans="1:9" ht="15">
      <c r="A1476" s="79" t="s">
        <v>3404</v>
      </c>
      <c r="B1476" s="79" t="s">
        <v>3405</v>
      </c>
      <c r="C1476" s="79">
        <v>598892411</v>
      </c>
      <c r="D1476" s="79">
        <v>0</v>
      </c>
      <c r="E1476" s="79" t="s">
        <v>1124</v>
      </c>
      <c r="F1476" s="79" t="s">
        <v>2539</v>
      </c>
      <c r="G1476" s="79" t="s">
        <v>2572</v>
      </c>
      <c r="H1476" s="79" t="s">
        <v>2573</v>
      </c>
      <c r="I1476" s="79"/>
    </row>
    <row r="1477" spans="1:9" ht="15">
      <c r="A1477" s="79" t="s">
        <v>3404</v>
      </c>
      <c r="B1477" s="79" t="s">
        <v>3405</v>
      </c>
      <c r="C1477" s="79">
        <v>598892411</v>
      </c>
      <c r="D1477" s="79">
        <v>0</v>
      </c>
      <c r="E1477" s="79" t="s">
        <v>1124</v>
      </c>
      <c r="F1477" s="79" t="s">
        <v>2539</v>
      </c>
      <c r="G1477" s="79" t="s">
        <v>2568</v>
      </c>
      <c r="H1477" s="79"/>
      <c r="I1477" s="79"/>
    </row>
    <row r="1478" spans="1:9" ht="15">
      <c r="A1478" s="79" t="s">
        <v>3406</v>
      </c>
      <c r="B1478" s="79" t="s">
        <v>3407</v>
      </c>
      <c r="C1478" s="79">
        <v>598892771</v>
      </c>
      <c r="D1478" s="79">
        <v>0</v>
      </c>
      <c r="E1478" s="79" t="s">
        <v>1124</v>
      </c>
      <c r="F1478" s="79" t="s">
        <v>2539</v>
      </c>
      <c r="G1478" s="79" t="s">
        <v>2576</v>
      </c>
      <c r="H1478" s="79"/>
      <c r="I1478" s="79"/>
    </row>
    <row r="1479" spans="1:9" ht="15">
      <c r="A1479" s="79" t="s">
        <v>3406</v>
      </c>
      <c r="B1479" s="79" t="s">
        <v>3407</v>
      </c>
      <c r="C1479" s="79">
        <v>598892771</v>
      </c>
      <c r="D1479" s="79">
        <v>0</v>
      </c>
      <c r="E1479" s="79" t="s">
        <v>1124</v>
      </c>
      <c r="F1479" s="79" t="s">
        <v>2539</v>
      </c>
      <c r="G1479" s="79" t="s">
        <v>2577</v>
      </c>
      <c r="H1479" s="79"/>
      <c r="I1479" s="79"/>
    </row>
    <row r="1480" spans="1:9" ht="15">
      <c r="A1480" s="79" t="s">
        <v>3406</v>
      </c>
      <c r="B1480" s="79" t="s">
        <v>3407</v>
      </c>
      <c r="C1480" s="79">
        <v>598892771</v>
      </c>
      <c r="D1480" s="79">
        <v>0</v>
      </c>
      <c r="E1480" s="79" t="s">
        <v>1124</v>
      </c>
      <c r="F1480" s="79" t="s">
        <v>2539</v>
      </c>
      <c r="G1480" s="79" t="s">
        <v>1131</v>
      </c>
      <c r="H1480" s="79" t="s">
        <v>1132</v>
      </c>
      <c r="I1480" s="79"/>
    </row>
    <row r="1481" spans="1:9" ht="15">
      <c r="A1481" s="79" t="s">
        <v>3406</v>
      </c>
      <c r="B1481" s="79" t="s">
        <v>3407</v>
      </c>
      <c r="C1481" s="79">
        <v>598892771</v>
      </c>
      <c r="D1481" s="79">
        <v>0</v>
      </c>
      <c r="E1481" s="79" t="s">
        <v>1124</v>
      </c>
      <c r="F1481" s="79" t="s">
        <v>2539</v>
      </c>
      <c r="G1481" s="79" t="s">
        <v>2578</v>
      </c>
      <c r="H1481" s="79"/>
      <c r="I1481" s="79"/>
    </row>
    <row r="1482" spans="1:9" ht="15">
      <c r="A1482" s="79" t="s">
        <v>3408</v>
      </c>
      <c r="B1482" s="79" t="s">
        <v>3409</v>
      </c>
      <c r="C1482" s="79">
        <v>598893371</v>
      </c>
      <c r="D1482" s="79">
        <v>0</v>
      </c>
      <c r="E1482" s="79" t="s">
        <v>1124</v>
      </c>
      <c r="F1482" s="79" t="s">
        <v>2539</v>
      </c>
      <c r="G1482" s="79" t="s">
        <v>2546</v>
      </c>
      <c r="H1482" s="79" t="s">
        <v>2547</v>
      </c>
      <c r="I1482" s="79"/>
    </row>
    <row r="1483" spans="1:9" ht="15">
      <c r="A1483" s="79" t="s">
        <v>3408</v>
      </c>
      <c r="B1483" s="79" t="s">
        <v>3409</v>
      </c>
      <c r="C1483" s="79">
        <v>598893371</v>
      </c>
      <c r="D1483" s="79">
        <v>0</v>
      </c>
      <c r="E1483" s="79" t="s">
        <v>1124</v>
      </c>
      <c r="F1483" s="79" t="s">
        <v>2539</v>
      </c>
      <c r="G1483" s="79" t="s">
        <v>2581</v>
      </c>
      <c r="H1483" s="79"/>
      <c r="I1483" s="79"/>
    </row>
    <row r="1484" spans="1:9" ht="15">
      <c r="A1484" s="79" t="s">
        <v>3410</v>
      </c>
      <c r="B1484" s="79" t="s">
        <v>3411</v>
      </c>
      <c r="C1484" s="79">
        <v>598935971</v>
      </c>
      <c r="D1484" s="79">
        <v>0</v>
      </c>
      <c r="E1484" s="79" t="s">
        <v>1124</v>
      </c>
      <c r="F1484" s="79" t="s">
        <v>2539</v>
      </c>
      <c r="G1484" s="79" t="s">
        <v>1130</v>
      </c>
      <c r="H1484" s="79"/>
      <c r="I1484" s="79"/>
    </row>
    <row r="1485" spans="1:9" ht="15">
      <c r="A1485" s="79" t="s">
        <v>3410</v>
      </c>
      <c r="B1485" s="79" t="s">
        <v>3411</v>
      </c>
      <c r="C1485" s="79">
        <v>598935971</v>
      </c>
      <c r="D1485" s="79">
        <v>0</v>
      </c>
      <c r="E1485" s="79" t="s">
        <v>1124</v>
      </c>
      <c r="F1485" s="79" t="s">
        <v>2539</v>
      </c>
      <c r="G1485" s="79" t="s">
        <v>1131</v>
      </c>
      <c r="H1485" s="79" t="s">
        <v>1132</v>
      </c>
      <c r="I1485" s="79"/>
    </row>
    <row r="1486" spans="1:9" ht="15">
      <c r="A1486" s="79" t="s">
        <v>3410</v>
      </c>
      <c r="B1486" s="79" t="s">
        <v>3411</v>
      </c>
      <c r="C1486" s="79">
        <v>598935971</v>
      </c>
      <c r="D1486" s="79">
        <v>0</v>
      </c>
      <c r="E1486" s="79" t="s">
        <v>1124</v>
      </c>
      <c r="F1486" s="79" t="s">
        <v>2539</v>
      </c>
      <c r="G1486" s="79" t="s">
        <v>2578</v>
      </c>
      <c r="H1486" s="79"/>
      <c r="I1486" s="79"/>
    </row>
    <row r="1487" spans="1:9" ht="15">
      <c r="A1487" s="79" t="s">
        <v>3412</v>
      </c>
      <c r="B1487" s="79" t="s">
        <v>3413</v>
      </c>
      <c r="C1487" s="79">
        <v>598936571</v>
      </c>
      <c r="D1487" s="79">
        <v>0</v>
      </c>
      <c r="E1487" s="79" t="s">
        <v>1124</v>
      </c>
      <c r="F1487" s="79" t="s">
        <v>2539</v>
      </c>
      <c r="G1487" s="79" t="s">
        <v>2546</v>
      </c>
      <c r="H1487" s="79" t="s">
        <v>2547</v>
      </c>
      <c r="I1487" s="79"/>
    </row>
    <row r="1488" spans="1:9" ht="15">
      <c r="A1488" s="79" t="s">
        <v>3412</v>
      </c>
      <c r="B1488" s="79" t="s">
        <v>3413</v>
      </c>
      <c r="C1488" s="79">
        <v>598936571</v>
      </c>
      <c r="D1488" s="79">
        <v>0</v>
      </c>
      <c r="E1488" s="79" t="s">
        <v>1124</v>
      </c>
      <c r="F1488" s="79" t="s">
        <v>2539</v>
      </c>
      <c r="G1488" s="79" t="s">
        <v>2581</v>
      </c>
      <c r="H1488" s="79"/>
      <c r="I1488" s="79"/>
    </row>
    <row r="1489" spans="1:9" ht="15">
      <c r="A1489" s="79" t="s">
        <v>3414</v>
      </c>
      <c r="B1489" s="79" t="s">
        <v>3415</v>
      </c>
      <c r="C1489" s="79">
        <v>598979171</v>
      </c>
      <c r="D1489" s="79">
        <v>0</v>
      </c>
      <c r="E1489" s="79" t="s">
        <v>1124</v>
      </c>
      <c r="F1489" s="79" t="s">
        <v>2539</v>
      </c>
      <c r="G1489" s="79" t="s">
        <v>1130</v>
      </c>
      <c r="H1489" s="79"/>
      <c r="I1489" s="79"/>
    </row>
    <row r="1490" spans="1:9" ht="15">
      <c r="A1490" s="79" t="s">
        <v>3414</v>
      </c>
      <c r="B1490" s="79" t="s">
        <v>3415</v>
      </c>
      <c r="C1490" s="79">
        <v>598979171</v>
      </c>
      <c r="D1490" s="79">
        <v>0</v>
      </c>
      <c r="E1490" s="79" t="s">
        <v>1124</v>
      </c>
      <c r="F1490" s="79" t="s">
        <v>2539</v>
      </c>
      <c r="G1490" s="79" t="s">
        <v>1131</v>
      </c>
      <c r="H1490" s="79" t="s">
        <v>1132</v>
      </c>
      <c r="I1490" s="79"/>
    </row>
    <row r="1491" spans="1:9" ht="15">
      <c r="A1491" s="79" t="s">
        <v>3414</v>
      </c>
      <c r="B1491" s="79" t="s">
        <v>3415</v>
      </c>
      <c r="C1491" s="79">
        <v>598979171</v>
      </c>
      <c r="D1491" s="79">
        <v>0</v>
      </c>
      <c r="E1491" s="79" t="s">
        <v>1124</v>
      </c>
      <c r="F1491" s="79" t="s">
        <v>2539</v>
      </c>
      <c r="G1491" s="79" t="s">
        <v>2578</v>
      </c>
      <c r="H1491" s="79"/>
      <c r="I1491" s="79"/>
    </row>
    <row r="1492" spans="1:9" ht="15">
      <c r="A1492" s="79" t="s">
        <v>3416</v>
      </c>
      <c r="B1492" s="79" t="s">
        <v>3417</v>
      </c>
      <c r="C1492" s="79">
        <v>598979771</v>
      </c>
      <c r="D1492" s="79">
        <v>0</v>
      </c>
      <c r="E1492" s="79" t="s">
        <v>1124</v>
      </c>
      <c r="F1492" s="79" t="s">
        <v>2539</v>
      </c>
      <c r="G1492" s="79" t="s">
        <v>2546</v>
      </c>
      <c r="H1492" s="79" t="s">
        <v>2547</v>
      </c>
      <c r="I1492" s="79"/>
    </row>
    <row r="1493" spans="1:9" ht="15">
      <c r="A1493" s="79" t="s">
        <v>3416</v>
      </c>
      <c r="B1493" s="79" t="s">
        <v>3417</v>
      </c>
      <c r="C1493" s="79">
        <v>598979771</v>
      </c>
      <c r="D1493" s="79">
        <v>0</v>
      </c>
      <c r="E1493" s="79" t="s">
        <v>1124</v>
      </c>
      <c r="F1493" s="79" t="s">
        <v>2539</v>
      </c>
      <c r="G1493" s="79" t="s">
        <v>2581</v>
      </c>
      <c r="H1493" s="79"/>
      <c r="I1493" s="79"/>
    </row>
    <row r="1494" spans="1:9" ht="15">
      <c r="A1494" s="79" t="s">
        <v>3418</v>
      </c>
      <c r="B1494" s="79" t="s">
        <v>3419</v>
      </c>
      <c r="C1494" s="79">
        <v>599022371</v>
      </c>
      <c r="D1494" s="79">
        <v>0</v>
      </c>
      <c r="E1494" s="79" t="s">
        <v>1124</v>
      </c>
      <c r="F1494" s="79" t="s">
        <v>2539</v>
      </c>
      <c r="G1494" s="79" t="s">
        <v>1130</v>
      </c>
      <c r="H1494" s="79"/>
      <c r="I1494" s="79"/>
    </row>
    <row r="1495" spans="1:9" ht="15">
      <c r="A1495" s="79" t="s">
        <v>3418</v>
      </c>
      <c r="B1495" s="79" t="s">
        <v>3419</v>
      </c>
      <c r="C1495" s="79">
        <v>599022371</v>
      </c>
      <c r="D1495" s="79">
        <v>0</v>
      </c>
      <c r="E1495" s="79" t="s">
        <v>1124</v>
      </c>
      <c r="F1495" s="79" t="s">
        <v>2539</v>
      </c>
      <c r="G1495" s="79" t="s">
        <v>1131</v>
      </c>
      <c r="H1495" s="79" t="s">
        <v>1132</v>
      </c>
      <c r="I1495" s="79"/>
    </row>
    <row r="1496" spans="1:9" ht="15">
      <c r="A1496" s="79" t="s">
        <v>3418</v>
      </c>
      <c r="B1496" s="79" t="s">
        <v>3419</v>
      </c>
      <c r="C1496" s="79">
        <v>599022371</v>
      </c>
      <c r="D1496" s="79">
        <v>0</v>
      </c>
      <c r="E1496" s="79" t="s">
        <v>1124</v>
      </c>
      <c r="F1496" s="79" t="s">
        <v>2539</v>
      </c>
      <c r="G1496" s="79" t="s">
        <v>2578</v>
      </c>
      <c r="H1496" s="79"/>
      <c r="I1496" s="79"/>
    </row>
    <row r="1497" spans="1:9" ht="15">
      <c r="A1497" s="79" t="s">
        <v>3420</v>
      </c>
      <c r="B1497" s="79" t="s">
        <v>3421</v>
      </c>
      <c r="C1497" s="79">
        <v>599022971</v>
      </c>
      <c r="D1497" s="79">
        <v>0</v>
      </c>
      <c r="E1497" s="79" t="s">
        <v>1124</v>
      </c>
      <c r="F1497" s="79" t="s">
        <v>2539</v>
      </c>
      <c r="G1497" s="79" t="s">
        <v>2546</v>
      </c>
      <c r="H1497" s="79" t="s">
        <v>2547</v>
      </c>
      <c r="I1497" s="79"/>
    </row>
    <row r="1498" spans="1:9" ht="15">
      <c r="A1498" s="79" t="s">
        <v>3420</v>
      </c>
      <c r="B1498" s="79" t="s">
        <v>3421</v>
      </c>
      <c r="C1498" s="79">
        <v>599022971</v>
      </c>
      <c r="D1498" s="79">
        <v>0</v>
      </c>
      <c r="E1498" s="79" t="s">
        <v>1124</v>
      </c>
      <c r="F1498" s="79" t="s">
        <v>2539</v>
      </c>
      <c r="G1498" s="79" t="s">
        <v>2581</v>
      </c>
      <c r="H1498" s="79"/>
      <c r="I1498" s="79"/>
    </row>
    <row r="1499" spans="1:9" ht="15">
      <c r="A1499" s="79" t="s">
        <v>3422</v>
      </c>
      <c r="B1499" s="79" t="s">
        <v>3423</v>
      </c>
      <c r="C1499" s="79">
        <v>599065571</v>
      </c>
      <c r="D1499" s="79">
        <v>0</v>
      </c>
      <c r="E1499" s="79" t="s">
        <v>1124</v>
      </c>
      <c r="F1499" s="79" t="s">
        <v>2539</v>
      </c>
      <c r="G1499" s="79" t="s">
        <v>1130</v>
      </c>
      <c r="H1499" s="79"/>
      <c r="I1499" s="79"/>
    </row>
    <row r="1500" spans="1:9" ht="15">
      <c r="A1500" s="79" t="s">
        <v>3422</v>
      </c>
      <c r="B1500" s="79" t="s">
        <v>3423</v>
      </c>
      <c r="C1500" s="79">
        <v>599065571</v>
      </c>
      <c r="D1500" s="79">
        <v>0</v>
      </c>
      <c r="E1500" s="79" t="s">
        <v>1124</v>
      </c>
      <c r="F1500" s="79" t="s">
        <v>2539</v>
      </c>
      <c r="G1500" s="79" t="s">
        <v>1131</v>
      </c>
      <c r="H1500" s="79" t="s">
        <v>1132</v>
      </c>
      <c r="I1500" s="79"/>
    </row>
    <row r="1501" spans="1:9" ht="15">
      <c r="A1501" s="79" t="s">
        <v>3422</v>
      </c>
      <c r="B1501" s="79" t="s">
        <v>3423</v>
      </c>
      <c r="C1501" s="79">
        <v>599065571</v>
      </c>
      <c r="D1501" s="79">
        <v>0</v>
      </c>
      <c r="E1501" s="79" t="s">
        <v>1124</v>
      </c>
      <c r="F1501" s="79" t="s">
        <v>2539</v>
      </c>
      <c r="G1501" s="79" t="s">
        <v>2578</v>
      </c>
      <c r="H1501" s="79"/>
      <c r="I1501" s="79"/>
    </row>
    <row r="1502" spans="1:9" ht="15">
      <c r="A1502" s="79" t="s">
        <v>3424</v>
      </c>
      <c r="B1502" s="79" t="s">
        <v>3425</v>
      </c>
      <c r="C1502" s="79">
        <v>599066171</v>
      </c>
      <c r="D1502" s="79">
        <v>0</v>
      </c>
      <c r="E1502" s="79" t="s">
        <v>1124</v>
      </c>
      <c r="F1502" s="79" t="s">
        <v>2539</v>
      </c>
      <c r="G1502" s="79" t="s">
        <v>2546</v>
      </c>
      <c r="H1502" s="79" t="s">
        <v>2547</v>
      </c>
      <c r="I1502" s="79"/>
    </row>
    <row r="1503" spans="1:9" ht="15">
      <c r="A1503" s="79" t="s">
        <v>3424</v>
      </c>
      <c r="B1503" s="79" t="s">
        <v>3425</v>
      </c>
      <c r="C1503" s="79">
        <v>599066171</v>
      </c>
      <c r="D1503" s="79">
        <v>0</v>
      </c>
      <c r="E1503" s="79" t="s">
        <v>1124</v>
      </c>
      <c r="F1503" s="79" t="s">
        <v>2539</v>
      </c>
      <c r="G1503" s="79" t="s">
        <v>2581</v>
      </c>
      <c r="H1503" s="79"/>
      <c r="I1503" s="79"/>
    </row>
    <row r="1504" spans="1:9" ht="15">
      <c r="A1504" s="79" t="s">
        <v>3426</v>
      </c>
      <c r="B1504" s="79" t="s">
        <v>3427</v>
      </c>
      <c r="C1504" s="79">
        <v>599108771</v>
      </c>
      <c r="D1504" s="79">
        <v>0</v>
      </c>
      <c r="E1504" s="79" t="s">
        <v>1124</v>
      </c>
      <c r="F1504" s="79" t="s">
        <v>2539</v>
      </c>
      <c r="G1504" s="79" t="s">
        <v>1130</v>
      </c>
      <c r="H1504" s="79"/>
      <c r="I1504" s="79"/>
    </row>
    <row r="1505" spans="1:9" ht="15">
      <c r="A1505" s="79" t="s">
        <v>3426</v>
      </c>
      <c r="B1505" s="79" t="s">
        <v>3427</v>
      </c>
      <c r="C1505" s="79">
        <v>599108771</v>
      </c>
      <c r="D1505" s="79">
        <v>0</v>
      </c>
      <c r="E1505" s="79" t="s">
        <v>1124</v>
      </c>
      <c r="F1505" s="79" t="s">
        <v>2539</v>
      </c>
      <c r="G1505" s="79" t="s">
        <v>1131</v>
      </c>
      <c r="H1505" s="79" t="s">
        <v>1132</v>
      </c>
      <c r="I1505" s="79"/>
    </row>
    <row r="1506" spans="1:9" ht="15">
      <c r="A1506" s="79" t="s">
        <v>3426</v>
      </c>
      <c r="B1506" s="79" t="s">
        <v>3427</v>
      </c>
      <c r="C1506" s="79">
        <v>599108771</v>
      </c>
      <c r="D1506" s="79">
        <v>0</v>
      </c>
      <c r="E1506" s="79" t="s">
        <v>1124</v>
      </c>
      <c r="F1506" s="79" t="s">
        <v>2539</v>
      </c>
      <c r="G1506" s="79" t="s">
        <v>2578</v>
      </c>
      <c r="H1506" s="79"/>
      <c r="I1506" s="79"/>
    </row>
    <row r="1507" spans="1:9" ht="15">
      <c r="A1507" s="79" t="s">
        <v>3428</v>
      </c>
      <c r="B1507" s="79" t="s">
        <v>3429</v>
      </c>
      <c r="C1507" s="79">
        <v>599109371</v>
      </c>
      <c r="D1507" s="79">
        <v>0</v>
      </c>
      <c r="E1507" s="79" t="s">
        <v>1124</v>
      </c>
      <c r="F1507" s="79" t="s">
        <v>2539</v>
      </c>
      <c r="G1507" s="79" t="s">
        <v>2546</v>
      </c>
      <c r="H1507" s="79" t="s">
        <v>2547</v>
      </c>
      <c r="I1507" s="79"/>
    </row>
    <row r="1508" spans="1:9" ht="15">
      <c r="A1508" s="79" t="s">
        <v>3428</v>
      </c>
      <c r="B1508" s="79" t="s">
        <v>3429</v>
      </c>
      <c r="C1508" s="79">
        <v>599109371</v>
      </c>
      <c r="D1508" s="79">
        <v>0</v>
      </c>
      <c r="E1508" s="79" t="s">
        <v>1124</v>
      </c>
      <c r="F1508" s="79" t="s">
        <v>2539</v>
      </c>
      <c r="G1508" s="79" t="s">
        <v>2581</v>
      </c>
      <c r="H1508" s="79"/>
      <c r="I1508" s="79"/>
    </row>
    <row r="1509" spans="1:9" ht="15">
      <c r="A1509" s="79" t="s">
        <v>3430</v>
      </c>
      <c r="B1509" s="79" t="s">
        <v>3431</v>
      </c>
      <c r="C1509" s="79">
        <v>599151971</v>
      </c>
      <c r="D1509" s="79">
        <v>0</v>
      </c>
      <c r="E1509" s="79" t="s">
        <v>1124</v>
      </c>
      <c r="F1509" s="79" t="s">
        <v>2539</v>
      </c>
      <c r="G1509" s="79" t="s">
        <v>1130</v>
      </c>
      <c r="H1509" s="79"/>
      <c r="I1509" s="79"/>
    </row>
    <row r="1510" spans="1:9" ht="15">
      <c r="A1510" s="79" t="s">
        <v>3430</v>
      </c>
      <c r="B1510" s="79" t="s">
        <v>3431</v>
      </c>
      <c r="C1510" s="79">
        <v>599151971</v>
      </c>
      <c r="D1510" s="79">
        <v>0</v>
      </c>
      <c r="E1510" s="79" t="s">
        <v>1124</v>
      </c>
      <c r="F1510" s="79" t="s">
        <v>2539</v>
      </c>
      <c r="G1510" s="79" t="s">
        <v>1131</v>
      </c>
      <c r="H1510" s="79" t="s">
        <v>1132</v>
      </c>
      <c r="I1510" s="79"/>
    </row>
    <row r="1511" spans="1:9" ht="15">
      <c r="A1511" s="79" t="s">
        <v>3430</v>
      </c>
      <c r="B1511" s="79" t="s">
        <v>3431</v>
      </c>
      <c r="C1511" s="79">
        <v>599151971</v>
      </c>
      <c r="D1511" s="79">
        <v>0</v>
      </c>
      <c r="E1511" s="79" t="s">
        <v>1124</v>
      </c>
      <c r="F1511" s="79" t="s">
        <v>2539</v>
      </c>
      <c r="G1511" s="79" t="s">
        <v>2578</v>
      </c>
      <c r="H1511" s="79"/>
      <c r="I1511" s="79"/>
    </row>
    <row r="1512" spans="1:9" ht="15">
      <c r="A1512" s="79" t="s">
        <v>3432</v>
      </c>
      <c r="B1512" s="79" t="s">
        <v>3433</v>
      </c>
      <c r="C1512" s="79">
        <v>599152571</v>
      </c>
      <c r="D1512" s="79">
        <v>0</v>
      </c>
      <c r="E1512" s="79" t="s">
        <v>1124</v>
      </c>
      <c r="F1512" s="79" t="s">
        <v>2539</v>
      </c>
      <c r="G1512" s="79" t="s">
        <v>2546</v>
      </c>
      <c r="H1512" s="79" t="s">
        <v>2547</v>
      </c>
      <c r="I1512" s="79"/>
    </row>
    <row r="1513" spans="1:9" ht="15">
      <c r="A1513" s="79" t="s">
        <v>3432</v>
      </c>
      <c r="B1513" s="79" t="s">
        <v>3433</v>
      </c>
      <c r="C1513" s="79">
        <v>599152571</v>
      </c>
      <c r="D1513" s="79">
        <v>0</v>
      </c>
      <c r="E1513" s="79" t="s">
        <v>1124</v>
      </c>
      <c r="F1513" s="79" t="s">
        <v>2539</v>
      </c>
      <c r="G1513" s="79" t="s">
        <v>2581</v>
      </c>
      <c r="H1513" s="79"/>
      <c r="I1513" s="79"/>
    </row>
    <row r="1514" spans="1:9" ht="15">
      <c r="A1514" s="79" t="s">
        <v>3434</v>
      </c>
      <c r="B1514" s="79" t="s">
        <v>3435</v>
      </c>
      <c r="C1514" s="79">
        <v>599195171</v>
      </c>
      <c r="D1514" s="79">
        <v>0</v>
      </c>
      <c r="E1514" s="79" t="s">
        <v>1124</v>
      </c>
      <c r="F1514" s="79" t="s">
        <v>2539</v>
      </c>
      <c r="G1514" s="79" t="s">
        <v>1130</v>
      </c>
      <c r="H1514" s="79"/>
      <c r="I1514" s="79"/>
    </row>
    <row r="1515" spans="1:9" ht="15">
      <c r="A1515" s="79" t="s">
        <v>3434</v>
      </c>
      <c r="B1515" s="79" t="s">
        <v>3435</v>
      </c>
      <c r="C1515" s="79">
        <v>599195171</v>
      </c>
      <c r="D1515" s="79">
        <v>0</v>
      </c>
      <c r="E1515" s="79" t="s">
        <v>1124</v>
      </c>
      <c r="F1515" s="79" t="s">
        <v>2539</v>
      </c>
      <c r="G1515" s="79" t="s">
        <v>1131</v>
      </c>
      <c r="H1515" s="79" t="s">
        <v>1132</v>
      </c>
      <c r="I1515" s="79"/>
    </row>
    <row r="1516" spans="1:9" ht="15">
      <c r="A1516" s="79" t="s">
        <v>3434</v>
      </c>
      <c r="B1516" s="79" t="s">
        <v>3435</v>
      </c>
      <c r="C1516" s="79">
        <v>599195171</v>
      </c>
      <c r="D1516" s="79">
        <v>0</v>
      </c>
      <c r="E1516" s="79" t="s">
        <v>1124</v>
      </c>
      <c r="F1516" s="79" t="s">
        <v>2539</v>
      </c>
      <c r="G1516" s="79" t="s">
        <v>2578</v>
      </c>
      <c r="H1516" s="79"/>
      <c r="I1516" s="79"/>
    </row>
    <row r="1517" spans="1:9" ht="15">
      <c r="A1517" s="79" t="s">
        <v>3436</v>
      </c>
      <c r="B1517" s="79" t="s">
        <v>3437</v>
      </c>
      <c r="C1517" s="79">
        <v>599195771</v>
      </c>
      <c r="D1517" s="79">
        <v>0</v>
      </c>
      <c r="E1517" s="79" t="s">
        <v>1124</v>
      </c>
      <c r="F1517" s="79" t="s">
        <v>2539</v>
      </c>
      <c r="G1517" s="79" t="s">
        <v>2546</v>
      </c>
      <c r="H1517" s="79" t="s">
        <v>2547</v>
      </c>
      <c r="I1517" s="79"/>
    </row>
    <row r="1518" spans="1:9" ht="15">
      <c r="A1518" s="79" t="s">
        <v>3436</v>
      </c>
      <c r="B1518" s="79" t="s">
        <v>3437</v>
      </c>
      <c r="C1518" s="79">
        <v>599195771</v>
      </c>
      <c r="D1518" s="79">
        <v>0</v>
      </c>
      <c r="E1518" s="79" t="s">
        <v>1124</v>
      </c>
      <c r="F1518" s="79" t="s">
        <v>2539</v>
      </c>
      <c r="G1518" s="79" t="s">
        <v>2581</v>
      </c>
      <c r="H1518" s="79"/>
      <c r="I1518" s="79"/>
    </row>
    <row r="1519" spans="1:9" ht="15">
      <c r="A1519" s="79" t="s">
        <v>3438</v>
      </c>
      <c r="B1519" s="79" t="s">
        <v>3439</v>
      </c>
      <c r="C1519" s="79">
        <v>599238371</v>
      </c>
      <c r="D1519" s="79">
        <v>0</v>
      </c>
      <c r="E1519" s="79" t="s">
        <v>1124</v>
      </c>
      <c r="F1519" s="79" t="s">
        <v>2539</v>
      </c>
      <c r="G1519" s="79" t="s">
        <v>1130</v>
      </c>
      <c r="H1519" s="79"/>
      <c r="I1519" s="79"/>
    </row>
    <row r="1520" spans="1:9" ht="15">
      <c r="A1520" s="79" t="s">
        <v>3438</v>
      </c>
      <c r="B1520" s="79" t="s">
        <v>3439</v>
      </c>
      <c r="C1520" s="79">
        <v>599238371</v>
      </c>
      <c r="D1520" s="79">
        <v>0</v>
      </c>
      <c r="E1520" s="79" t="s">
        <v>1124</v>
      </c>
      <c r="F1520" s="79" t="s">
        <v>2539</v>
      </c>
      <c r="G1520" s="79" t="s">
        <v>1131</v>
      </c>
      <c r="H1520" s="79" t="s">
        <v>1132</v>
      </c>
      <c r="I1520" s="79"/>
    </row>
    <row r="1521" spans="1:9" ht="15">
      <c r="A1521" s="79" t="s">
        <v>3438</v>
      </c>
      <c r="B1521" s="79" t="s">
        <v>3439</v>
      </c>
      <c r="C1521" s="79">
        <v>599238371</v>
      </c>
      <c r="D1521" s="79">
        <v>0</v>
      </c>
      <c r="E1521" s="79" t="s">
        <v>1124</v>
      </c>
      <c r="F1521" s="79" t="s">
        <v>2539</v>
      </c>
      <c r="G1521" s="79" t="s">
        <v>2578</v>
      </c>
      <c r="H1521" s="79"/>
      <c r="I1521" s="79"/>
    </row>
    <row r="1522" spans="1:9" ht="15">
      <c r="A1522" s="79" t="s">
        <v>3440</v>
      </c>
      <c r="B1522" s="79" t="s">
        <v>3441</v>
      </c>
      <c r="C1522" s="79">
        <v>599238971</v>
      </c>
      <c r="D1522" s="79">
        <v>0</v>
      </c>
      <c r="E1522" s="79" t="s">
        <v>1124</v>
      </c>
      <c r="F1522" s="79" t="s">
        <v>2539</v>
      </c>
      <c r="G1522" s="79" t="s">
        <v>2546</v>
      </c>
      <c r="H1522" s="79" t="s">
        <v>2547</v>
      </c>
      <c r="I1522" s="79"/>
    </row>
    <row r="1523" spans="1:9" ht="15">
      <c r="A1523" s="79" t="s">
        <v>3440</v>
      </c>
      <c r="B1523" s="79" t="s">
        <v>3441</v>
      </c>
      <c r="C1523" s="79">
        <v>599238971</v>
      </c>
      <c r="D1523" s="79">
        <v>0</v>
      </c>
      <c r="E1523" s="79" t="s">
        <v>1124</v>
      </c>
      <c r="F1523" s="79" t="s">
        <v>2539</v>
      </c>
      <c r="G1523" s="79" t="s">
        <v>2581</v>
      </c>
      <c r="H1523" s="79"/>
      <c r="I1523" s="79"/>
    </row>
    <row r="1524" spans="1:9" ht="15">
      <c r="A1524" s="79" t="s">
        <v>3442</v>
      </c>
      <c r="B1524" s="79" t="s">
        <v>3443</v>
      </c>
      <c r="C1524" s="79">
        <v>599281571</v>
      </c>
      <c r="D1524" s="79">
        <v>0</v>
      </c>
      <c r="E1524" s="79" t="s">
        <v>1124</v>
      </c>
      <c r="F1524" s="79" t="s">
        <v>2539</v>
      </c>
      <c r="G1524" s="79" t="s">
        <v>1130</v>
      </c>
      <c r="H1524" s="79"/>
      <c r="I1524" s="79"/>
    </row>
    <row r="1525" spans="1:9" ht="15">
      <c r="A1525" s="79" t="s">
        <v>3442</v>
      </c>
      <c r="B1525" s="79" t="s">
        <v>3443</v>
      </c>
      <c r="C1525" s="79">
        <v>599281571</v>
      </c>
      <c r="D1525" s="79">
        <v>0</v>
      </c>
      <c r="E1525" s="79" t="s">
        <v>1124</v>
      </c>
      <c r="F1525" s="79" t="s">
        <v>2539</v>
      </c>
      <c r="G1525" s="79" t="s">
        <v>1131</v>
      </c>
      <c r="H1525" s="79" t="s">
        <v>1132</v>
      </c>
      <c r="I1525" s="79"/>
    </row>
    <row r="1526" spans="1:9" ht="15">
      <c r="A1526" s="79" t="s">
        <v>3442</v>
      </c>
      <c r="B1526" s="79" t="s">
        <v>3443</v>
      </c>
      <c r="C1526" s="79">
        <v>599281571</v>
      </c>
      <c r="D1526" s="79">
        <v>0</v>
      </c>
      <c r="E1526" s="79" t="s">
        <v>1124</v>
      </c>
      <c r="F1526" s="79" t="s">
        <v>2539</v>
      </c>
      <c r="G1526" s="79" t="s">
        <v>2578</v>
      </c>
      <c r="H1526" s="79"/>
      <c r="I1526" s="79"/>
    </row>
    <row r="1527" spans="1:9" ht="15">
      <c r="A1527" s="79" t="s">
        <v>3444</v>
      </c>
      <c r="B1527" s="79" t="s">
        <v>3445</v>
      </c>
      <c r="C1527" s="79">
        <v>599282171</v>
      </c>
      <c r="D1527" s="79">
        <v>0</v>
      </c>
      <c r="E1527" s="79" t="s">
        <v>1124</v>
      </c>
      <c r="F1527" s="79" t="s">
        <v>2539</v>
      </c>
      <c r="G1527" s="79" t="s">
        <v>2546</v>
      </c>
      <c r="H1527" s="79" t="s">
        <v>2547</v>
      </c>
      <c r="I1527" s="79"/>
    </row>
    <row r="1528" spans="1:9" ht="15">
      <c r="A1528" s="79" t="s">
        <v>3444</v>
      </c>
      <c r="B1528" s="79" t="s">
        <v>3445</v>
      </c>
      <c r="C1528" s="79">
        <v>599282171</v>
      </c>
      <c r="D1528" s="79">
        <v>0</v>
      </c>
      <c r="E1528" s="79" t="s">
        <v>1124</v>
      </c>
      <c r="F1528" s="79" t="s">
        <v>2539</v>
      </c>
      <c r="G1528" s="79" t="s">
        <v>2581</v>
      </c>
      <c r="H1528" s="79"/>
      <c r="I1528" s="79"/>
    </row>
    <row r="1529" spans="1:9" ht="15">
      <c r="A1529" s="79" t="s">
        <v>3446</v>
      </c>
      <c r="B1529" s="79" t="s">
        <v>3447</v>
      </c>
      <c r="C1529" s="79">
        <v>599324771</v>
      </c>
      <c r="D1529" s="79">
        <v>0</v>
      </c>
      <c r="E1529" s="79" t="s">
        <v>1124</v>
      </c>
      <c r="F1529" s="79" t="s">
        <v>2539</v>
      </c>
      <c r="G1529" s="79" t="s">
        <v>1130</v>
      </c>
      <c r="H1529" s="79"/>
      <c r="I1529" s="79"/>
    </row>
    <row r="1530" spans="1:9" ht="15">
      <c r="A1530" s="79" t="s">
        <v>3446</v>
      </c>
      <c r="B1530" s="79" t="s">
        <v>3447</v>
      </c>
      <c r="C1530" s="79">
        <v>599324771</v>
      </c>
      <c r="D1530" s="79">
        <v>0</v>
      </c>
      <c r="E1530" s="79" t="s">
        <v>1124</v>
      </c>
      <c r="F1530" s="79" t="s">
        <v>2539</v>
      </c>
      <c r="G1530" s="79" t="s">
        <v>1131</v>
      </c>
      <c r="H1530" s="79" t="s">
        <v>1132</v>
      </c>
      <c r="I1530" s="79"/>
    </row>
    <row r="1531" spans="1:9" ht="15">
      <c r="A1531" s="79" t="s">
        <v>3446</v>
      </c>
      <c r="B1531" s="79" t="s">
        <v>3447</v>
      </c>
      <c r="C1531" s="79">
        <v>599324771</v>
      </c>
      <c r="D1531" s="79">
        <v>0</v>
      </c>
      <c r="E1531" s="79" t="s">
        <v>1124</v>
      </c>
      <c r="F1531" s="79" t="s">
        <v>2539</v>
      </c>
      <c r="G1531" s="79" t="s">
        <v>2578</v>
      </c>
      <c r="H1531" s="79"/>
      <c r="I1531" s="79"/>
    </row>
    <row r="1532" spans="1:9" ht="15">
      <c r="A1532" s="79" t="s">
        <v>3448</v>
      </c>
      <c r="B1532" s="79" t="s">
        <v>3449</v>
      </c>
      <c r="C1532" s="79">
        <v>599325371</v>
      </c>
      <c r="D1532" s="79">
        <v>0</v>
      </c>
      <c r="E1532" s="79" t="s">
        <v>1124</v>
      </c>
      <c r="F1532" s="79" t="s">
        <v>2539</v>
      </c>
      <c r="G1532" s="79" t="s">
        <v>2546</v>
      </c>
      <c r="H1532" s="79" t="s">
        <v>2547</v>
      </c>
      <c r="I1532" s="79"/>
    </row>
    <row r="1533" spans="1:9" ht="15">
      <c r="A1533" s="79" t="s">
        <v>3448</v>
      </c>
      <c r="B1533" s="79" t="s">
        <v>3449</v>
      </c>
      <c r="C1533" s="79">
        <v>599325371</v>
      </c>
      <c r="D1533" s="79">
        <v>0</v>
      </c>
      <c r="E1533" s="79" t="s">
        <v>1124</v>
      </c>
      <c r="F1533" s="79" t="s">
        <v>2539</v>
      </c>
      <c r="G1533" s="79" t="s">
        <v>2581</v>
      </c>
      <c r="H1533" s="79"/>
      <c r="I1533" s="79"/>
    </row>
    <row r="1534" spans="1:9" ht="15">
      <c r="A1534" s="79" t="s">
        <v>3450</v>
      </c>
      <c r="B1534" s="79" t="s">
        <v>3451</v>
      </c>
      <c r="C1534" s="79">
        <v>599367971</v>
      </c>
      <c r="D1534" s="79">
        <v>0</v>
      </c>
      <c r="E1534" s="79" t="s">
        <v>1124</v>
      </c>
      <c r="F1534" s="79" t="s">
        <v>2539</v>
      </c>
      <c r="G1534" s="79" t="s">
        <v>1130</v>
      </c>
      <c r="H1534" s="79"/>
      <c r="I1534" s="79"/>
    </row>
    <row r="1535" spans="1:9" ht="15">
      <c r="A1535" s="79" t="s">
        <v>3450</v>
      </c>
      <c r="B1535" s="79" t="s">
        <v>3451</v>
      </c>
      <c r="C1535" s="79">
        <v>599367971</v>
      </c>
      <c r="D1535" s="79">
        <v>0</v>
      </c>
      <c r="E1535" s="79" t="s">
        <v>1124</v>
      </c>
      <c r="F1535" s="79" t="s">
        <v>2539</v>
      </c>
      <c r="G1535" s="79" t="s">
        <v>1131</v>
      </c>
      <c r="H1535" s="79" t="s">
        <v>1132</v>
      </c>
      <c r="I1535" s="79"/>
    </row>
    <row r="1536" spans="1:9" ht="15">
      <c r="A1536" s="79" t="s">
        <v>3450</v>
      </c>
      <c r="B1536" s="79" t="s">
        <v>3451</v>
      </c>
      <c r="C1536" s="79">
        <v>599367971</v>
      </c>
      <c r="D1536" s="79">
        <v>0</v>
      </c>
      <c r="E1536" s="79" t="s">
        <v>1124</v>
      </c>
      <c r="F1536" s="79" t="s">
        <v>2539</v>
      </c>
      <c r="G1536" s="79" t="s">
        <v>2578</v>
      </c>
      <c r="H1536" s="79"/>
      <c r="I1536" s="79"/>
    </row>
    <row r="1537" spans="1:9" ht="15">
      <c r="A1537" s="79" t="s">
        <v>3452</v>
      </c>
      <c r="B1537" s="79" t="s">
        <v>3453</v>
      </c>
      <c r="C1537" s="79">
        <v>599368571</v>
      </c>
      <c r="D1537" s="79">
        <v>0</v>
      </c>
      <c r="E1537" s="79" t="s">
        <v>1124</v>
      </c>
      <c r="F1537" s="79" t="s">
        <v>2539</v>
      </c>
      <c r="G1537" s="79" t="s">
        <v>2546</v>
      </c>
      <c r="H1537" s="79" t="s">
        <v>2547</v>
      </c>
      <c r="I1537" s="79"/>
    </row>
    <row r="1538" spans="1:9" ht="15">
      <c r="A1538" s="79" t="s">
        <v>3452</v>
      </c>
      <c r="B1538" s="79" t="s">
        <v>3453</v>
      </c>
      <c r="C1538" s="79">
        <v>599368571</v>
      </c>
      <c r="D1538" s="79">
        <v>0</v>
      </c>
      <c r="E1538" s="79" t="s">
        <v>1124</v>
      </c>
      <c r="F1538" s="79" t="s">
        <v>2539</v>
      </c>
      <c r="G1538" s="79" t="s">
        <v>2581</v>
      </c>
      <c r="H1538" s="79"/>
      <c r="I1538" s="79"/>
    </row>
    <row r="1539" spans="1:9" ht="15">
      <c r="A1539" s="79" t="s">
        <v>3454</v>
      </c>
      <c r="B1539" s="79" t="s">
        <v>3455</v>
      </c>
      <c r="C1539" s="79">
        <v>599411171</v>
      </c>
      <c r="D1539" s="79">
        <v>0</v>
      </c>
      <c r="E1539" s="79" t="s">
        <v>1124</v>
      </c>
      <c r="F1539" s="79" t="s">
        <v>2539</v>
      </c>
      <c r="G1539" s="79" t="s">
        <v>1130</v>
      </c>
      <c r="H1539" s="79"/>
      <c r="I1539" s="79"/>
    </row>
    <row r="1540" spans="1:9" ht="15">
      <c r="A1540" s="79" t="s">
        <v>3454</v>
      </c>
      <c r="B1540" s="79" t="s">
        <v>3455</v>
      </c>
      <c r="C1540" s="79">
        <v>599411171</v>
      </c>
      <c r="D1540" s="79">
        <v>0</v>
      </c>
      <c r="E1540" s="79" t="s">
        <v>1124</v>
      </c>
      <c r="F1540" s="79" t="s">
        <v>2539</v>
      </c>
      <c r="G1540" s="79" t="s">
        <v>1131</v>
      </c>
      <c r="H1540" s="79" t="s">
        <v>1132</v>
      </c>
      <c r="I1540" s="79"/>
    </row>
    <row r="1541" spans="1:9" ht="15">
      <c r="A1541" s="79" t="s">
        <v>3454</v>
      </c>
      <c r="B1541" s="79" t="s">
        <v>3455</v>
      </c>
      <c r="C1541" s="79">
        <v>599411171</v>
      </c>
      <c r="D1541" s="79">
        <v>0</v>
      </c>
      <c r="E1541" s="79" t="s">
        <v>1124</v>
      </c>
      <c r="F1541" s="79" t="s">
        <v>2539</v>
      </c>
      <c r="G1541" s="79" t="s">
        <v>2578</v>
      </c>
      <c r="H1541" s="79"/>
      <c r="I1541" s="79"/>
    </row>
    <row r="1542" spans="1:9" ht="15">
      <c r="A1542" s="79" t="s">
        <v>3456</v>
      </c>
      <c r="B1542" s="79" t="s">
        <v>3457</v>
      </c>
      <c r="C1542" s="79">
        <v>599411771</v>
      </c>
      <c r="D1542" s="79">
        <v>0</v>
      </c>
      <c r="E1542" s="79" t="s">
        <v>1124</v>
      </c>
      <c r="F1542" s="79" t="s">
        <v>2539</v>
      </c>
      <c r="G1542" s="79" t="s">
        <v>2546</v>
      </c>
      <c r="H1542" s="79" t="s">
        <v>2547</v>
      </c>
      <c r="I1542" s="79"/>
    </row>
    <row r="1543" spans="1:9" ht="15">
      <c r="A1543" s="79" t="s">
        <v>3456</v>
      </c>
      <c r="B1543" s="79" t="s">
        <v>3457</v>
      </c>
      <c r="C1543" s="79">
        <v>599411771</v>
      </c>
      <c r="D1543" s="79">
        <v>0</v>
      </c>
      <c r="E1543" s="79" t="s">
        <v>1124</v>
      </c>
      <c r="F1543" s="79" t="s">
        <v>2539</v>
      </c>
      <c r="G1543" s="79" t="s">
        <v>2581</v>
      </c>
      <c r="H1543" s="79"/>
      <c r="I1543" s="79"/>
    </row>
    <row r="1544" spans="1:9" ht="15">
      <c r="A1544" s="79" t="s">
        <v>3458</v>
      </c>
      <c r="B1544" s="79" t="s">
        <v>3459</v>
      </c>
      <c r="C1544" s="79">
        <v>599454371</v>
      </c>
      <c r="D1544" s="79">
        <v>0</v>
      </c>
      <c r="E1544" s="79" t="s">
        <v>1124</v>
      </c>
      <c r="F1544" s="79" t="s">
        <v>2539</v>
      </c>
      <c r="G1544" s="79" t="s">
        <v>1130</v>
      </c>
      <c r="H1544" s="79"/>
      <c r="I1544" s="79"/>
    </row>
    <row r="1545" spans="1:9" ht="15">
      <c r="A1545" s="79" t="s">
        <v>3458</v>
      </c>
      <c r="B1545" s="79" t="s">
        <v>3459</v>
      </c>
      <c r="C1545" s="79">
        <v>599454371</v>
      </c>
      <c r="D1545" s="79">
        <v>0</v>
      </c>
      <c r="E1545" s="79" t="s">
        <v>1124</v>
      </c>
      <c r="F1545" s="79" t="s">
        <v>2539</v>
      </c>
      <c r="G1545" s="79" t="s">
        <v>1131</v>
      </c>
      <c r="H1545" s="79" t="s">
        <v>1132</v>
      </c>
      <c r="I1545" s="79"/>
    </row>
    <row r="1546" spans="1:9" ht="15">
      <c r="A1546" s="79" t="s">
        <v>3458</v>
      </c>
      <c r="B1546" s="79" t="s">
        <v>3459</v>
      </c>
      <c r="C1546" s="79">
        <v>599454371</v>
      </c>
      <c r="D1546" s="79">
        <v>0</v>
      </c>
      <c r="E1546" s="79" t="s">
        <v>1124</v>
      </c>
      <c r="F1546" s="79" t="s">
        <v>2539</v>
      </c>
      <c r="G1546" s="79" t="s">
        <v>2578</v>
      </c>
      <c r="H1546" s="79"/>
      <c r="I1546" s="79"/>
    </row>
    <row r="1547" spans="1:9" ht="15">
      <c r="A1547" s="79" t="s">
        <v>3460</v>
      </c>
      <c r="B1547" s="79" t="s">
        <v>3461</v>
      </c>
      <c r="C1547" s="79">
        <v>599454971</v>
      </c>
      <c r="D1547" s="79">
        <v>0</v>
      </c>
      <c r="E1547" s="79" t="s">
        <v>1124</v>
      </c>
      <c r="F1547" s="79" t="s">
        <v>2539</v>
      </c>
      <c r="G1547" s="79" t="s">
        <v>2546</v>
      </c>
      <c r="H1547" s="79" t="s">
        <v>2547</v>
      </c>
      <c r="I1547" s="79"/>
    </row>
    <row r="1548" spans="1:9" ht="15">
      <c r="A1548" s="79" t="s">
        <v>3460</v>
      </c>
      <c r="B1548" s="79" t="s">
        <v>3461</v>
      </c>
      <c r="C1548" s="79">
        <v>599454971</v>
      </c>
      <c r="D1548" s="79">
        <v>0</v>
      </c>
      <c r="E1548" s="79" t="s">
        <v>1124</v>
      </c>
      <c r="F1548" s="79" t="s">
        <v>2539</v>
      </c>
      <c r="G1548" s="79" t="s">
        <v>2581</v>
      </c>
      <c r="H1548" s="79"/>
      <c r="I1548" s="79"/>
    </row>
    <row r="1549" spans="1:9" ht="15">
      <c r="A1549" s="79" t="s">
        <v>3462</v>
      </c>
      <c r="B1549" s="79" t="s">
        <v>3463</v>
      </c>
      <c r="C1549" s="79">
        <v>599497571</v>
      </c>
      <c r="D1549" s="79">
        <v>0</v>
      </c>
      <c r="E1549" s="79" t="s">
        <v>1124</v>
      </c>
      <c r="F1549" s="79" t="s">
        <v>2539</v>
      </c>
      <c r="G1549" s="79" t="s">
        <v>1130</v>
      </c>
      <c r="H1549" s="79"/>
      <c r="I1549" s="79"/>
    </row>
    <row r="1550" spans="1:9" ht="15">
      <c r="A1550" s="79" t="s">
        <v>3462</v>
      </c>
      <c r="B1550" s="79" t="s">
        <v>3463</v>
      </c>
      <c r="C1550" s="79">
        <v>599497571</v>
      </c>
      <c r="D1550" s="79">
        <v>0</v>
      </c>
      <c r="E1550" s="79" t="s">
        <v>1124</v>
      </c>
      <c r="F1550" s="79" t="s">
        <v>2539</v>
      </c>
      <c r="G1550" s="79" t="s">
        <v>1131</v>
      </c>
      <c r="H1550" s="79" t="s">
        <v>1132</v>
      </c>
      <c r="I1550" s="79"/>
    </row>
    <row r="1551" spans="1:9" ht="15">
      <c r="A1551" s="79" t="s">
        <v>3462</v>
      </c>
      <c r="B1551" s="79" t="s">
        <v>3463</v>
      </c>
      <c r="C1551" s="79">
        <v>599497571</v>
      </c>
      <c r="D1551" s="79">
        <v>0</v>
      </c>
      <c r="E1551" s="79" t="s">
        <v>1124</v>
      </c>
      <c r="F1551" s="79" t="s">
        <v>2539</v>
      </c>
      <c r="G1551" s="79" t="s">
        <v>2578</v>
      </c>
      <c r="H1551" s="79"/>
      <c r="I1551" s="79"/>
    </row>
    <row r="1552" spans="1:9" ht="15">
      <c r="A1552" s="79" t="s">
        <v>3464</v>
      </c>
      <c r="B1552" s="79" t="s">
        <v>3465</v>
      </c>
      <c r="C1552" s="79">
        <v>599498171</v>
      </c>
      <c r="D1552" s="79">
        <v>0</v>
      </c>
      <c r="E1552" s="79" t="s">
        <v>1124</v>
      </c>
      <c r="F1552" s="79" t="s">
        <v>2539</v>
      </c>
      <c r="G1552" s="79" t="s">
        <v>2546</v>
      </c>
      <c r="H1552" s="79" t="s">
        <v>2547</v>
      </c>
      <c r="I1552" s="79"/>
    </row>
    <row r="1553" spans="1:9" ht="15">
      <c r="A1553" s="79" t="s">
        <v>3464</v>
      </c>
      <c r="B1553" s="79" t="s">
        <v>3465</v>
      </c>
      <c r="C1553" s="79">
        <v>599498171</v>
      </c>
      <c r="D1553" s="79">
        <v>0</v>
      </c>
      <c r="E1553" s="79" t="s">
        <v>1124</v>
      </c>
      <c r="F1553" s="79" t="s">
        <v>2539</v>
      </c>
      <c r="G1553" s="79" t="s">
        <v>2581</v>
      </c>
      <c r="H1553" s="79"/>
      <c r="I1553" s="79"/>
    </row>
    <row r="1554" spans="1:9" ht="15">
      <c r="A1554" s="79" t="s">
        <v>3466</v>
      </c>
      <c r="B1554" s="79" t="s">
        <v>3467</v>
      </c>
      <c r="C1554" s="79">
        <v>599540771</v>
      </c>
      <c r="D1554" s="79">
        <v>0</v>
      </c>
      <c r="E1554" s="79" t="s">
        <v>1124</v>
      </c>
      <c r="F1554" s="79" t="s">
        <v>2539</v>
      </c>
      <c r="G1554" s="79" t="s">
        <v>1130</v>
      </c>
      <c r="H1554" s="79"/>
      <c r="I1554" s="79"/>
    </row>
    <row r="1555" spans="1:9" ht="15">
      <c r="A1555" s="79" t="s">
        <v>3466</v>
      </c>
      <c r="B1555" s="79" t="s">
        <v>3467</v>
      </c>
      <c r="C1555" s="79">
        <v>599540771</v>
      </c>
      <c r="D1555" s="79">
        <v>0</v>
      </c>
      <c r="E1555" s="79" t="s">
        <v>1124</v>
      </c>
      <c r="F1555" s="79" t="s">
        <v>2539</v>
      </c>
      <c r="G1555" s="79" t="s">
        <v>1131</v>
      </c>
      <c r="H1555" s="79" t="s">
        <v>1132</v>
      </c>
      <c r="I1555" s="79"/>
    </row>
    <row r="1556" spans="1:9" ht="15">
      <c r="A1556" s="79" t="s">
        <v>3466</v>
      </c>
      <c r="B1556" s="79" t="s">
        <v>3467</v>
      </c>
      <c r="C1556" s="79">
        <v>599540771</v>
      </c>
      <c r="D1556" s="79">
        <v>0</v>
      </c>
      <c r="E1556" s="79" t="s">
        <v>1124</v>
      </c>
      <c r="F1556" s="79" t="s">
        <v>2539</v>
      </c>
      <c r="G1556" s="79" t="s">
        <v>2578</v>
      </c>
      <c r="H1556" s="79"/>
      <c r="I1556" s="79"/>
    </row>
    <row r="1557" spans="1:9" ht="15">
      <c r="A1557" s="79" t="s">
        <v>3468</v>
      </c>
      <c r="B1557" s="79" t="s">
        <v>3469</v>
      </c>
      <c r="C1557" s="79">
        <v>599541371</v>
      </c>
      <c r="D1557" s="79">
        <v>0</v>
      </c>
      <c r="E1557" s="79" t="s">
        <v>1124</v>
      </c>
      <c r="F1557" s="79" t="s">
        <v>2539</v>
      </c>
      <c r="G1557" s="79" t="s">
        <v>2546</v>
      </c>
      <c r="H1557" s="79" t="s">
        <v>2547</v>
      </c>
      <c r="I1557" s="79"/>
    </row>
    <row r="1558" spans="1:9" ht="15">
      <c r="A1558" s="79" t="s">
        <v>3468</v>
      </c>
      <c r="B1558" s="79" t="s">
        <v>3469</v>
      </c>
      <c r="C1558" s="79">
        <v>599541371</v>
      </c>
      <c r="D1558" s="79">
        <v>0</v>
      </c>
      <c r="E1558" s="79" t="s">
        <v>1124</v>
      </c>
      <c r="F1558" s="79" t="s">
        <v>2539</v>
      </c>
      <c r="G1558" s="79" t="s">
        <v>2581</v>
      </c>
      <c r="H1558" s="79"/>
      <c r="I1558" s="79"/>
    </row>
    <row r="1559" spans="1:9" ht="15">
      <c r="A1559" s="79" t="s">
        <v>3470</v>
      </c>
      <c r="B1559" s="79" t="s">
        <v>3471</v>
      </c>
      <c r="C1559" s="79">
        <v>599583971</v>
      </c>
      <c r="D1559" s="79">
        <v>0</v>
      </c>
      <c r="E1559" s="79" t="s">
        <v>1124</v>
      </c>
      <c r="F1559" s="79" t="s">
        <v>2539</v>
      </c>
      <c r="G1559" s="79" t="s">
        <v>1130</v>
      </c>
      <c r="H1559" s="79"/>
      <c r="I1559" s="79"/>
    </row>
    <row r="1560" spans="1:9" ht="15">
      <c r="A1560" s="79" t="s">
        <v>3470</v>
      </c>
      <c r="B1560" s="79" t="s">
        <v>3471</v>
      </c>
      <c r="C1560" s="79">
        <v>599583971</v>
      </c>
      <c r="D1560" s="79">
        <v>0</v>
      </c>
      <c r="E1560" s="79" t="s">
        <v>1124</v>
      </c>
      <c r="F1560" s="79" t="s">
        <v>2539</v>
      </c>
      <c r="G1560" s="79" t="s">
        <v>1131</v>
      </c>
      <c r="H1560" s="79" t="s">
        <v>1132</v>
      </c>
      <c r="I1560" s="79"/>
    </row>
    <row r="1561" spans="1:9" ht="15">
      <c r="A1561" s="79" t="s">
        <v>3470</v>
      </c>
      <c r="B1561" s="79" t="s">
        <v>3471</v>
      </c>
      <c r="C1561" s="79">
        <v>599583971</v>
      </c>
      <c r="D1561" s="79">
        <v>0</v>
      </c>
      <c r="E1561" s="79" t="s">
        <v>1124</v>
      </c>
      <c r="F1561" s="79" t="s">
        <v>2539</v>
      </c>
      <c r="G1561" s="79" t="s">
        <v>2578</v>
      </c>
      <c r="H1561" s="79"/>
      <c r="I1561" s="79"/>
    </row>
    <row r="1562" spans="1:9" ht="15">
      <c r="A1562" s="79" t="s">
        <v>3472</v>
      </c>
      <c r="B1562" s="79" t="s">
        <v>3473</v>
      </c>
      <c r="C1562" s="79">
        <v>599584571</v>
      </c>
      <c r="D1562" s="79">
        <v>0</v>
      </c>
      <c r="E1562" s="79" t="s">
        <v>1124</v>
      </c>
      <c r="F1562" s="79" t="s">
        <v>2539</v>
      </c>
      <c r="G1562" s="79" t="s">
        <v>2546</v>
      </c>
      <c r="H1562" s="79" t="s">
        <v>2547</v>
      </c>
      <c r="I1562" s="79"/>
    </row>
    <row r="1563" spans="1:9" ht="15">
      <c r="A1563" s="79" t="s">
        <v>3472</v>
      </c>
      <c r="B1563" s="79" t="s">
        <v>3473</v>
      </c>
      <c r="C1563" s="79">
        <v>599584571</v>
      </c>
      <c r="D1563" s="79">
        <v>0</v>
      </c>
      <c r="E1563" s="79" t="s">
        <v>1124</v>
      </c>
      <c r="F1563" s="79" t="s">
        <v>2539</v>
      </c>
      <c r="G1563" s="79" t="s">
        <v>2581</v>
      </c>
      <c r="H1563" s="79"/>
      <c r="I1563" s="79"/>
    </row>
    <row r="1564" spans="1:9" ht="15">
      <c r="A1564" s="79" t="s">
        <v>3474</v>
      </c>
      <c r="B1564" s="79" t="s">
        <v>3475</v>
      </c>
      <c r="C1564" s="79">
        <v>599627171</v>
      </c>
      <c r="D1564" s="79">
        <v>0</v>
      </c>
      <c r="E1564" s="79" t="s">
        <v>1124</v>
      </c>
      <c r="F1564" s="79" t="s">
        <v>2539</v>
      </c>
      <c r="G1564" s="79" t="s">
        <v>1130</v>
      </c>
      <c r="H1564" s="79"/>
      <c r="I1564" s="79"/>
    </row>
    <row r="1565" spans="1:9" ht="15">
      <c r="A1565" s="79" t="s">
        <v>3474</v>
      </c>
      <c r="B1565" s="79" t="s">
        <v>3475</v>
      </c>
      <c r="C1565" s="79">
        <v>599627171</v>
      </c>
      <c r="D1565" s="79">
        <v>0</v>
      </c>
      <c r="E1565" s="79" t="s">
        <v>1124</v>
      </c>
      <c r="F1565" s="79" t="s">
        <v>2539</v>
      </c>
      <c r="G1565" s="79" t="s">
        <v>1131</v>
      </c>
      <c r="H1565" s="79" t="s">
        <v>1132</v>
      </c>
      <c r="I1565" s="79"/>
    </row>
    <row r="1566" spans="1:9" ht="15">
      <c r="A1566" s="79" t="s">
        <v>3474</v>
      </c>
      <c r="B1566" s="79" t="s">
        <v>3475</v>
      </c>
      <c r="C1566" s="79">
        <v>599627171</v>
      </c>
      <c r="D1566" s="79">
        <v>0</v>
      </c>
      <c r="E1566" s="79" t="s">
        <v>1124</v>
      </c>
      <c r="F1566" s="79" t="s">
        <v>2539</v>
      </c>
      <c r="G1566" s="79" t="s">
        <v>2578</v>
      </c>
      <c r="H1566" s="79"/>
      <c r="I1566" s="79"/>
    </row>
    <row r="1567" spans="1:9" ht="15">
      <c r="A1567" s="79" t="s">
        <v>3476</v>
      </c>
      <c r="B1567" s="79" t="s">
        <v>3477</v>
      </c>
      <c r="C1567" s="79">
        <v>599627771</v>
      </c>
      <c r="D1567" s="79">
        <v>0</v>
      </c>
      <c r="E1567" s="79" t="s">
        <v>1124</v>
      </c>
      <c r="F1567" s="79" t="s">
        <v>2539</v>
      </c>
      <c r="G1567" s="79" t="s">
        <v>2546</v>
      </c>
      <c r="H1567" s="79" t="s">
        <v>2547</v>
      </c>
      <c r="I1567" s="79"/>
    </row>
    <row r="1568" spans="1:9" ht="15">
      <c r="A1568" s="79" t="s">
        <v>3476</v>
      </c>
      <c r="B1568" s="79" t="s">
        <v>3477</v>
      </c>
      <c r="C1568" s="79">
        <v>599627771</v>
      </c>
      <c r="D1568" s="79">
        <v>0</v>
      </c>
      <c r="E1568" s="79" t="s">
        <v>1124</v>
      </c>
      <c r="F1568" s="79" t="s">
        <v>2539</v>
      </c>
      <c r="G1568" s="79" t="s">
        <v>2581</v>
      </c>
      <c r="H1568" s="79"/>
      <c r="I1568" s="79"/>
    </row>
    <row r="1569" spans="1:9" ht="15">
      <c r="A1569" s="79" t="s">
        <v>3478</v>
      </c>
      <c r="B1569" s="79" t="s">
        <v>3479</v>
      </c>
      <c r="C1569" s="79">
        <v>599670371</v>
      </c>
      <c r="D1569" s="79">
        <v>0</v>
      </c>
      <c r="E1569" s="79" t="s">
        <v>1124</v>
      </c>
      <c r="F1569" s="79" t="s">
        <v>2539</v>
      </c>
      <c r="G1569" s="79" t="s">
        <v>1130</v>
      </c>
      <c r="H1569" s="79"/>
      <c r="I1569" s="79"/>
    </row>
    <row r="1570" spans="1:9" ht="15">
      <c r="A1570" s="79" t="s">
        <v>3478</v>
      </c>
      <c r="B1570" s="79" t="s">
        <v>3479</v>
      </c>
      <c r="C1570" s="79">
        <v>599670371</v>
      </c>
      <c r="D1570" s="79">
        <v>0</v>
      </c>
      <c r="E1570" s="79" t="s">
        <v>1124</v>
      </c>
      <c r="F1570" s="79" t="s">
        <v>2539</v>
      </c>
      <c r="G1570" s="79" t="s">
        <v>1131</v>
      </c>
      <c r="H1570" s="79" t="s">
        <v>1132</v>
      </c>
      <c r="I1570" s="79"/>
    </row>
    <row r="1571" spans="1:9" ht="15">
      <c r="A1571" s="79" t="s">
        <v>3478</v>
      </c>
      <c r="B1571" s="79" t="s">
        <v>3479</v>
      </c>
      <c r="C1571" s="79">
        <v>599670371</v>
      </c>
      <c r="D1571" s="79">
        <v>0</v>
      </c>
      <c r="E1571" s="79" t="s">
        <v>1124</v>
      </c>
      <c r="F1571" s="79" t="s">
        <v>2539</v>
      </c>
      <c r="G1571" s="79" t="s">
        <v>2578</v>
      </c>
      <c r="H1571" s="79"/>
      <c r="I1571" s="79"/>
    </row>
    <row r="1572" spans="1:9" ht="15">
      <c r="A1572" s="79" t="s">
        <v>3480</v>
      </c>
      <c r="B1572" s="79" t="s">
        <v>3481</v>
      </c>
      <c r="C1572" s="79">
        <v>599670971</v>
      </c>
      <c r="D1572" s="79">
        <v>0</v>
      </c>
      <c r="E1572" s="79" t="s">
        <v>1124</v>
      </c>
      <c r="F1572" s="79" t="s">
        <v>2539</v>
      </c>
      <c r="G1572" s="79" t="s">
        <v>2546</v>
      </c>
      <c r="H1572" s="79" t="s">
        <v>2547</v>
      </c>
      <c r="I1572" s="79"/>
    </row>
    <row r="1573" spans="1:9" ht="15">
      <c r="A1573" s="79" t="s">
        <v>3480</v>
      </c>
      <c r="B1573" s="79" t="s">
        <v>3481</v>
      </c>
      <c r="C1573" s="79">
        <v>599670971</v>
      </c>
      <c r="D1573" s="79">
        <v>0</v>
      </c>
      <c r="E1573" s="79" t="s">
        <v>1124</v>
      </c>
      <c r="F1573" s="79" t="s">
        <v>2539</v>
      </c>
      <c r="G1573" s="79" t="s">
        <v>2581</v>
      </c>
      <c r="H1573" s="79"/>
      <c r="I1573" s="79"/>
    </row>
    <row r="1574" spans="1:9" ht="15">
      <c r="A1574" s="79" t="s">
        <v>3482</v>
      </c>
      <c r="B1574" s="79" t="s">
        <v>3483</v>
      </c>
      <c r="C1574" s="79">
        <v>599713571</v>
      </c>
      <c r="D1574" s="79">
        <v>0</v>
      </c>
      <c r="E1574" s="79" t="s">
        <v>1124</v>
      </c>
      <c r="F1574" s="79" t="s">
        <v>2539</v>
      </c>
      <c r="G1574" s="79" t="s">
        <v>1130</v>
      </c>
      <c r="H1574" s="79"/>
      <c r="I1574" s="79"/>
    </row>
    <row r="1575" spans="1:9" ht="15">
      <c r="A1575" s="79" t="s">
        <v>3482</v>
      </c>
      <c r="B1575" s="79" t="s">
        <v>3483</v>
      </c>
      <c r="C1575" s="79">
        <v>599713571</v>
      </c>
      <c r="D1575" s="79">
        <v>0</v>
      </c>
      <c r="E1575" s="79" t="s">
        <v>1124</v>
      </c>
      <c r="F1575" s="79" t="s">
        <v>2539</v>
      </c>
      <c r="G1575" s="79" t="s">
        <v>1131</v>
      </c>
      <c r="H1575" s="79" t="s">
        <v>1132</v>
      </c>
      <c r="I1575" s="79"/>
    </row>
    <row r="1576" spans="1:9" ht="15">
      <c r="A1576" s="79" t="s">
        <v>3482</v>
      </c>
      <c r="B1576" s="79" t="s">
        <v>3483</v>
      </c>
      <c r="C1576" s="79">
        <v>599713571</v>
      </c>
      <c r="D1576" s="79">
        <v>0</v>
      </c>
      <c r="E1576" s="79" t="s">
        <v>1124</v>
      </c>
      <c r="F1576" s="79" t="s">
        <v>2539</v>
      </c>
      <c r="G1576" s="79" t="s">
        <v>2578</v>
      </c>
      <c r="H1576" s="79"/>
      <c r="I1576" s="79"/>
    </row>
    <row r="1577" spans="1:9" ht="15">
      <c r="A1577" s="79" t="s">
        <v>3484</v>
      </c>
      <c r="B1577" s="79" t="s">
        <v>3485</v>
      </c>
      <c r="C1577" s="79">
        <v>599714171</v>
      </c>
      <c r="D1577" s="79">
        <v>0</v>
      </c>
      <c r="E1577" s="79" t="s">
        <v>1124</v>
      </c>
      <c r="F1577" s="79" t="s">
        <v>2539</v>
      </c>
      <c r="G1577" s="79" t="s">
        <v>2546</v>
      </c>
      <c r="H1577" s="79" t="s">
        <v>2547</v>
      </c>
      <c r="I1577" s="79"/>
    </row>
    <row r="1578" spans="1:9" ht="15">
      <c r="A1578" s="79" t="s">
        <v>3484</v>
      </c>
      <c r="B1578" s="79" t="s">
        <v>3485</v>
      </c>
      <c r="C1578" s="79">
        <v>599714171</v>
      </c>
      <c r="D1578" s="79">
        <v>0</v>
      </c>
      <c r="E1578" s="79" t="s">
        <v>1124</v>
      </c>
      <c r="F1578" s="79" t="s">
        <v>2539</v>
      </c>
      <c r="G1578" s="79" t="s">
        <v>2581</v>
      </c>
      <c r="H1578" s="79"/>
      <c r="I1578" s="79"/>
    </row>
    <row r="1579" spans="1:9" ht="15">
      <c r="A1579" s="79" t="s">
        <v>3486</v>
      </c>
      <c r="B1579" s="79" t="s">
        <v>3487</v>
      </c>
      <c r="C1579" s="79">
        <v>599756771</v>
      </c>
      <c r="D1579" s="79">
        <v>0</v>
      </c>
      <c r="E1579" s="79" t="s">
        <v>1124</v>
      </c>
      <c r="F1579" s="79" t="s">
        <v>2539</v>
      </c>
      <c r="G1579" s="79" t="s">
        <v>1130</v>
      </c>
      <c r="H1579" s="79"/>
      <c r="I1579" s="79"/>
    </row>
    <row r="1580" spans="1:9" ht="15">
      <c r="A1580" s="79" t="s">
        <v>3486</v>
      </c>
      <c r="B1580" s="79" t="s">
        <v>3487</v>
      </c>
      <c r="C1580" s="79">
        <v>599756771</v>
      </c>
      <c r="D1580" s="79">
        <v>0</v>
      </c>
      <c r="E1580" s="79" t="s">
        <v>1124</v>
      </c>
      <c r="F1580" s="79" t="s">
        <v>2539</v>
      </c>
      <c r="G1580" s="79" t="s">
        <v>1131</v>
      </c>
      <c r="H1580" s="79" t="s">
        <v>1132</v>
      </c>
      <c r="I1580" s="79"/>
    </row>
    <row r="1581" spans="1:9" ht="15">
      <c r="A1581" s="79" t="s">
        <v>3486</v>
      </c>
      <c r="B1581" s="79" t="s">
        <v>3487</v>
      </c>
      <c r="C1581" s="79">
        <v>599756771</v>
      </c>
      <c r="D1581" s="79">
        <v>0</v>
      </c>
      <c r="E1581" s="79" t="s">
        <v>1124</v>
      </c>
      <c r="F1581" s="79" t="s">
        <v>2539</v>
      </c>
      <c r="G1581" s="79" t="s">
        <v>2578</v>
      </c>
      <c r="H1581" s="79"/>
      <c r="I1581" s="79"/>
    </row>
    <row r="1582" spans="1:9" ht="15">
      <c r="A1582" s="79" t="s">
        <v>3488</v>
      </c>
      <c r="B1582" s="79" t="s">
        <v>3489</v>
      </c>
      <c r="C1582" s="79">
        <v>599757371</v>
      </c>
      <c r="D1582" s="79">
        <v>0</v>
      </c>
      <c r="E1582" s="79" t="s">
        <v>1124</v>
      </c>
      <c r="F1582" s="79" t="s">
        <v>2539</v>
      </c>
      <c r="G1582" s="79" t="s">
        <v>2546</v>
      </c>
      <c r="H1582" s="79" t="s">
        <v>2547</v>
      </c>
      <c r="I1582" s="79"/>
    </row>
    <row r="1583" spans="1:9" ht="15">
      <c r="A1583" s="79" t="s">
        <v>3488</v>
      </c>
      <c r="B1583" s="79" t="s">
        <v>3489</v>
      </c>
      <c r="C1583" s="79">
        <v>599757371</v>
      </c>
      <c r="D1583" s="79">
        <v>0</v>
      </c>
      <c r="E1583" s="79" t="s">
        <v>1124</v>
      </c>
      <c r="F1583" s="79" t="s">
        <v>2539</v>
      </c>
      <c r="G1583" s="79" t="s">
        <v>2581</v>
      </c>
      <c r="H1583" s="79"/>
      <c r="I1583" s="79"/>
    </row>
    <row r="1584" spans="1:9" ht="15">
      <c r="A1584" s="79" t="s">
        <v>3490</v>
      </c>
      <c r="B1584" s="79" t="s">
        <v>3491</v>
      </c>
      <c r="C1584" s="79">
        <v>599799971</v>
      </c>
      <c r="D1584" s="79">
        <v>0</v>
      </c>
      <c r="E1584" s="79" t="s">
        <v>1124</v>
      </c>
      <c r="F1584" s="79" t="s">
        <v>2539</v>
      </c>
      <c r="G1584" s="79" t="s">
        <v>1130</v>
      </c>
      <c r="H1584" s="79"/>
      <c r="I1584" s="79"/>
    </row>
    <row r="1585" spans="1:9" ht="15">
      <c r="A1585" s="79" t="s">
        <v>3490</v>
      </c>
      <c r="B1585" s="79" t="s">
        <v>3491</v>
      </c>
      <c r="C1585" s="79">
        <v>599799971</v>
      </c>
      <c r="D1585" s="79">
        <v>0</v>
      </c>
      <c r="E1585" s="79" t="s">
        <v>1124</v>
      </c>
      <c r="F1585" s="79" t="s">
        <v>2539</v>
      </c>
      <c r="G1585" s="79" t="s">
        <v>1131</v>
      </c>
      <c r="H1585" s="79" t="s">
        <v>1132</v>
      </c>
      <c r="I1585" s="79"/>
    </row>
    <row r="1586" spans="1:9" ht="15">
      <c r="A1586" s="79" t="s">
        <v>3490</v>
      </c>
      <c r="B1586" s="79" t="s">
        <v>3491</v>
      </c>
      <c r="C1586" s="79">
        <v>599799971</v>
      </c>
      <c r="D1586" s="79">
        <v>0</v>
      </c>
      <c r="E1586" s="79" t="s">
        <v>1124</v>
      </c>
      <c r="F1586" s="79" t="s">
        <v>2539</v>
      </c>
      <c r="G1586" s="79" t="s">
        <v>2578</v>
      </c>
      <c r="H1586" s="79"/>
      <c r="I1586" s="79"/>
    </row>
    <row r="1587" spans="1:9" ht="15">
      <c r="A1587" s="79" t="s">
        <v>3492</v>
      </c>
      <c r="B1587" s="79" t="s">
        <v>3493</v>
      </c>
      <c r="C1587" s="79">
        <v>599800571</v>
      </c>
      <c r="D1587" s="79">
        <v>0</v>
      </c>
      <c r="E1587" s="79" t="s">
        <v>1124</v>
      </c>
      <c r="F1587" s="79" t="s">
        <v>2539</v>
      </c>
      <c r="G1587" s="79" t="s">
        <v>2546</v>
      </c>
      <c r="H1587" s="79" t="s">
        <v>2547</v>
      </c>
      <c r="I1587" s="79"/>
    </row>
    <row r="1588" spans="1:9" ht="15">
      <c r="A1588" s="79" t="s">
        <v>3492</v>
      </c>
      <c r="B1588" s="79" t="s">
        <v>3493</v>
      </c>
      <c r="C1588" s="79">
        <v>599800571</v>
      </c>
      <c r="D1588" s="79">
        <v>0</v>
      </c>
      <c r="E1588" s="79" t="s">
        <v>1124</v>
      </c>
      <c r="F1588" s="79" t="s">
        <v>2539</v>
      </c>
      <c r="G1588" s="79" t="s">
        <v>2581</v>
      </c>
      <c r="H1588" s="79"/>
      <c r="I1588" s="79"/>
    </row>
    <row r="1589" spans="1:9" ht="15">
      <c r="A1589" s="79" t="s">
        <v>3494</v>
      </c>
      <c r="B1589" s="79" t="s">
        <v>3495</v>
      </c>
      <c r="C1589" s="79">
        <v>599843171</v>
      </c>
      <c r="D1589" s="79">
        <v>0</v>
      </c>
      <c r="E1589" s="79" t="s">
        <v>1124</v>
      </c>
      <c r="F1589" s="79" t="s">
        <v>2539</v>
      </c>
      <c r="G1589" s="79" t="s">
        <v>1130</v>
      </c>
      <c r="H1589" s="79"/>
      <c r="I1589" s="79"/>
    </row>
    <row r="1590" spans="1:9" ht="15">
      <c r="A1590" s="79" t="s">
        <v>3494</v>
      </c>
      <c r="B1590" s="79" t="s">
        <v>3495</v>
      </c>
      <c r="C1590" s="79">
        <v>599843171</v>
      </c>
      <c r="D1590" s="79">
        <v>0</v>
      </c>
      <c r="E1590" s="79" t="s">
        <v>1124</v>
      </c>
      <c r="F1590" s="79" t="s">
        <v>2539</v>
      </c>
      <c r="G1590" s="79" t="s">
        <v>1131</v>
      </c>
      <c r="H1590" s="79" t="s">
        <v>1132</v>
      </c>
      <c r="I1590" s="79"/>
    </row>
    <row r="1591" spans="1:9" ht="15">
      <c r="A1591" s="79" t="s">
        <v>3494</v>
      </c>
      <c r="B1591" s="79" t="s">
        <v>3495</v>
      </c>
      <c r="C1591" s="79">
        <v>599843171</v>
      </c>
      <c r="D1591" s="79">
        <v>0</v>
      </c>
      <c r="E1591" s="79" t="s">
        <v>1124</v>
      </c>
      <c r="F1591" s="79" t="s">
        <v>2539</v>
      </c>
      <c r="G1591" s="79" t="s">
        <v>2578</v>
      </c>
      <c r="H1591" s="79"/>
      <c r="I1591" s="79"/>
    </row>
    <row r="1592" spans="1:9" ht="15">
      <c r="A1592" s="79" t="s">
        <v>3496</v>
      </c>
      <c r="B1592" s="79" t="s">
        <v>3497</v>
      </c>
      <c r="C1592" s="79">
        <v>599843771</v>
      </c>
      <c r="D1592" s="79">
        <v>0</v>
      </c>
      <c r="E1592" s="79" t="s">
        <v>1124</v>
      </c>
      <c r="F1592" s="79" t="s">
        <v>2539</v>
      </c>
      <c r="G1592" s="79" t="s">
        <v>2546</v>
      </c>
      <c r="H1592" s="79" t="s">
        <v>2547</v>
      </c>
      <c r="I1592" s="79"/>
    </row>
    <row r="1593" spans="1:9" ht="15">
      <c r="A1593" s="79" t="s">
        <v>3496</v>
      </c>
      <c r="B1593" s="79" t="s">
        <v>3497</v>
      </c>
      <c r="C1593" s="79">
        <v>599843771</v>
      </c>
      <c r="D1593" s="79">
        <v>0</v>
      </c>
      <c r="E1593" s="79" t="s">
        <v>1124</v>
      </c>
      <c r="F1593" s="79" t="s">
        <v>2539</v>
      </c>
      <c r="G1593" s="79" t="s">
        <v>2581</v>
      </c>
      <c r="H1593" s="79"/>
      <c r="I1593" s="79"/>
    </row>
    <row r="1594" spans="1:9" ht="15">
      <c r="A1594" s="79" t="s">
        <v>3498</v>
      </c>
      <c r="B1594" s="79" t="s">
        <v>3499</v>
      </c>
      <c r="C1594" s="79">
        <v>599886371</v>
      </c>
      <c r="D1594" s="79">
        <v>0</v>
      </c>
      <c r="E1594" s="79" t="s">
        <v>1124</v>
      </c>
      <c r="F1594" s="79" t="s">
        <v>2539</v>
      </c>
      <c r="G1594" s="79" t="s">
        <v>1130</v>
      </c>
      <c r="H1594" s="79"/>
      <c r="I1594" s="79"/>
    </row>
    <row r="1595" spans="1:9" ht="15">
      <c r="A1595" s="79" t="s">
        <v>3498</v>
      </c>
      <c r="B1595" s="79" t="s">
        <v>3499</v>
      </c>
      <c r="C1595" s="79">
        <v>599886371</v>
      </c>
      <c r="D1595" s="79">
        <v>0</v>
      </c>
      <c r="E1595" s="79" t="s">
        <v>1124</v>
      </c>
      <c r="F1595" s="79" t="s">
        <v>2539</v>
      </c>
      <c r="G1595" s="79" t="s">
        <v>1131</v>
      </c>
      <c r="H1595" s="79" t="s">
        <v>1132</v>
      </c>
      <c r="I1595" s="79"/>
    </row>
    <row r="1596" spans="1:9" ht="15">
      <c r="A1596" s="79" t="s">
        <v>3498</v>
      </c>
      <c r="B1596" s="79" t="s">
        <v>3499</v>
      </c>
      <c r="C1596" s="79">
        <v>599886371</v>
      </c>
      <c r="D1596" s="79">
        <v>0</v>
      </c>
      <c r="E1596" s="79" t="s">
        <v>1124</v>
      </c>
      <c r="F1596" s="79" t="s">
        <v>2539</v>
      </c>
      <c r="G1596" s="79" t="s">
        <v>2578</v>
      </c>
      <c r="H1596" s="79"/>
      <c r="I1596" s="79"/>
    </row>
    <row r="1597" spans="1:9" ht="15">
      <c r="A1597" s="79" t="s">
        <v>3500</v>
      </c>
      <c r="B1597" s="79" t="s">
        <v>3501</v>
      </c>
      <c r="C1597" s="79">
        <v>599886971</v>
      </c>
      <c r="D1597" s="79">
        <v>0</v>
      </c>
      <c r="E1597" s="79" t="s">
        <v>1124</v>
      </c>
      <c r="F1597" s="79" t="s">
        <v>2539</v>
      </c>
      <c r="G1597" s="79" t="s">
        <v>2546</v>
      </c>
      <c r="H1597" s="79" t="s">
        <v>2547</v>
      </c>
      <c r="I1597" s="79"/>
    </row>
    <row r="1598" spans="1:9" ht="15">
      <c r="A1598" s="79" t="s">
        <v>3500</v>
      </c>
      <c r="B1598" s="79" t="s">
        <v>3501</v>
      </c>
      <c r="C1598" s="79">
        <v>599886971</v>
      </c>
      <c r="D1598" s="79">
        <v>0</v>
      </c>
      <c r="E1598" s="79" t="s">
        <v>1124</v>
      </c>
      <c r="F1598" s="79" t="s">
        <v>2539</v>
      </c>
      <c r="G1598" s="79" t="s">
        <v>2581</v>
      </c>
      <c r="H1598" s="79"/>
      <c r="I1598" s="79"/>
    </row>
    <row r="1599" spans="1:9" ht="15">
      <c r="A1599" s="79" t="s">
        <v>3502</v>
      </c>
      <c r="B1599" s="79" t="s">
        <v>3503</v>
      </c>
      <c r="C1599" s="79">
        <v>599929571</v>
      </c>
      <c r="D1599" s="79">
        <v>0</v>
      </c>
      <c r="E1599" s="79" t="s">
        <v>1124</v>
      </c>
      <c r="F1599" s="79" t="s">
        <v>2539</v>
      </c>
      <c r="G1599" s="79" t="s">
        <v>1130</v>
      </c>
      <c r="H1599" s="79"/>
      <c r="I1599" s="79"/>
    </row>
    <row r="1600" spans="1:9" ht="15">
      <c r="A1600" s="79" t="s">
        <v>3502</v>
      </c>
      <c r="B1600" s="79" t="s">
        <v>3503</v>
      </c>
      <c r="C1600" s="79">
        <v>599929571</v>
      </c>
      <c r="D1600" s="79">
        <v>0</v>
      </c>
      <c r="E1600" s="79" t="s">
        <v>1124</v>
      </c>
      <c r="F1600" s="79" t="s">
        <v>2539</v>
      </c>
      <c r="G1600" s="79" t="s">
        <v>1131</v>
      </c>
      <c r="H1600" s="79" t="s">
        <v>1132</v>
      </c>
      <c r="I1600" s="79"/>
    </row>
    <row r="1601" spans="1:9" ht="15">
      <c r="A1601" s="79" t="s">
        <v>3502</v>
      </c>
      <c r="B1601" s="79" t="s">
        <v>3503</v>
      </c>
      <c r="C1601" s="79">
        <v>599929571</v>
      </c>
      <c r="D1601" s="79">
        <v>0</v>
      </c>
      <c r="E1601" s="79" t="s">
        <v>1124</v>
      </c>
      <c r="F1601" s="79" t="s">
        <v>2539</v>
      </c>
      <c r="G1601" s="79" t="s">
        <v>2578</v>
      </c>
      <c r="H1601" s="79"/>
      <c r="I1601" s="79"/>
    </row>
    <row r="1602" spans="1:9" ht="15">
      <c r="A1602" s="79" t="s">
        <v>3504</v>
      </c>
      <c r="B1602" s="79" t="s">
        <v>3505</v>
      </c>
      <c r="C1602" s="79">
        <v>599930171</v>
      </c>
      <c r="D1602" s="79">
        <v>0</v>
      </c>
      <c r="E1602" s="79" t="s">
        <v>1124</v>
      </c>
      <c r="F1602" s="79" t="s">
        <v>2539</v>
      </c>
      <c r="G1602" s="79" t="s">
        <v>2546</v>
      </c>
      <c r="H1602" s="79" t="s">
        <v>2547</v>
      </c>
      <c r="I1602" s="79"/>
    </row>
    <row r="1603" spans="1:9" ht="15">
      <c r="A1603" s="79" t="s">
        <v>3504</v>
      </c>
      <c r="B1603" s="79" t="s">
        <v>3505</v>
      </c>
      <c r="C1603" s="79">
        <v>599930171</v>
      </c>
      <c r="D1603" s="79">
        <v>0</v>
      </c>
      <c r="E1603" s="79" t="s">
        <v>1124</v>
      </c>
      <c r="F1603" s="79" t="s">
        <v>2539</v>
      </c>
      <c r="G1603" s="79" t="s">
        <v>2581</v>
      </c>
      <c r="H1603" s="79"/>
      <c r="I1603" s="79"/>
    </row>
    <row r="1604" spans="1:9" ht="15">
      <c r="A1604" s="79" t="s">
        <v>3506</v>
      </c>
      <c r="B1604" s="79" t="s">
        <v>3507</v>
      </c>
      <c r="C1604" s="79">
        <v>599972771</v>
      </c>
      <c r="D1604" s="79">
        <v>0</v>
      </c>
      <c r="E1604" s="79" t="s">
        <v>1124</v>
      </c>
      <c r="F1604" s="79" t="s">
        <v>2539</v>
      </c>
      <c r="G1604" s="79" t="s">
        <v>1130</v>
      </c>
      <c r="H1604" s="79"/>
      <c r="I1604" s="79"/>
    </row>
    <row r="1605" spans="1:9" ht="15">
      <c r="A1605" s="79" t="s">
        <v>3506</v>
      </c>
      <c r="B1605" s="79" t="s">
        <v>3507</v>
      </c>
      <c r="C1605" s="79">
        <v>599972771</v>
      </c>
      <c r="D1605" s="79">
        <v>0</v>
      </c>
      <c r="E1605" s="79" t="s">
        <v>1124</v>
      </c>
      <c r="F1605" s="79" t="s">
        <v>2539</v>
      </c>
      <c r="G1605" s="79" t="s">
        <v>1131</v>
      </c>
      <c r="H1605" s="79" t="s">
        <v>1132</v>
      </c>
      <c r="I1605" s="79"/>
    </row>
    <row r="1606" spans="1:9" ht="15">
      <c r="A1606" s="79" t="s">
        <v>3506</v>
      </c>
      <c r="B1606" s="79" t="s">
        <v>3507</v>
      </c>
      <c r="C1606" s="79">
        <v>599972771</v>
      </c>
      <c r="D1606" s="79">
        <v>0</v>
      </c>
      <c r="E1606" s="79" t="s">
        <v>1124</v>
      </c>
      <c r="F1606" s="79" t="s">
        <v>2539</v>
      </c>
      <c r="G1606" s="79" t="s">
        <v>2578</v>
      </c>
      <c r="H1606" s="79"/>
      <c r="I1606" s="79"/>
    </row>
    <row r="1607" spans="1:9" ht="15">
      <c r="A1607" s="79" t="s">
        <v>3508</v>
      </c>
      <c r="B1607" s="79" t="s">
        <v>3509</v>
      </c>
      <c r="C1607" s="79">
        <v>599973371</v>
      </c>
      <c r="D1607" s="79">
        <v>0</v>
      </c>
      <c r="E1607" s="79" t="s">
        <v>1124</v>
      </c>
      <c r="F1607" s="79" t="s">
        <v>2539</v>
      </c>
      <c r="G1607" s="79" t="s">
        <v>2546</v>
      </c>
      <c r="H1607" s="79" t="s">
        <v>2547</v>
      </c>
      <c r="I1607" s="79"/>
    </row>
    <row r="1608" spans="1:9" ht="15">
      <c r="A1608" s="79" t="s">
        <v>3508</v>
      </c>
      <c r="B1608" s="79" t="s">
        <v>3509</v>
      </c>
      <c r="C1608" s="79">
        <v>599973371</v>
      </c>
      <c r="D1608" s="79">
        <v>0</v>
      </c>
      <c r="E1608" s="79" t="s">
        <v>1124</v>
      </c>
      <c r="F1608" s="79" t="s">
        <v>2539</v>
      </c>
      <c r="G1608" s="79" t="s">
        <v>2581</v>
      </c>
      <c r="H1608" s="79"/>
      <c r="I1608" s="79"/>
    </row>
    <row r="1609" spans="1:9" ht="15">
      <c r="A1609" s="79" t="s">
        <v>3510</v>
      </c>
      <c r="B1609" s="79" t="s">
        <v>3511</v>
      </c>
      <c r="C1609" s="79">
        <v>600015971</v>
      </c>
      <c r="D1609" s="79">
        <v>0</v>
      </c>
      <c r="E1609" s="79" t="s">
        <v>1124</v>
      </c>
      <c r="F1609" s="79" t="s">
        <v>2539</v>
      </c>
      <c r="G1609" s="79" t="s">
        <v>1130</v>
      </c>
      <c r="H1609" s="79"/>
      <c r="I1609" s="79"/>
    </row>
    <row r="1610" spans="1:9" ht="15">
      <c r="A1610" s="79" t="s">
        <v>3510</v>
      </c>
      <c r="B1610" s="79" t="s">
        <v>3511</v>
      </c>
      <c r="C1610" s="79">
        <v>600015971</v>
      </c>
      <c r="D1610" s="79">
        <v>0</v>
      </c>
      <c r="E1610" s="79" t="s">
        <v>1124</v>
      </c>
      <c r="F1610" s="79" t="s">
        <v>2539</v>
      </c>
      <c r="G1610" s="79" t="s">
        <v>1131</v>
      </c>
      <c r="H1610" s="79" t="s">
        <v>1132</v>
      </c>
      <c r="I1610" s="79"/>
    </row>
    <row r="1611" spans="1:9" ht="15">
      <c r="A1611" s="79" t="s">
        <v>3510</v>
      </c>
      <c r="B1611" s="79" t="s">
        <v>3511</v>
      </c>
      <c r="C1611" s="79">
        <v>600015971</v>
      </c>
      <c r="D1611" s="79">
        <v>0</v>
      </c>
      <c r="E1611" s="79" t="s">
        <v>1124</v>
      </c>
      <c r="F1611" s="79" t="s">
        <v>2539</v>
      </c>
      <c r="G1611" s="79" t="s">
        <v>2578</v>
      </c>
      <c r="H1611" s="79"/>
      <c r="I1611" s="79"/>
    </row>
    <row r="1612" spans="1:9" ht="15">
      <c r="A1612" s="79" t="s">
        <v>3512</v>
      </c>
      <c r="B1612" s="79" t="s">
        <v>3513</v>
      </c>
      <c r="C1612" s="79">
        <v>600016571</v>
      </c>
      <c r="D1612" s="79">
        <v>0</v>
      </c>
      <c r="E1612" s="79" t="s">
        <v>1124</v>
      </c>
      <c r="F1612" s="79" t="s">
        <v>2539</v>
      </c>
      <c r="G1612" s="79" t="s">
        <v>2546</v>
      </c>
      <c r="H1612" s="79" t="s">
        <v>2547</v>
      </c>
      <c r="I1612" s="79"/>
    </row>
    <row r="1613" spans="1:9" ht="15">
      <c r="A1613" s="79" t="s">
        <v>3512</v>
      </c>
      <c r="B1613" s="79" t="s">
        <v>3513</v>
      </c>
      <c r="C1613" s="79">
        <v>600016571</v>
      </c>
      <c r="D1613" s="79">
        <v>0</v>
      </c>
      <c r="E1613" s="79" t="s">
        <v>1124</v>
      </c>
      <c r="F1613" s="79" t="s">
        <v>2539</v>
      </c>
      <c r="G1613" s="79" t="s">
        <v>2581</v>
      </c>
      <c r="H1613" s="79"/>
      <c r="I1613" s="79"/>
    </row>
    <row r="1614" spans="1:9" ht="15">
      <c r="A1614" s="79" t="s">
        <v>3514</v>
      </c>
      <c r="B1614" s="79" t="s">
        <v>3515</v>
      </c>
      <c r="C1614" s="79">
        <v>600059171</v>
      </c>
      <c r="D1614" s="79">
        <v>0</v>
      </c>
      <c r="E1614" s="79" t="s">
        <v>1124</v>
      </c>
      <c r="F1614" s="79" t="s">
        <v>2539</v>
      </c>
      <c r="G1614" s="79" t="s">
        <v>1130</v>
      </c>
      <c r="H1614" s="79"/>
      <c r="I1614" s="79"/>
    </row>
    <row r="1615" spans="1:9" ht="15">
      <c r="A1615" s="79" t="s">
        <v>3514</v>
      </c>
      <c r="B1615" s="79" t="s">
        <v>3515</v>
      </c>
      <c r="C1615" s="79">
        <v>600059171</v>
      </c>
      <c r="D1615" s="79">
        <v>0</v>
      </c>
      <c r="E1615" s="79" t="s">
        <v>1124</v>
      </c>
      <c r="F1615" s="79" t="s">
        <v>2539</v>
      </c>
      <c r="G1615" s="79" t="s">
        <v>1131</v>
      </c>
      <c r="H1615" s="79" t="s">
        <v>1132</v>
      </c>
      <c r="I1615" s="79"/>
    </row>
    <row r="1616" spans="1:9" ht="15">
      <c r="A1616" s="79" t="s">
        <v>3514</v>
      </c>
      <c r="B1616" s="79" t="s">
        <v>3515</v>
      </c>
      <c r="C1616" s="79">
        <v>600059171</v>
      </c>
      <c r="D1616" s="79">
        <v>0</v>
      </c>
      <c r="E1616" s="79" t="s">
        <v>1124</v>
      </c>
      <c r="F1616" s="79" t="s">
        <v>2539</v>
      </c>
      <c r="G1616" s="79" t="s">
        <v>2578</v>
      </c>
      <c r="H1616" s="79"/>
      <c r="I1616" s="79"/>
    </row>
    <row r="1617" spans="1:9" ht="15">
      <c r="A1617" s="79" t="s">
        <v>3516</v>
      </c>
      <c r="B1617" s="79" t="s">
        <v>3517</v>
      </c>
      <c r="C1617" s="79">
        <v>600059771</v>
      </c>
      <c r="D1617" s="79">
        <v>0</v>
      </c>
      <c r="E1617" s="79" t="s">
        <v>1124</v>
      </c>
      <c r="F1617" s="79" t="s">
        <v>2539</v>
      </c>
      <c r="G1617" s="79" t="s">
        <v>2546</v>
      </c>
      <c r="H1617" s="79" t="s">
        <v>2547</v>
      </c>
      <c r="I1617" s="79"/>
    </row>
    <row r="1618" spans="1:9" ht="15">
      <c r="A1618" s="79" t="s">
        <v>3516</v>
      </c>
      <c r="B1618" s="79" t="s">
        <v>3517</v>
      </c>
      <c r="C1618" s="79">
        <v>600059771</v>
      </c>
      <c r="D1618" s="79">
        <v>0</v>
      </c>
      <c r="E1618" s="79" t="s">
        <v>1124</v>
      </c>
      <c r="F1618" s="79" t="s">
        <v>2539</v>
      </c>
      <c r="G1618" s="79" t="s">
        <v>2581</v>
      </c>
      <c r="H1618" s="79"/>
      <c r="I1618" s="79"/>
    </row>
    <row r="1619" spans="1:9" ht="15">
      <c r="A1619" s="79" t="s">
        <v>3518</v>
      </c>
      <c r="B1619" s="79" t="s">
        <v>3519</v>
      </c>
      <c r="C1619" s="79">
        <v>600102371</v>
      </c>
      <c r="D1619" s="79">
        <v>0</v>
      </c>
      <c r="E1619" s="79" t="s">
        <v>1124</v>
      </c>
      <c r="F1619" s="79" t="s">
        <v>2539</v>
      </c>
      <c r="G1619" s="79" t="s">
        <v>1130</v>
      </c>
      <c r="H1619" s="79"/>
      <c r="I1619" s="79"/>
    </row>
    <row r="1620" spans="1:9" ht="15">
      <c r="A1620" s="79" t="s">
        <v>3518</v>
      </c>
      <c r="B1620" s="79" t="s">
        <v>3519</v>
      </c>
      <c r="C1620" s="79">
        <v>600102371</v>
      </c>
      <c r="D1620" s="79">
        <v>0</v>
      </c>
      <c r="E1620" s="79" t="s">
        <v>1124</v>
      </c>
      <c r="F1620" s="79" t="s">
        <v>2539</v>
      </c>
      <c r="G1620" s="79" t="s">
        <v>1131</v>
      </c>
      <c r="H1620" s="79" t="s">
        <v>1132</v>
      </c>
      <c r="I1620" s="79"/>
    </row>
    <row r="1621" spans="1:9" ht="15">
      <c r="A1621" s="79" t="s">
        <v>3518</v>
      </c>
      <c r="B1621" s="79" t="s">
        <v>3519</v>
      </c>
      <c r="C1621" s="79">
        <v>600102371</v>
      </c>
      <c r="D1621" s="79">
        <v>0</v>
      </c>
      <c r="E1621" s="79" t="s">
        <v>1124</v>
      </c>
      <c r="F1621" s="79" t="s">
        <v>2539</v>
      </c>
      <c r="G1621" s="79" t="s">
        <v>2578</v>
      </c>
      <c r="H1621" s="79"/>
      <c r="I1621" s="79"/>
    </row>
    <row r="1622" spans="1:9" ht="15">
      <c r="A1622" s="79" t="s">
        <v>3520</v>
      </c>
      <c r="B1622" s="79" t="s">
        <v>3521</v>
      </c>
      <c r="C1622" s="79">
        <v>600102971</v>
      </c>
      <c r="D1622" s="79">
        <v>0</v>
      </c>
      <c r="E1622" s="79" t="s">
        <v>1124</v>
      </c>
      <c r="F1622" s="79" t="s">
        <v>2539</v>
      </c>
      <c r="G1622" s="79" t="s">
        <v>2546</v>
      </c>
      <c r="H1622" s="79" t="s">
        <v>2547</v>
      </c>
      <c r="I1622" s="79"/>
    </row>
    <row r="1623" spans="1:9" ht="15">
      <c r="A1623" s="79" t="s">
        <v>3520</v>
      </c>
      <c r="B1623" s="79" t="s">
        <v>3521</v>
      </c>
      <c r="C1623" s="79">
        <v>600102971</v>
      </c>
      <c r="D1623" s="79">
        <v>0</v>
      </c>
      <c r="E1623" s="79" t="s">
        <v>1124</v>
      </c>
      <c r="F1623" s="79" t="s">
        <v>2539</v>
      </c>
      <c r="G1623" s="79" t="s">
        <v>2581</v>
      </c>
      <c r="H1623" s="79"/>
      <c r="I1623" s="79"/>
    </row>
    <row r="1624" spans="1:9" ht="15">
      <c r="A1624" s="79" t="s">
        <v>3522</v>
      </c>
      <c r="B1624" s="79" t="s">
        <v>3523</v>
      </c>
      <c r="C1624" s="79">
        <v>600145571</v>
      </c>
      <c r="D1624" s="79">
        <v>0</v>
      </c>
      <c r="E1624" s="79" t="s">
        <v>1124</v>
      </c>
      <c r="F1624" s="79" t="s">
        <v>2539</v>
      </c>
      <c r="G1624" s="79" t="s">
        <v>1130</v>
      </c>
      <c r="H1624" s="79"/>
      <c r="I1624" s="79"/>
    </row>
    <row r="1625" spans="1:9" ht="15">
      <c r="A1625" s="79" t="s">
        <v>3522</v>
      </c>
      <c r="B1625" s="79" t="s">
        <v>3523</v>
      </c>
      <c r="C1625" s="79">
        <v>600145571</v>
      </c>
      <c r="D1625" s="79">
        <v>0</v>
      </c>
      <c r="E1625" s="79" t="s">
        <v>1124</v>
      </c>
      <c r="F1625" s="79" t="s">
        <v>2539</v>
      </c>
      <c r="G1625" s="79" t="s">
        <v>1131</v>
      </c>
      <c r="H1625" s="79" t="s">
        <v>1132</v>
      </c>
      <c r="I1625" s="79"/>
    </row>
    <row r="1626" spans="1:9" ht="15">
      <c r="A1626" s="79" t="s">
        <v>3522</v>
      </c>
      <c r="B1626" s="79" t="s">
        <v>3523</v>
      </c>
      <c r="C1626" s="79">
        <v>600145571</v>
      </c>
      <c r="D1626" s="79">
        <v>0</v>
      </c>
      <c r="E1626" s="79" t="s">
        <v>1124</v>
      </c>
      <c r="F1626" s="79" t="s">
        <v>2539</v>
      </c>
      <c r="G1626" s="79" t="s">
        <v>2578</v>
      </c>
      <c r="H1626" s="79"/>
      <c r="I1626" s="79"/>
    </row>
    <row r="1627" spans="1:9" ht="15">
      <c r="A1627" s="79" t="s">
        <v>3524</v>
      </c>
      <c r="B1627" s="79" t="s">
        <v>3525</v>
      </c>
      <c r="C1627" s="79">
        <v>600146171</v>
      </c>
      <c r="D1627" s="79">
        <v>0</v>
      </c>
      <c r="E1627" s="79" t="s">
        <v>1124</v>
      </c>
      <c r="F1627" s="79" t="s">
        <v>2539</v>
      </c>
      <c r="G1627" s="79" t="s">
        <v>2546</v>
      </c>
      <c r="H1627" s="79" t="s">
        <v>2547</v>
      </c>
      <c r="I1627" s="79"/>
    </row>
    <row r="1628" spans="1:9" ht="15">
      <c r="A1628" s="79" t="s">
        <v>3524</v>
      </c>
      <c r="B1628" s="79" t="s">
        <v>3525</v>
      </c>
      <c r="C1628" s="79">
        <v>600146171</v>
      </c>
      <c r="D1628" s="79">
        <v>0</v>
      </c>
      <c r="E1628" s="79" t="s">
        <v>1124</v>
      </c>
      <c r="F1628" s="79" t="s">
        <v>2539</v>
      </c>
      <c r="G1628" s="79" t="s">
        <v>2581</v>
      </c>
      <c r="H1628" s="79"/>
      <c r="I1628" s="79"/>
    </row>
    <row r="1629" spans="1:9" ht="15">
      <c r="A1629" s="79" t="s">
        <v>3526</v>
      </c>
      <c r="B1629" s="79" t="s">
        <v>3527</v>
      </c>
      <c r="C1629" s="79">
        <v>600188771</v>
      </c>
      <c r="D1629" s="79">
        <v>0</v>
      </c>
      <c r="E1629" s="79" t="s">
        <v>1124</v>
      </c>
      <c r="F1629" s="79" t="s">
        <v>2539</v>
      </c>
      <c r="G1629" s="79" t="s">
        <v>1130</v>
      </c>
      <c r="H1629" s="79"/>
      <c r="I1629" s="79"/>
    </row>
    <row r="1630" spans="1:9" ht="15">
      <c r="A1630" s="79" t="s">
        <v>3526</v>
      </c>
      <c r="B1630" s="79" t="s">
        <v>3527</v>
      </c>
      <c r="C1630" s="79">
        <v>600188771</v>
      </c>
      <c r="D1630" s="79">
        <v>0</v>
      </c>
      <c r="E1630" s="79" t="s">
        <v>1124</v>
      </c>
      <c r="F1630" s="79" t="s">
        <v>2539</v>
      </c>
      <c r="G1630" s="79" t="s">
        <v>1131</v>
      </c>
      <c r="H1630" s="79" t="s">
        <v>1132</v>
      </c>
      <c r="I1630" s="79"/>
    </row>
    <row r="1631" spans="1:9" ht="15">
      <c r="A1631" s="79" t="s">
        <v>3526</v>
      </c>
      <c r="B1631" s="79" t="s">
        <v>3527</v>
      </c>
      <c r="C1631" s="79">
        <v>600188771</v>
      </c>
      <c r="D1631" s="79">
        <v>0</v>
      </c>
      <c r="E1631" s="79" t="s">
        <v>1124</v>
      </c>
      <c r="F1631" s="79" t="s">
        <v>2539</v>
      </c>
      <c r="G1631" s="79" t="s">
        <v>2578</v>
      </c>
      <c r="H1631" s="79"/>
      <c r="I1631" s="79"/>
    </row>
    <row r="1632" spans="1:9" ht="15">
      <c r="A1632" s="79" t="s">
        <v>3528</v>
      </c>
      <c r="B1632" s="79" t="s">
        <v>3529</v>
      </c>
      <c r="C1632" s="79">
        <v>600189371</v>
      </c>
      <c r="D1632" s="79">
        <v>0</v>
      </c>
      <c r="E1632" s="79" t="s">
        <v>1124</v>
      </c>
      <c r="F1632" s="79" t="s">
        <v>2539</v>
      </c>
      <c r="G1632" s="79" t="s">
        <v>2546</v>
      </c>
      <c r="H1632" s="79" t="s">
        <v>2547</v>
      </c>
      <c r="I1632" s="79"/>
    </row>
    <row r="1633" spans="1:9" ht="15">
      <c r="A1633" s="79" t="s">
        <v>3528</v>
      </c>
      <c r="B1633" s="79" t="s">
        <v>3529</v>
      </c>
      <c r="C1633" s="79">
        <v>600189371</v>
      </c>
      <c r="D1633" s="79">
        <v>0</v>
      </c>
      <c r="E1633" s="79" t="s">
        <v>1124</v>
      </c>
      <c r="F1633" s="79" t="s">
        <v>2539</v>
      </c>
      <c r="G1633" s="79" t="s">
        <v>2581</v>
      </c>
      <c r="H1633" s="79"/>
      <c r="I1633" s="79"/>
    </row>
    <row r="1634" spans="1:9" ht="15">
      <c r="A1634" s="79" t="s">
        <v>3530</v>
      </c>
      <c r="B1634" s="79" t="s">
        <v>3531</v>
      </c>
      <c r="C1634" s="79">
        <v>600231971</v>
      </c>
      <c r="D1634" s="79">
        <v>0</v>
      </c>
      <c r="E1634" s="79" t="s">
        <v>1124</v>
      </c>
      <c r="F1634" s="79" t="s">
        <v>2539</v>
      </c>
      <c r="G1634" s="79" t="s">
        <v>1130</v>
      </c>
      <c r="H1634" s="79"/>
      <c r="I1634" s="79"/>
    </row>
    <row r="1635" spans="1:9" ht="15">
      <c r="A1635" s="79" t="s">
        <v>3530</v>
      </c>
      <c r="B1635" s="79" t="s">
        <v>3531</v>
      </c>
      <c r="C1635" s="79">
        <v>600231971</v>
      </c>
      <c r="D1635" s="79">
        <v>0</v>
      </c>
      <c r="E1635" s="79" t="s">
        <v>1124</v>
      </c>
      <c r="F1635" s="79" t="s">
        <v>2539</v>
      </c>
      <c r="G1635" s="79" t="s">
        <v>1131</v>
      </c>
      <c r="H1635" s="79" t="s">
        <v>1132</v>
      </c>
      <c r="I1635" s="79"/>
    </row>
    <row r="1636" spans="1:9" ht="15">
      <c r="A1636" s="79" t="s">
        <v>3530</v>
      </c>
      <c r="B1636" s="79" t="s">
        <v>3531</v>
      </c>
      <c r="C1636" s="79">
        <v>600231971</v>
      </c>
      <c r="D1636" s="79">
        <v>0</v>
      </c>
      <c r="E1636" s="79" t="s">
        <v>1124</v>
      </c>
      <c r="F1636" s="79" t="s">
        <v>2539</v>
      </c>
      <c r="G1636" s="79" t="s">
        <v>2578</v>
      </c>
      <c r="H1636" s="79"/>
      <c r="I1636" s="79"/>
    </row>
    <row r="1637" spans="1:9" ht="15">
      <c r="A1637" s="79" t="s">
        <v>3532</v>
      </c>
      <c r="B1637" s="79" t="s">
        <v>3533</v>
      </c>
      <c r="C1637" s="79">
        <v>600232571</v>
      </c>
      <c r="D1637" s="79">
        <v>0</v>
      </c>
      <c r="E1637" s="79" t="s">
        <v>1124</v>
      </c>
      <c r="F1637" s="79" t="s">
        <v>2539</v>
      </c>
      <c r="G1637" s="79" t="s">
        <v>2546</v>
      </c>
      <c r="H1637" s="79" t="s">
        <v>2547</v>
      </c>
      <c r="I1637" s="79"/>
    </row>
    <row r="1638" spans="1:9" ht="15">
      <c r="A1638" s="79" t="s">
        <v>3532</v>
      </c>
      <c r="B1638" s="79" t="s">
        <v>3533</v>
      </c>
      <c r="C1638" s="79">
        <v>600232571</v>
      </c>
      <c r="D1638" s="79">
        <v>0</v>
      </c>
      <c r="E1638" s="79" t="s">
        <v>1124</v>
      </c>
      <c r="F1638" s="79" t="s">
        <v>2539</v>
      </c>
      <c r="G1638" s="79" t="s">
        <v>2581</v>
      </c>
      <c r="H1638" s="79"/>
      <c r="I1638" s="79"/>
    </row>
    <row r="1639" spans="1:9" ht="15">
      <c r="A1639" s="79" t="s">
        <v>3534</v>
      </c>
      <c r="B1639" s="79" t="s">
        <v>3535</v>
      </c>
      <c r="C1639" s="79">
        <v>600275171</v>
      </c>
      <c r="D1639" s="79">
        <v>0</v>
      </c>
      <c r="E1639" s="79" t="s">
        <v>1124</v>
      </c>
      <c r="F1639" s="79" t="s">
        <v>2539</v>
      </c>
      <c r="G1639" s="79" t="s">
        <v>1130</v>
      </c>
      <c r="H1639" s="79"/>
      <c r="I1639" s="79"/>
    </row>
    <row r="1640" spans="1:9" ht="15">
      <c r="A1640" s="79" t="s">
        <v>3534</v>
      </c>
      <c r="B1640" s="79" t="s">
        <v>3535</v>
      </c>
      <c r="C1640" s="79">
        <v>600275171</v>
      </c>
      <c r="D1640" s="79">
        <v>0</v>
      </c>
      <c r="E1640" s="79" t="s">
        <v>1124</v>
      </c>
      <c r="F1640" s="79" t="s">
        <v>2539</v>
      </c>
      <c r="G1640" s="79" t="s">
        <v>1131</v>
      </c>
      <c r="H1640" s="79" t="s">
        <v>1132</v>
      </c>
      <c r="I1640" s="79"/>
    </row>
    <row r="1641" spans="1:9" ht="15">
      <c r="A1641" s="79" t="s">
        <v>3534</v>
      </c>
      <c r="B1641" s="79" t="s">
        <v>3535</v>
      </c>
      <c r="C1641" s="79">
        <v>600275171</v>
      </c>
      <c r="D1641" s="79">
        <v>0</v>
      </c>
      <c r="E1641" s="79" t="s">
        <v>1124</v>
      </c>
      <c r="F1641" s="79" t="s">
        <v>2539</v>
      </c>
      <c r="G1641" s="79" t="s">
        <v>2578</v>
      </c>
      <c r="H1641" s="79"/>
      <c r="I1641" s="79"/>
    </row>
    <row r="1642" spans="1:9" ht="15">
      <c r="A1642" s="79" t="s">
        <v>3536</v>
      </c>
      <c r="B1642" s="79" t="s">
        <v>3537</v>
      </c>
      <c r="C1642" s="79">
        <v>600275771</v>
      </c>
      <c r="D1642" s="79">
        <v>0</v>
      </c>
      <c r="E1642" s="79" t="s">
        <v>1124</v>
      </c>
      <c r="F1642" s="79" t="s">
        <v>2539</v>
      </c>
      <c r="G1642" s="79" t="s">
        <v>2546</v>
      </c>
      <c r="H1642" s="79" t="s">
        <v>2547</v>
      </c>
      <c r="I1642" s="79"/>
    </row>
    <row r="1643" spans="1:9" ht="15">
      <c r="A1643" s="79" t="s">
        <v>3536</v>
      </c>
      <c r="B1643" s="79" t="s">
        <v>3537</v>
      </c>
      <c r="C1643" s="79">
        <v>600275771</v>
      </c>
      <c r="D1643" s="79">
        <v>0</v>
      </c>
      <c r="E1643" s="79" t="s">
        <v>1124</v>
      </c>
      <c r="F1643" s="79" t="s">
        <v>2539</v>
      </c>
      <c r="G1643" s="79" t="s">
        <v>2581</v>
      </c>
      <c r="H1643" s="79"/>
      <c r="I1643" s="79"/>
    </row>
    <row r="1644" spans="1:9" ht="15">
      <c r="A1644" s="79" t="s">
        <v>3538</v>
      </c>
      <c r="B1644" s="79" t="s">
        <v>3539</v>
      </c>
      <c r="C1644" s="79">
        <v>600318371</v>
      </c>
      <c r="D1644" s="79">
        <v>0</v>
      </c>
      <c r="E1644" s="79" t="s">
        <v>1124</v>
      </c>
      <c r="F1644" s="79" t="s">
        <v>2539</v>
      </c>
      <c r="G1644" s="79" t="s">
        <v>1130</v>
      </c>
      <c r="H1644" s="79"/>
      <c r="I1644" s="79"/>
    </row>
    <row r="1645" spans="1:9" ht="15">
      <c r="A1645" s="79" t="s">
        <v>3538</v>
      </c>
      <c r="B1645" s="79" t="s">
        <v>3539</v>
      </c>
      <c r="C1645" s="79">
        <v>600318371</v>
      </c>
      <c r="D1645" s="79">
        <v>0</v>
      </c>
      <c r="E1645" s="79" t="s">
        <v>1124</v>
      </c>
      <c r="F1645" s="79" t="s">
        <v>2539</v>
      </c>
      <c r="G1645" s="79" t="s">
        <v>1131</v>
      </c>
      <c r="H1645" s="79" t="s">
        <v>1132</v>
      </c>
      <c r="I1645" s="79"/>
    </row>
    <row r="1646" spans="1:9" ht="15">
      <c r="A1646" s="79" t="s">
        <v>3538</v>
      </c>
      <c r="B1646" s="79" t="s">
        <v>3539</v>
      </c>
      <c r="C1646" s="79">
        <v>600318371</v>
      </c>
      <c r="D1646" s="79">
        <v>0</v>
      </c>
      <c r="E1646" s="79" t="s">
        <v>1124</v>
      </c>
      <c r="F1646" s="79" t="s">
        <v>2539</v>
      </c>
      <c r="G1646" s="79" t="s">
        <v>2578</v>
      </c>
      <c r="H1646" s="79"/>
      <c r="I1646" s="79"/>
    </row>
    <row r="1647" spans="1:9" ht="15">
      <c r="A1647" s="79" t="s">
        <v>3540</v>
      </c>
      <c r="B1647" s="79" t="s">
        <v>3541</v>
      </c>
      <c r="C1647" s="79">
        <v>600318971</v>
      </c>
      <c r="D1647" s="79">
        <v>0</v>
      </c>
      <c r="E1647" s="79" t="s">
        <v>1124</v>
      </c>
      <c r="F1647" s="79" t="s">
        <v>2539</v>
      </c>
      <c r="G1647" s="79" t="s">
        <v>2546</v>
      </c>
      <c r="H1647" s="79" t="s">
        <v>2547</v>
      </c>
      <c r="I1647" s="79"/>
    </row>
    <row r="1648" spans="1:9" ht="15">
      <c r="A1648" s="79" t="s">
        <v>3540</v>
      </c>
      <c r="B1648" s="79" t="s">
        <v>3541</v>
      </c>
      <c r="C1648" s="79">
        <v>600318971</v>
      </c>
      <c r="D1648" s="79">
        <v>0</v>
      </c>
      <c r="E1648" s="79" t="s">
        <v>1124</v>
      </c>
      <c r="F1648" s="79" t="s">
        <v>2539</v>
      </c>
      <c r="G1648" s="79" t="s">
        <v>2581</v>
      </c>
      <c r="H1648" s="79"/>
      <c r="I1648" s="79"/>
    </row>
    <row r="1649" spans="1:9" ht="15">
      <c r="A1649" s="79" t="s">
        <v>3542</v>
      </c>
      <c r="B1649" s="79" t="s">
        <v>3543</v>
      </c>
      <c r="C1649" s="79">
        <v>600361571</v>
      </c>
      <c r="D1649" s="79">
        <v>0</v>
      </c>
      <c r="E1649" s="79" t="s">
        <v>1124</v>
      </c>
      <c r="F1649" s="79" t="s">
        <v>2539</v>
      </c>
      <c r="G1649" s="79" t="s">
        <v>1130</v>
      </c>
      <c r="H1649" s="79"/>
      <c r="I1649" s="79"/>
    </row>
    <row r="1650" spans="1:9" ht="15">
      <c r="A1650" s="79" t="s">
        <v>3542</v>
      </c>
      <c r="B1650" s="79" t="s">
        <v>3543</v>
      </c>
      <c r="C1650" s="79">
        <v>600361571</v>
      </c>
      <c r="D1650" s="79">
        <v>0</v>
      </c>
      <c r="E1650" s="79" t="s">
        <v>1124</v>
      </c>
      <c r="F1650" s="79" t="s">
        <v>2539</v>
      </c>
      <c r="G1650" s="79" t="s">
        <v>1131</v>
      </c>
      <c r="H1650" s="79" t="s">
        <v>1132</v>
      </c>
      <c r="I1650" s="79"/>
    </row>
    <row r="1651" spans="1:9" ht="15">
      <c r="A1651" s="79" t="s">
        <v>3542</v>
      </c>
      <c r="B1651" s="79" t="s">
        <v>3543</v>
      </c>
      <c r="C1651" s="79">
        <v>600361571</v>
      </c>
      <c r="D1651" s="79">
        <v>0</v>
      </c>
      <c r="E1651" s="79" t="s">
        <v>1124</v>
      </c>
      <c r="F1651" s="79" t="s">
        <v>2539</v>
      </c>
      <c r="G1651" s="79" t="s">
        <v>2578</v>
      </c>
      <c r="H1651" s="79"/>
      <c r="I1651" s="79"/>
    </row>
    <row r="1652" spans="1:9" ht="15">
      <c r="A1652" s="79" t="s">
        <v>3544</v>
      </c>
      <c r="B1652" s="79" t="s">
        <v>3545</v>
      </c>
      <c r="C1652" s="79">
        <v>600362171</v>
      </c>
      <c r="D1652" s="79">
        <v>0</v>
      </c>
      <c r="E1652" s="79" t="s">
        <v>1124</v>
      </c>
      <c r="F1652" s="79" t="s">
        <v>2539</v>
      </c>
      <c r="G1652" s="79" t="s">
        <v>2546</v>
      </c>
      <c r="H1652" s="79" t="s">
        <v>2547</v>
      </c>
      <c r="I1652" s="79"/>
    </row>
    <row r="1653" spans="1:9" ht="15">
      <c r="A1653" s="79" t="s">
        <v>3544</v>
      </c>
      <c r="B1653" s="79" t="s">
        <v>3545</v>
      </c>
      <c r="C1653" s="79">
        <v>600362171</v>
      </c>
      <c r="D1653" s="79">
        <v>0</v>
      </c>
      <c r="E1653" s="79" t="s">
        <v>1124</v>
      </c>
      <c r="F1653" s="79" t="s">
        <v>2539</v>
      </c>
      <c r="G1653" s="79" t="s">
        <v>2581</v>
      </c>
      <c r="H1653" s="79"/>
      <c r="I1653" s="79"/>
    </row>
    <row r="1654" spans="1:9" ht="15">
      <c r="A1654" s="79" t="s">
        <v>3546</v>
      </c>
      <c r="B1654" s="79" t="s">
        <v>3547</v>
      </c>
      <c r="C1654" s="79">
        <v>600404771</v>
      </c>
      <c r="D1654" s="79">
        <v>0</v>
      </c>
      <c r="E1654" s="79" t="s">
        <v>1124</v>
      </c>
      <c r="F1654" s="79" t="s">
        <v>2539</v>
      </c>
      <c r="G1654" s="79" t="s">
        <v>1130</v>
      </c>
      <c r="H1654" s="79"/>
      <c r="I1654" s="79"/>
    </row>
    <row r="1655" spans="1:9" ht="15">
      <c r="A1655" s="79" t="s">
        <v>3546</v>
      </c>
      <c r="B1655" s="79" t="s">
        <v>3547</v>
      </c>
      <c r="C1655" s="79">
        <v>600404771</v>
      </c>
      <c r="D1655" s="79">
        <v>0</v>
      </c>
      <c r="E1655" s="79" t="s">
        <v>1124</v>
      </c>
      <c r="F1655" s="79" t="s">
        <v>2539</v>
      </c>
      <c r="G1655" s="79" t="s">
        <v>1131</v>
      </c>
      <c r="H1655" s="79" t="s">
        <v>1132</v>
      </c>
      <c r="I1655" s="79"/>
    </row>
    <row r="1656" spans="1:9" ht="15">
      <c r="A1656" s="79" t="s">
        <v>3546</v>
      </c>
      <c r="B1656" s="79" t="s">
        <v>3547</v>
      </c>
      <c r="C1656" s="79">
        <v>600404771</v>
      </c>
      <c r="D1656" s="79">
        <v>0</v>
      </c>
      <c r="E1656" s="79" t="s">
        <v>1124</v>
      </c>
      <c r="F1656" s="79" t="s">
        <v>2539</v>
      </c>
      <c r="G1656" s="79" t="s">
        <v>2578</v>
      </c>
      <c r="H1656" s="79"/>
      <c r="I1656" s="79"/>
    </row>
    <row r="1657" spans="1:9" ht="15">
      <c r="A1657" s="79" t="s">
        <v>3548</v>
      </c>
      <c r="B1657" s="79" t="s">
        <v>3549</v>
      </c>
      <c r="C1657" s="79">
        <v>600405371</v>
      </c>
      <c r="D1657" s="79">
        <v>0</v>
      </c>
      <c r="E1657" s="79" t="s">
        <v>1124</v>
      </c>
      <c r="F1657" s="79" t="s">
        <v>2539</v>
      </c>
      <c r="G1657" s="79" t="s">
        <v>2546</v>
      </c>
      <c r="H1657" s="79" t="s">
        <v>2547</v>
      </c>
      <c r="I1657" s="79"/>
    </row>
    <row r="1658" spans="1:9" ht="15">
      <c r="A1658" s="79" t="s">
        <v>3548</v>
      </c>
      <c r="B1658" s="79" t="s">
        <v>3549</v>
      </c>
      <c r="C1658" s="79">
        <v>600405371</v>
      </c>
      <c r="D1658" s="79">
        <v>0</v>
      </c>
      <c r="E1658" s="79" t="s">
        <v>1124</v>
      </c>
      <c r="F1658" s="79" t="s">
        <v>2539</v>
      </c>
      <c r="G1658" s="79" t="s">
        <v>2581</v>
      </c>
      <c r="H1658" s="79"/>
      <c r="I1658" s="79"/>
    </row>
    <row r="1659" spans="1:9" ht="15">
      <c r="A1659" s="79" t="s">
        <v>3550</v>
      </c>
      <c r="B1659" s="79" t="s">
        <v>3551</v>
      </c>
      <c r="C1659" s="79">
        <v>600447971</v>
      </c>
      <c r="D1659" s="79">
        <v>0</v>
      </c>
      <c r="E1659" s="79" t="s">
        <v>1124</v>
      </c>
      <c r="F1659" s="79" t="s">
        <v>2539</v>
      </c>
      <c r="G1659" s="79" t="s">
        <v>1130</v>
      </c>
      <c r="H1659" s="79"/>
      <c r="I1659" s="79"/>
    </row>
    <row r="1660" spans="1:9" ht="15">
      <c r="A1660" s="79" t="s">
        <v>3550</v>
      </c>
      <c r="B1660" s="79" t="s">
        <v>3551</v>
      </c>
      <c r="C1660" s="79">
        <v>600447971</v>
      </c>
      <c r="D1660" s="79">
        <v>0</v>
      </c>
      <c r="E1660" s="79" t="s">
        <v>1124</v>
      </c>
      <c r="F1660" s="79" t="s">
        <v>2539</v>
      </c>
      <c r="G1660" s="79" t="s">
        <v>1131</v>
      </c>
      <c r="H1660" s="79" t="s">
        <v>1132</v>
      </c>
      <c r="I1660" s="79"/>
    </row>
    <row r="1661" spans="1:9" ht="15">
      <c r="A1661" s="79" t="s">
        <v>3550</v>
      </c>
      <c r="B1661" s="79" t="s">
        <v>3551</v>
      </c>
      <c r="C1661" s="79">
        <v>600447971</v>
      </c>
      <c r="D1661" s="79">
        <v>0</v>
      </c>
      <c r="E1661" s="79" t="s">
        <v>1124</v>
      </c>
      <c r="F1661" s="79" t="s">
        <v>2539</v>
      </c>
      <c r="G1661" s="79" t="s">
        <v>2578</v>
      </c>
      <c r="H1661" s="79"/>
      <c r="I1661" s="79"/>
    </row>
    <row r="1662" spans="1:9" ht="15">
      <c r="A1662" s="79" t="s">
        <v>3552</v>
      </c>
      <c r="B1662" s="79" t="s">
        <v>3553</v>
      </c>
      <c r="C1662" s="79">
        <v>600448571</v>
      </c>
      <c r="D1662" s="79">
        <v>0</v>
      </c>
      <c r="E1662" s="79" t="s">
        <v>1124</v>
      </c>
      <c r="F1662" s="79" t="s">
        <v>2539</v>
      </c>
      <c r="G1662" s="79" t="s">
        <v>2546</v>
      </c>
      <c r="H1662" s="79" t="s">
        <v>2547</v>
      </c>
      <c r="I1662" s="79"/>
    </row>
    <row r="1663" spans="1:9" ht="15">
      <c r="A1663" s="79" t="s">
        <v>3552</v>
      </c>
      <c r="B1663" s="79" t="s">
        <v>3553</v>
      </c>
      <c r="C1663" s="79">
        <v>600448571</v>
      </c>
      <c r="D1663" s="79">
        <v>0</v>
      </c>
      <c r="E1663" s="79" t="s">
        <v>1124</v>
      </c>
      <c r="F1663" s="79" t="s">
        <v>2539</v>
      </c>
      <c r="G1663" s="79" t="s">
        <v>2581</v>
      </c>
      <c r="H1663" s="79"/>
      <c r="I1663" s="79"/>
    </row>
    <row r="1664" spans="1:9" ht="15">
      <c r="A1664" s="79" t="s">
        <v>3554</v>
      </c>
      <c r="B1664" s="79" t="s">
        <v>3555</v>
      </c>
      <c r="C1664" s="79">
        <v>600491171</v>
      </c>
      <c r="D1664" s="79">
        <v>0</v>
      </c>
      <c r="E1664" s="79" t="s">
        <v>1124</v>
      </c>
      <c r="F1664" s="79" t="s">
        <v>2539</v>
      </c>
      <c r="G1664" s="79" t="s">
        <v>1130</v>
      </c>
      <c r="H1664" s="79"/>
      <c r="I1664" s="79"/>
    </row>
    <row r="1665" spans="1:9" ht="15">
      <c r="A1665" s="79" t="s">
        <v>3554</v>
      </c>
      <c r="B1665" s="79" t="s">
        <v>3555</v>
      </c>
      <c r="C1665" s="79">
        <v>600491171</v>
      </c>
      <c r="D1665" s="79">
        <v>0</v>
      </c>
      <c r="E1665" s="79" t="s">
        <v>1124</v>
      </c>
      <c r="F1665" s="79" t="s">
        <v>2539</v>
      </c>
      <c r="G1665" s="79" t="s">
        <v>1131</v>
      </c>
      <c r="H1665" s="79" t="s">
        <v>1132</v>
      </c>
      <c r="I1665" s="79"/>
    </row>
    <row r="1666" spans="1:9" ht="15">
      <c r="A1666" s="79" t="s">
        <v>3554</v>
      </c>
      <c r="B1666" s="79" t="s">
        <v>3555</v>
      </c>
      <c r="C1666" s="79">
        <v>600491171</v>
      </c>
      <c r="D1666" s="79">
        <v>0</v>
      </c>
      <c r="E1666" s="79" t="s">
        <v>1124</v>
      </c>
      <c r="F1666" s="79" t="s">
        <v>2539</v>
      </c>
      <c r="G1666" s="79" t="s">
        <v>2578</v>
      </c>
      <c r="H1666" s="79"/>
      <c r="I1666" s="79"/>
    </row>
    <row r="1667" spans="1:9" ht="15">
      <c r="A1667" s="79" t="s">
        <v>3556</v>
      </c>
      <c r="B1667" s="79" t="s">
        <v>3557</v>
      </c>
      <c r="C1667" s="79">
        <v>600491771</v>
      </c>
      <c r="D1667" s="79">
        <v>0</v>
      </c>
      <c r="E1667" s="79" t="s">
        <v>1124</v>
      </c>
      <c r="F1667" s="79" t="s">
        <v>2539</v>
      </c>
      <c r="G1667" s="79" t="s">
        <v>2546</v>
      </c>
      <c r="H1667" s="79" t="s">
        <v>2547</v>
      </c>
      <c r="I1667" s="79"/>
    </row>
    <row r="1668" spans="1:9" ht="15">
      <c r="A1668" s="79" t="s">
        <v>3556</v>
      </c>
      <c r="B1668" s="79" t="s">
        <v>3557</v>
      </c>
      <c r="C1668" s="79">
        <v>600491771</v>
      </c>
      <c r="D1668" s="79">
        <v>0</v>
      </c>
      <c r="E1668" s="79" t="s">
        <v>1124</v>
      </c>
      <c r="F1668" s="79" t="s">
        <v>2539</v>
      </c>
      <c r="G1668" s="79" t="s">
        <v>2581</v>
      </c>
      <c r="H1668" s="79"/>
      <c r="I1668" s="79"/>
    </row>
    <row r="1669" spans="1:9" ht="15">
      <c r="A1669" s="79" t="s">
        <v>3558</v>
      </c>
      <c r="B1669" s="79" t="s">
        <v>3559</v>
      </c>
      <c r="C1669" s="79">
        <v>600534371</v>
      </c>
      <c r="D1669" s="79">
        <v>0</v>
      </c>
      <c r="E1669" s="79" t="s">
        <v>1124</v>
      </c>
      <c r="F1669" s="79" t="s">
        <v>2539</v>
      </c>
      <c r="G1669" s="79" t="s">
        <v>1130</v>
      </c>
      <c r="H1669" s="79"/>
      <c r="I1669" s="79"/>
    </row>
    <row r="1670" spans="1:9" ht="15">
      <c r="A1670" s="79" t="s">
        <v>3558</v>
      </c>
      <c r="B1670" s="79" t="s">
        <v>3559</v>
      </c>
      <c r="C1670" s="79">
        <v>600534371</v>
      </c>
      <c r="D1670" s="79">
        <v>0</v>
      </c>
      <c r="E1670" s="79" t="s">
        <v>1124</v>
      </c>
      <c r="F1670" s="79" t="s">
        <v>2539</v>
      </c>
      <c r="G1670" s="79" t="s">
        <v>1131</v>
      </c>
      <c r="H1670" s="79" t="s">
        <v>1132</v>
      </c>
      <c r="I1670" s="79"/>
    </row>
    <row r="1671" spans="1:9" ht="15">
      <c r="A1671" s="79" t="s">
        <v>3558</v>
      </c>
      <c r="B1671" s="79" t="s">
        <v>3559</v>
      </c>
      <c r="C1671" s="79">
        <v>600534371</v>
      </c>
      <c r="D1671" s="79">
        <v>0</v>
      </c>
      <c r="E1671" s="79" t="s">
        <v>1124</v>
      </c>
      <c r="F1671" s="79" t="s">
        <v>2539</v>
      </c>
      <c r="G1671" s="79" t="s">
        <v>2578</v>
      </c>
      <c r="H1671" s="79"/>
      <c r="I1671" s="79"/>
    </row>
    <row r="1672" spans="1:9" ht="15">
      <c r="A1672" s="79" t="s">
        <v>3560</v>
      </c>
      <c r="B1672" s="79" t="s">
        <v>3561</v>
      </c>
      <c r="C1672" s="79">
        <v>600534971</v>
      </c>
      <c r="D1672" s="79">
        <v>0</v>
      </c>
      <c r="E1672" s="79" t="s">
        <v>1124</v>
      </c>
      <c r="F1672" s="79" t="s">
        <v>2539</v>
      </c>
      <c r="G1672" s="79" t="s">
        <v>2546</v>
      </c>
      <c r="H1672" s="79" t="s">
        <v>2547</v>
      </c>
      <c r="I1672" s="79"/>
    </row>
    <row r="1673" spans="1:9" ht="15">
      <c r="A1673" s="79" t="s">
        <v>3560</v>
      </c>
      <c r="B1673" s="79" t="s">
        <v>3561</v>
      </c>
      <c r="C1673" s="79">
        <v>600534971</v>
      </c>
      <c r="D1673" s="79">
        <v>0</v>
      </c>
      <c r="E1673" s="79" t="s">
        <v>1124</v>
      </c>
      <c r="F1673" s="79" t="s">
        <v>2539</v>
      </c>
      <c r="G1673" s="79" t="s">
        <v>2581</v>
      </c>
      <c r="H1673" s="79"/>
      <c r="I1673" s="79"/>
    </row>
    <row r="1674" spans="1:9" ht="15">
      <c r="A1674" s="79" t="s">
        <v>3562</v>
      </c>
      <c r="B1674" s="79" t="s">
        <v>3563</v>
      </c>
      <c r="C1674" s="79">
        <v>600577571</v>
      </c>
      <c r="D1674" s="79">
        <v>0</v>
      </c>
      <c r="E1674" s="79" t="s">
        <v>1124</v>
      </c>
      <c r="F1674" s="79" t="s">
        <v>2539</v>
      </c>
      <c r="G1674" s="79" t="s">
        <v>1130</v>
      </c>
      <c r="H1674" s="79"/>
      <c r="I1674" s="79"/>
    </row>
    <row r="1675" spans="1:9" ht="15">
      <c r="A1675" s="79" t="s">
        <v>3562</v>
      </c>
      <c r="B1675" s="79" t="s">
        <v>3563</v>
      </c>
      <c r="C1675" s="79">
        <v>600577571</v>
      </c>
      <c r="D1675" s="79">
        <v>0</v>
      </c>
      <c r="E1675" s="79" t="s">
        <v>1124</v>
      </c>
      <c r="F1675" s="79" t="s">
        <v>2539</v>
      </c>
      <c r="G1675" s="79" t="s">
        <v>1131</v>
      </c>
      <c r="H1675" s="79" t="s">
        <v>1132</v>
      </c>
      <c r="I1675" s="79"/>
    </row>
    <row r="1676" spans="1:9" ht="15">
      <c r="A1676" s="79" t="s">
        <v>3562</v>
      </c>
      <c r="B1676" s="79" t="s">
        <v>3563</v>
      </c>
      <c r="C1676" s="79">
        <v>600577571</v>
      </c>
      <c r="D1676" s="79">
        <v>0</v>
      </c>
      <c r="E1676" s="79" t="s">
        <v>1124</v>
      </c>
      <c r="F1676" s="79" t="s">
        <v>2539</v>
      </c>
      <c r="G1676" s="79" t="s">
        <v>2578</v>
      </c>
      <c r="H1676" s="79"/>
      <c r="I1676" s="79"/>
    </row>
    <row r="1677" spans="1:9" ht="15">
      <c r="A1677" s="79" t="s">
        <v>3564</v>
      </c>
      <c r="B1677" s="79" t="s">
        <v>3565</v>
      </c>
      <c r="C1677" s="79">
        <v>600578171</v>
      </c>
      <c r="D1677" s="79">
        <v>0</v>
      </c>
      <c r="E1677" s="79" t="s">
        <v>1124</v>
      </c>
      <c r="F1677" s="79" t="s">
        <v>2539</v>
      </c>
      <c r="G1677" s="79" t="s">
        <v>2546</v>
      </c>
      <c r="H1677" s="79" t="s">
        <v>2547</v>
      </c>
      <c r="I1677" s="79"/>
    </row>
    <row r="1678" spans="1:9" ht="15">
      <c r="A1678" s="79" t="s">
        <v>3564</v>
      </c>
      <c r="B1678" s="79" t="s">
        <v>3565</v>
      </c>
      <c r="C1678" s="79">
        <v>600578171</v>
      </c>
      <c r="D1678" s="79">
        <v>0</v>
      </c>
      <c r="E1678" s="79" t="s">
        <v>1124</v>
      </c>
      <c r="F1678" s="79" t="s">
        <v>2539</v>
      </c>
      <c r="G1678" s="79" t="s">
        <v>2581</v>
      </c>
      <c r="H1678" s="79"/>
      <c r="I1678" s="79"/>
    </row>
    <row r="1679" spans="1:9" ht="15">
      <c r="A1679" s="79" t="s">
        <v>3566</v>
      </c>
      <c r="B1679" s="79" t="s">
        <v>3567</v>
      </c>
      <c r="C1679" s="79">
        <v>600620771</v>
      </c>
      <c r="D1679" s="79">
        <v>0</v>
      </c>
      <c r="E1679" s="79" t="s">
        <v>1124</v>
      </c>
      <c r="F1679" s="79" t="s">
        <v>2539</v>
      </c>
      <c r="G1679" s="79" t="s">
        <v>1130</v>
      </c>
      <c r="H1679" s="79"/>
      <c r="I1679" s="79"/>
    </row>
    <row r="1680" spans="1:9" ht="15">
      <c r="A1680" s="79" t="s">
        <v>3566</v>
      </c>
      <c r="B1680" s="79" t="s">
        <v>3567</v>
      </c>
      <c r="C1680" s="79">
        <v>600620771</v>
      </c>
      <c r="D1680" s="79">
        <v>0</v>
      </c>
      <c r="E1680" s="79" t="s">
        <v>1124</v>
      </c>
      <c r="F1680" s="79" t="s">
        <v>2539</v>
      </c>
      <c r="G1680" s="79" t="s">
        <v>2109</v>
      </c>
      <c r="H1680" s="79"/>
      <c r="I1680" s="79"/>
    </row>
    <row r="1681" spans="1:9" ht="15">
      <c r="A1681" s="79" t="s">
        <v>3568</v>
      </c>
      <c r="B1681" s="79" t="s">
        <v>3569</v>
      </c>
      <c r="C1681" s="79">
        <v>600620774</v>
      </c>
      <c r="D1681" s="79">
        <v>0</v>
      </c>
      <c r="E1681" s="79" t="s">
        <v>1124</v>
      </c>
      <c r="F1681" s="79" t="s">
        <v>2539</v>
      </c>
      <c r="G1681" s="79" t="s">
        <v>1130</v>
      </c>
      <c r="H1681" s="79"/>
      <c r="I1681" s="79"/>
    </row>
    <row r="1682" spans="1:9" ht="15">
      <c r="A1682" s="79" t="s">
        <v>3568</v>
      </c>
      <c r="B1682" s="79" t="s">
        <v>3569</v>
      </c>
      <c r="C1682" s="79">
        <v>600620774</v>
      </c>
      <c r="D1682" s="79">
        <v>0</v>
      </c>
      <c r="E1682" s="79" t="s">
        <v>1124</v>
      </c>
      <c r="F1682" s="79" t="s">
        <v>2539</v>
      </c>
      <c r="G1682" s="79" t="s">
        <v>2572</v>
      </c>
      <c r="H1682" s="79" t="s">
        <v>2573</v>
      </c>
      <c r="I1682" s="79"/>
    </row>
    <row r="1683" spans="1:9" ht="15">
      <c r="A1683" s="79" t="s">
        <v>3568</v>
      </c>
      <c r="B1683" s="79" t="s">
        <v>3569</v>
      </c>
      <c r="C1683" s="79">
        <v>600620774</v>
      </c>
      <c r="D1683" s="79">
        <v>0</v>
      </c>
      <c r="E1683" s="79" t="s">
        <v>1124</v>
      </c>
      <c r="F1683" s="79" t="s">
        <v>2539</v>
      </c>
      <c r="G1683" s="79" t="s">
        <v>2568</v>
      </c>
      <c r="H1683" s="79"/>
      <c r="I1683" s="79"/>
    </row>
    <row r="1684" spans="1:9" ht="15">
      <c r="A1684" s="79" t="s">
        <v>3570</v>
      </c>
      <c r="B1684" s="79" t="s">
        <v>3571</v>
      </c>
      <c r="C1684" s="79">
        <v>600621134</v>
      </c>
      <c r="D1684" s="79">
        <v>0</v>
      </c>
      <c r="E1684" s="79" t="s">
        <v>1124</v>
      </c>
      <c r="F1684" s="79" t="s">
        <v>2539</v>
      </c>
      <c r="G1684" s="79" t="s">
        <v>2576</v>
      </c>
      <c r="H1684" s="79"/>
      <c r="I1684" s="79"/>
    </row>
    <row r="1685" spans="1:9" ht="15">
      <c r="A1685" s="79" t="s">
        <v>3570</v>
      </c>
      <c r="B1685" s="79" t="s">
        <v>3571</v>
      </c>
      <c r="C1685" s="79">
        <v>600621134</v>
      </c>
      <c r="D1685" s="79">
        <v>0</v>
      </c>
      <c r="E1685" s="79" t="s">
        <v>1124</v>
      </c>
      <c r="F1685" s="79" t="s">
        <v>2539</v>
      </c>
      <c r="G1685" s="79" t="s">
        <v>2577</v>
      </c>
      <c r="H1685" s="79"/>
      <c r="I1685" s="79"/>
    </row>
    <row r="1686" spans="1:9" ht="15">
      <c r="A1686" s="79" t="s">
        <v>3570</v>
      </c>
      <c r="B1686" s="79" t="s">
        <v>3571</v>
      </c>
      <c r="C1686" s="79">
        <v>600621134</v>
      </c>
      <c r="D1686" s="79">
        <v>0</v>
      </c>
      <c r="E1686" s="79" t="s">
        <v>1124</v>
      </c>
      <c r="F1686" s="79" t="s">
        <v>2539</v>
      </c>
      <c r="G1686" s="79" t="s">
        <v>1131</v>
      </c>
      <c r="H1686" s="79" t="s">
        <v>1132</v>
      </c>
      <c r="I1686" s="79"/>
    </row>
    <row r="1687" spans="1:9" ht="15">
      <c r="A1687" s="79" t="s">
        <v>3570</v>
      </c>
      <c r="B1687" s="79" t="s">
        <v>3571</v>
      </c>
      <c r="C1687" s="79">
        <v>600621134</v>
      </c>
      <c r="D1687" s="79">
        <v>0</v>
      </c>
      <c r="E1687" s="79" t="s">
        <v>1124</v>
      </c>
      <c r="F1687" s="79" t="s">
        <v>2539</v>
      </c>
      <c r="G1687" s="79" t="s">
        <v>2578</v>
      </c>
      <c r="H1687" s="79"/>
      <c r="I1687" s="79"/>
    </row>
    <row r="1688" spans="1:9" ht="15">
      <c r="A1688" s="79" t="s">
        <v>3572</v>
      </c>
      <c r="B1688" s="79" t="s">
        <v>3573</v>
      </c>
      <c r="C1688" s="79">
        <v>600621734</v>
      </c>
      <c r="D1688" s="79">
        <v>0</v>
      </c>
      <c r="E1688" s="79" t="s">
        <v>1124</v>
      </c>
      <c r="F1688" s="79" t="s">
        <v>2539</v>
      </c>
      <c r="G1688" s="79" t="s">
        <v>2546</v>
      </c>
      <c r="H1688" s="79" t="s">
        <v>2547</v>
      </c>
      <c r="I1688" s="79"/>
    </row>
    <row r="1689" spans="1:9" ht="15">
      <c r="A1689" s="79" t="s">
        <v>3572</v>
      </c>
      <c r="B1689" s="79" t="s">
        <v>3573</v>
      </c>
      <c r="C1689" s="79">
        <v>600621734</v>
      </c>
      <c r="D1689" s="79">
        <v>0</v>
      </c>
      <c r="E1689" s="79" t="s">
        <v>1124</v>
      </c>
      <c r="F1689" s="79" t="s">
        <v>2539</v>
      </c>
      <c r="G1689" s="79" t="s">
        <v>2581</v>
      </c>
      <c r="H1689" s="79"/>
      <c r="I1689" s="79"/>
    </row>
    <row r="1690" spans="1:9" ht="15">
      <c r="A1690" s="79" t="s">
        <v>3574</v>
      </c>
      <c r="B1690" s="79" t="s">
        <v>3575</v>
      </c>
      <c r="C1690" s="79">
        <v>600664334</v>
      </c>
      <c r="D1690" s="79">
        <v>0</v>
      </c>
      <c r="E1690" s="79" t="s">
        <v>1124</v>
      </c>
      <c r="F1690" s="79" t="s">
        <v>2539</v>
      </c>
      <c r="G1690" s="79" t="s">
        <v>1130</v>
      </c>
      <c r="H1690" s="79"/>
      <c r="I1690" s="79"/>
    </row>
    <row r="1691" spans="1:9" ht="15">
      <c r="A1691" s="79" t="s">
        <v>3574</v>
      </c>
      <c r="B1691" s="79" t="s">
        <v>3575</v>
      </c>
      <c r="C1691" s="79">
        <v>600664334</v>
      </c>
      <c r="D1691" s="79">
        <v>0</v>
      </c>
      <c r="E1691" s="79" t="s">
        <v>1124</v>
      </c>
      <c r="F1691" s="79" t="s">
        <v>2539</v>
      </c>
      <c r="G1691" s="79" t="s">
        <v>1131</v>
      </c>
      <c r="H1691" s="79" t="s">
        <v>1132</v>
      </c>
      <c r="I1691" s="79"/>
    </row>
    <row r="1692" spans="1:9" ht="15">
      <c r="A1692" s="79" t="s">
        <v>3574</v>
      </c>
      <c r="B1692" s="79" t="s">
        <v>3575</v>
      </c>
      <c r="C1692" s="79">
        <v>600664334</v>
      </c>
      <c r="D1692" s="79">
        <v>0</v>
      </c>
      <c r="E1692" s="79" t="s">
        <v>1124</v>
      </c>
      <c r="F1692" s="79" t="s">
        <v>2539</v>
      </c>
      <c r="G1692" s="79" t="s">
        <v>2578</v>
      </c>
      <c r="H1692" s="79"/>
      <c r="I1692" s="79"/>
    </row>
    <row r="1693" spans="1:9" ht="15">
      <c r="A1693" s="79" t="s">
        <v>3576</v>
      </c>
      <c r="B1693" s="79" t="s">
        <v>3577</v>
      </c>
      <c r="C1693" s="79">
        <v>600664934</v>
      </c>
      <c r="D1693" s="79">
        <v>0</v>
      </c>
      <c r="E1693" s="79" t="s">
        <v>1124</v>
      </c>
      <c r="F1693" s="79" t="s">
        <v>2539</v>
      </c>
      <c r="G1693" s="79" t="s">
        <v>2546</v>
      </c>
      <c r="H1693" s="79" t="s">
        <v>2547</v>
      </c>
      <c r="I1693" s="79"/>
    </row>
    <row r="1694" spans="1:9" ht="15">
      <c r="A1694" s="79" t="s">
        <v>3576</v>
      </c>
      <c r="B1694" s="79" t="s">
        <v>3577</v>
      </c>
      <c r="C1694" s="79">
        <v>600664934</v>
      </c>
      <c r="D1694" s="79">
        <v>0</v>
      </c>
      <c r="E1694" s="79" t="s">
        <v>1124</v>
      </c>
      <c r="F1694" s="79" t="s">
        <v>2539</v>
      </c>
      <c r="G1694" s="79" t="s">
        <v>2581</v>
      </c>
      <c r="H1694" s="79"/>
      <c r="I1694" s="79"/>
    </row>
    <row r="1695" spans="1:9" ht="15">
      <c r="A1695" s="79" t="s">
        <v>3578</v>
      </c>
      <c r="B1695" s="79" t="s">
        <v>3579</v>
      </c>
      <c r="C1695" s="79">
        <v>600707534</v>
      </c>
      <c r="D1695" s="79">
        <v>0</v>
      </c>
      <c r="E1695" s="79" t="s">
        <v>1124</v>
      </c>
      <c r="F1695" s="79" t="s">
        <v>2539</v>
      </c>
      <c r="G1695" s="79" t="s">
        <v>1130</v>
      </c>
      <c r="H1695" s="79"/>
      <c r="I1695" s="79"/>
    </row>
    <row r="1696" spans="1:9" ht="15">
      <c r="A1696" s="79" t="s">
        <v>3578</v>
      </c>
      <c r="B1696" s="79" t="s">
        <v>3579</v>
      </c>
      <c r="C1696" s="79">
        <v>600707534</v>
      </c>
      <c r="D1696" s="79">
        <v>0</v>
      </c>
      <c r="E1696" s="79" t="s">
        <v>1124</v>
      </c>
      <c r="F1696" s="79" t="s">
        <v>2539</v>
      </c>
      <c r="G1696" s="79" t="s">
        <v>1131</v>
      </c>
      <c r="H1696" s="79" t="s">
        <v>1132</v>
      </c>
      <c r="I1696" s="79"/>
    </row>
    <row r="1697" spans="1:9" ht="15">
      <c r="A1697" s="79" t="s">
        <v>3578</v>
      </c>
      <c r="B1697" s="79" t="s">
        <v>3579</v>
      </c>
      <c r="C1697" s="79">
        <v>600707534</v>
      </c>
      <c r="D1697" s="79">
        <v>0</v>
      </c>
      <c r="E1697" s="79" t="s">
        <v>1124</v>
      </c>
      <c r="F1697" s="79" t="s">
        <v>2539</v>
      </c>
      <c r="G1697" s="79" t="s">
        <v>2578</v>
      </c>
      <c r="H1697" s="79"/>
      <c r="I1697" s="79"/>
    </row>
    <row r="1698" spans="1:9" ht="15">
      <c r="A1698" s="79" t="s">
        <v>3580</v>
      </c>
      <c r="B1698" s="79" t="s">
        <v>3581</v>
      </c>
      <c r="C1698" s="79">
        <v>600708134</v>
      </c>
      <c r="D1698" s="79">
        <v>0</v>
      </c>
      <c r="E1698" s="79" t="s">
        <v>1124</v>
      </c>
      <c r="F1698" s="79" t="s">
        <v>2539</v>
      </c>
      <c r="G1698" s="79" t="s">
        <v>2546</v>
      </c>
      <c r="H1698" s="79" t="s">
        <v>2547</v>
      </c>
      <c r="I1698" s="79"/>
    </row>
    <row r="1699" spans="1:9" ht="15">
      <c r="A1699" s="79" t="s">
        <v>3580</v>
      </c>
      <c r="B1699" s="79" t="s">
        <v>3581</v>
      </c>
      <c r="C1699" s="79">
        <v>600708134</v>
      </c>
      <c r="D1699" s="79">
        <v>0</v>
      </c>
      <c r="E1699" s="79" t="s">
        <v>1124</v>
      </c>
      <c r="F1699" s="79" t="s">
        <v>2539</v>
      </c>
      <c r="G1699" s="79" t="s">
        <v>2581</v>
      </c>
      <c r="H1699" s="79"/>
      <c r="I1699" s="79"/>
    </row>
    <row r="1700" spans="1:9" ht="15">
      <c r="A1700" s="79" t="s">
        <v>3582</v>
      </c>
      <c r="B1700" s="79" t="s">
        <v>3583</v>
      </c>
      <c r="C1700" s="79">
        <v>600750734</v>
      </c>
      <c r="D1700" s="79">
        <v>0</v>
      </c>
      <c r="E1700" s="79" t="s">
        <v>1124</v>
      </c>
      <c r="F1700" s="79" t="s">
        <v>2539</v>
      </c>
      <c r="G1700" s="79" t="s">
        <v>1130</v>
      </c>
      <c r="H1700" s="79"/>
      <c r="I1700" s="79"/>
    </row>
    <row r="1701" spans="1:9" ht="15">
      <c r="A1701" s="79" t="s">
        <v>3582</v>
      </c>
      <c r="B1701" s="79" t="s">
        <v>3583</v>
      </c>
      <c r="C1701" s="79">
        <v>600750734</v>
      </c>
      <c r="D1701" s="79">
        <v>0</v>
      </c>
      <c r="E1701" s="79" t="s">
        <v>1124</v>
      </c>
      <c r="F1701" s="79" t="s">
        <v>2539</v>
      </c>
      <c r="G1701" s="79" t="s">
        <v>1131</v>
      </c>
      <c r="H1701" s="79" t="s">
        <v>1132</v>
      </c>
      <c r="I1701" s="79"/>
    </row>
    <row r="1702" spans="1:9" ht="15">
      <c r="A1702" s="79" t="s">
        <v>3582</v>
      </c>
      <c r="B1702" s="79" t="s">
        <v>3583</v>
      </c>
      <c r="C1702" s="79">
        <v>600750734</v>
      </c>
      <c r="D1702" s="79">
        <v>0</v>
      </c>
      <c r="E1702" s="79" t="s">
        <v>1124</v>
      </c>
      <c r="F1702" s="79" t="s">
        <v>2539</v>
      </c>
      <c r="G1702" s="79" t="s">
        <v>2578</v>
      </c>
      <c r="H1702" s="79"/>
      <c r="I1702" s="79"/>
    </row>
    <row r="1703" spans="1:9" ht="15">
      <c r="A1703" s="79" t="s">
        <v>3584</v>
      </c>
      <c r="B1703" s="79" t="s">
        <v>3585</v>
      </c>
      <c r="C1703" s="79">
        <v>600751334</v>
      </c>
      <c r="D1703" s="79">
        <v>0</v>
      </c>
      <c r="E1703" s="79" t="s">
        <v>1124</v>
      </c>
      <c r="F1703" s="79" t="s">
        <v>2539</v>
      </c>
      <c r="G1703" s="79" t="s">
        <v>2546</v>
      </c>
      <c r="H1703" s="79" t="s">
        <v>2547</v>
      </c>
      <c r="I1703" s="79"/>
    </row>
    <row r="1704" spans="1:9" ht="15">
      <c r="A1704" s="79" t="s">
        <v>3584</v>
      </c>
      <c r="B1704" s="79" t="s">
        <v>3585</v>
      </c>
      <c r="C1704" s="79">
        <v>600751334</v>
      </c>
      <c r="D1704" s="79">
        <v>0</v>
      </c>
      <c r="E1704" s="79" t="s">
        <v>1124</v>
      </c>
      <c r="F1704" s="79" t="s">
        <v>2539</v>
      </c>
      <c r="G1704" s="79" t="s">
        <v>2581</v>
      </c>
      <c r="H1704" s="79"/>
      <c r="I1704" s="79"/>
    </row>
    <row r="1705" spans="1:9" ht="15">
      <c r="A1705" s="79" t="s">
        <v>3586</v>
      </c>
      <c r="B1705" s="79" t="s">
        <v>3587</v>
      </c>
      <c r="C1705" s="79">
        <v>600793934</v>
      </c>
      <c r="D1705" s="79">
        <v>0</v>
      </c>
      <c r="E1705" s="79" t="s">
        <v>1124</v>
      </c>
      <c r="F1705" s="79" t="s">
        <v>2539</v>
      </c>
      <c r="G1705" s="79" t="s">
        <v>1130</v>
      </c>
      <c r="H1705" s="79"/>
      <c r="I1705" s="79"/>
    </row>
    <row r="1706" spans="1:9" ht="15">
      <c r="A1706" s="79" t="s">
        <v>3586</v>
      </c>
      <c r="B1706" s="79" t="s">
        <v>3587</v>
      </c>
      <c r="C1706" s="79">
        <v>600793934</v>
      </c>
      <c r="D1706" s="79">
        <v>0</v>
      </c>
      <c r="E1706" s="79" t="s">
        <v>1124</v>
      </c>
      <c r="F1706" s="79" t="s">
        <v>2539</v>
      </c>
      <c r="G1706" s="79" t="s">
        <v>1131</v>
      </c>
      <c r="H1706" s="79" t="s">
        <v>1132</v>
      </c>
      <c r="I1706" s="79"/>
    </row>
    <row r="1707" spans="1:9" ht="15">
      <c r="A1707" s="79" t="s">
        <v>3586</v>
      </c>
      <c r="B1707" s="79" t="s">
        <v>3587</v>
      </c>
      <c r="C1707" s="79">
        <v>600793934</v>
      </c>
      <c r="D1707" s="79">
        <v>0</v>
      </c>
      <c r="E1707" s="79" t="s">
        <v>1124</v>
      </c>
      <c r="F1707" s="79" t="s">
        <v>2539</v>
      </c>
      <c r="G1707" s="79" t="s">
        <v>2578</v>
      </c>
      <c r="H1707" s="79"/>
      <c r="I1707" s="79"/>
    </row>
    <row r="1708" spans="1:9" ht="15">
      <c r="A1708" s="79" t="s">
        <v>3588</v>
      </c>
      <c r="B1708" s="79" t="s">
        <v>3589</v>
      </c>
      <c r="C1708" s="79">
        <v>600794534</v>
      </c>
      <c r="D1708" s="79">
        <v>0</v>
      </c>
      <c r="E1708" s="79" t="s">
        <v>1124</v>
      </c>
      <c r="F1708" s="79" t="s">
        <v>2539</v>
      </c>
      <c r="G1708" s="79" t="s">
        <v>2546</v>
      </c>
      <c r="H1708" s="79" t="s">
        <v>2547</v>
      </c>
      <c r="I1708" s="79"/>
    </row>
    <row r="1709" spans="1:9" ht="15">
      <c r="A1709" s="79" t="s">
        <v>3588</v>
      </c>
      <c r="B1709" s="79" t="s">
        <v>3589</v>
      </c>
      <c r="C1709" s="79">
        <v>600794534</v>
      </c>
      <c r="D1709" s="79">
        <v>0</v>
      </c>
      <c r="E1709" s="79" t="s">
        <v>1124</v>
      </c>
      <c r="F1709" s="79" t="s">
        <v>2539</v>
      </c>
      <c r="G1709" s="79" t="s">
        <v>2581</v>
      </c>
      <c r="H1709" s="79"/>
      <c r="I1709" s="79"/>
    </row>
    <row r="1710" spans="1:9" ht="15">
      <c r="A1710" s="79" t="s">
        <v>3590</v>
      </c>
      <c r="B1710" s="79" t="s">
        <v>3591</v>
      </c>
      <c r="C1710" s="79">
        <v>600837134</v>
      </c>
      <c r="D1710" s="79">
        <v>0</v>
      </c>
      <c r="E1710" s="79" t="s">
        <v>1124</v>
      </c>
      <c r="F1710" s="79" t="s">
        <v>2539</v>
      </c>
      <c r="G1710" s="79" t="s">
        <v>1130</v>
      </c>
      <c r="H1710" s="79"/>
      <c r="I1710" s="79"/>
    </row>
    <row r="1711" spans="1:9" ht="15">
      <c r="A1711" s="79" t="s">
        <v>3590</v>
      </c>
      <c r="B1711" s="79" t="s">
        <v>3591</v>
      </c>
      <c r="C1711" s="79">
        <v>600837134</v>
      </c>
      <c r="D1711" s="79">
        <v>0</v>
      </c>
      <c r="E1711" s="79" t="s">
        <v>1124</v>
      </c>
      <c r="F1711" s="79" t="s">
        <v>2539</v>
      </c>
      <c r="G1711" s="79" t="s">
        <v>1131</v>
      </c>
      <c r="H1711" s="79" t="s">
        <v>1132</v>
      </c>
      <c r="I1711" s="79"/>
    </row>
    <row r="1712" spans="1:9" ht="15">
      <c r="A1712" s="79" t="s">
        <v>3590</v>
      </c>
      <c r="B1712" s="79" t="s">
        <v>3591</v>
      </c>
      <c r="C1712" s="79">
        <v>600837134</v>
      </c>
      <c r="D1712" s="79">
        <v>0</v>
      </c>
      <c r="E1712" s="79" t="s">
        <v>1124</v>
      </c>
      <c r="F1712" s="79" t="s">
        <v>2539</v>
      </c>
      <c r="G1712" s="79" t="s">
        <v>2578</v>
      </c>
      <c r="H1712" s="79"/>
      <c r="I1712" s="79"/>
    </row>
    <row r="1713" spans="1:9" ht="15">
      <c r="A1713" s="79" t="s">
        <v>3592</v>
      </c>
      <c r="B1713" s="79" t="s">
        <v>3593</v>
      </c>
      <c r="C1713" s="79">
        <v>600837734</v>
      </c>
      <c r="D1713" s="79">
        <v>0</v>
      </c>
      <c r="E1713" s="79" t="s">
        <v>1124</v>
      </c>
      <c r="F1713" s="79" t="s">
        <v>2539</v>
      </c>
      <c r="G1713" s="79" t="s">
        <v>2546</v>
      </c>
      <c r="H1713" s="79" t="s">
        <v>2547</v>
      </c>
      <c r="I1713" s="79"/>
    </row>
    <row r="1714" spans="1:9" ht="15">
      <c r="A1714" s="79" t="s">
        <v>3592</v>
      </c>
      <c r="B1714" s="79" t="s">
        <v>3593</v>
      </c>
      <c r="C1714" s="79">
        <v>600837734</v>
      </c>
      <c r="D1714" s="79">
        <v>0</v>
      </c>
      <c r="E1714" s="79" t="s">
        <v>1124</v>
      </c>
      <c r="F1714" s="79" t="s">
        <v>2539</v>
      </c>
      <c r="G1714" s="79" t="s">
        <v>2581</v>
      </c>
      <c r="H1714" s="79"/>
      <c r="I1714" s="79"/>
    </row>
    <row r="1715" spans="1:9" ht="15">
      <c r="A1715" s="79" t="s">
        <v>3594</v>
      </c>
      <c r="B1715" s="79" t="s">
        <v>3595</v>
      </c>
      <c r="C1715" s="79">
        <v>600880334</v>
      </c>
      <c r="D1715" s="79">
        <v>0</v>
      </c>
      <c r="E1715" s="79" t="s">
        <v>1124</v>
      </c>
      <c r="F1715" s="79" t="s">
        <v>2539</v>
      </c>
      <c r="G1715" s="79" t="s">
        <v>1130</v>
      </c>
      <c r="H1715" s="79"/>
      <c r="I1715" s="79"/>
    </row>
    <row r="1716" spans="1:9" ht="15">
      <c r="A1716" s="79" t="s">
        <v>3594</v>
      </c>
      <c r="B1716" s="79" t="s">
        <v>3595</v>
      </c>
      <c r="C1716" s="79">
        <v>600880334</v>
      </c>
      <c r="D1716" s="79">
        <v>0</v>
      </c>
      <c r="E1716" s="79" t="s">
        <v>1124</v>
      </c>
      <c r="F1716" s="79" t="s">
        <v>2539</v>
      </c>
      <c r="G1716" s="79" t="s">
        <v>1131</v>
      </c>
      <c r="H1716" s="79" t="s">
        <v>1132</v>
      </c>
      <c r="I1716" s="79"/>
    </row>
    <row r="1717" spans="1:9" ht="15">
      <c r="A1717" s="79" t="s">
        <v>3594</v>
      </c>
      <c r="B1717" s="79" t="s">
        <v>3595</v>
      </c>
      <c r="C1717" s="79">
        <v>600880334</v>
      </c>
      <c r="D1717" s="79">
        <v>0</v>
      </c>
      <c r="E1717" s="79" t="s">
        <v>1124</v>
      </c>
      <c r="F1717" s="79" t="s">
        <v>2539</v>
      </c>
      <c r="G1717" s="79" t="s">
        <v>2578</v>
      </c>
      <c r="H1717" s="79"/>
      <c r="I1717" s="79"/>
    </row>
    <row r="1718" spans="1:9" ht="15">
      <c r="A1718" s="79" t="s">
        <v>3596</v>
      </c>
      <c r="B1718" s="79" t="s">
        <v>3597</v>
      </c>
      <c r="C1718" s="79">
        <v>600880934</v>
      </c>
      <c r="D1718" s="79">
        <v>0</v>
      </c>
      <c r="E1718" s="79" t="s">
        <v>1124</v>
      </c>
      <c r="F1718" s="79" t="s">
        <v>2539</v>
      </c>
      <c r="G1718" s="79" t="s">
        <v>2546</v>
      </c>
      <c r="H1718" s="79" t="s">
        <v>2547</v>
      </c>
      <c r="I1718" s="79"/>
    </row>
    <row r="1719" spans="1:9" ht="15">
      <c r="A1719" s="79" t="s">
        <v>3596</v>
      </c>
      <c r="B1719" s="79" t="s">
        <v>3597</v>
      </c>
      <c r="C1719" s="79">
        <v>600880934</v>
      </c>
      <c r="D1719" s="79">
        <v>0</v>
      </c>
      <c r="E1719" s="79" t="s">
        <v>1124</v>
      </c>
      <c r="F1719" s="79" t="s">
        <v>2539</v>
      </c>
      <c r="G1719" s="79" t="s">
        <v>2581</v>
      </c>
      <c r="H1719" s="79"/>
      <c r="I1719" s="79"/>
    </row>
    <row r="1720" spans="1:9" ht="15">
      <c r="A1720" s="79" t="s">
        <v>3598</v>
      </c>
      <c r="B1720" s="79" t="s">
        <v>3599</v>
      </c>
      <c r="C1720" s="79">
        <v>600923534</v>
      </c>
      <c r="D1720" s="79">
        <v>0</v>
      </c>
      <c r="E1720" s="79" t="s">
        <v>1124</v>
      </c>
      <c r="F1720" s="79" t="s">
        <v>2539</v>
      </c>
      <c r="G1720" s="79" t="s">
        <v>1130</v>
      </c>
      <c r="H1720" s="79"/>
      <c r="I1720" s="79"/>
    </row>
    <row r="1721" spans="1:9" ht="15">
      <c r="A1721" s="79" t="s">
        <v>3598</v>
      </c>
      <c r="B1721" s="79" t="s">
        <v>3599</v>
      </c>
      <c r="C1721" s="79">
        <v>600923534</v>
      </c>
      <c r="D1721" s="79">
        <v>0</v>
      </c>
      <c r="E1721" s="79" t="s">
        <v>1124</v>
      </c>
      <c r="F1721" s="79" t="s">
        <v>2539</v>
      </c>
      <c r="G1721" s="79" t="s">
        <v>1131</v>
      </c>
      <c r="H1721" s="79" t="s">
        <v>1132</v>
      </c>
      <c r="I1721" s="79"/>
    </row>
    <row r="1722" spans="1:9" ht="15">
      <c r="A1722" s="79" t="s">
        <v>3598</v>
      </c>
      <c r="B1722" s="79" t="s">
        <v>3599</v>
      </c>
      <c r="C1722" s="79">
        <v>600923534</v>
      </c>
      <c r="D1722" s="79">
        <v>0</v>
      </c>
      <c r="E1722" s="79" t="s">
        <v>1124</v>
      </c>
      <c r="F1722" s="79" t="s">
        <v>2539</v>
      </c>
      <c r="G1722" s="79" t="s">
        <v>2578</v>
      </c>
      <c r="H1722" s="79"/>
      <c r="I1722" s="79"/>
    </row>
    <row r="1723" spans="1:9" ht="15">
      <c r="A1723" s="79" t="s">
        <v>3600</v>
      </c>
      <c r="B1723" s="79" t="s">
        <v>3601</v>
      </c>
      <c r="C1723" s="79">
        <v>600924134</v>
      </c>
      <c r="D1723" s="79">
        <v>0</v>
      </c>
      <c r="E1723" s="79" t="s">
        <v>1124</v>
      </c>
      <c r="F1723" s="79" t="s">
        <v>2539</v>
      </c>
      <c r="G1723" s="79" t="s">
        <v>2546</v>
      </c>
      <c r="H1723" s="79" t="s">
        <v>2547</v>
      </c>
      <c r="I1723" s="79"/>
    </row>
    <row r="1724" spans="1:9" ht="15">
      <c r="A1724" s="79" t="s">
        <v>3600</v>
      </c>
      <c r="B1724" s="79" t="s">
        <v>3601</v>
      </c>
      <c r="C1724" s="79">
        <v>600924134</v>
      </c>
      <c r="D1724" s="79">
        <v>0</v>
      </c>
      <c r="E1724" s="79" t="s">
        <v>1124</v>
      </c>
      <c r="F1724" s="79" t="s">
        <v>2539</v>
      </c>
      <c r="G1724" s="79" t="s">
        <v>2581</v>
      </c>
      <c r="H1724" s="79"/>
      <c r="I1724" s="79"/>
    </row>
    <row r="1725" spans="1:9" ht="15">
      <c r="A1725" s="79" t="s">
        <v>3602</v>
      </c>
      <c r="B1725" s="79" t="s">
        <v>3603</v>
      </c>
      <c r="C1725" s="79">
        <v>600966734</v>
      </c>
      <c r="D1725" s="79">
        <v>0</v>
      </c>
      <c r="E1725" s="79" t="s">
        <v>1124</v>
      </c>
      <c r="F1725" s="79" t="s">
        <v>2539</v>
      </c>
      <c r="G1725" s="79" t="s">
        <v>1130</v>
      </c>
      <c r="H1725" s="79"/>
      <c r="I1725" s="79"/>
    </row>
    <row r="1726" spans="1:9" ht="15">
      <c r="A1726" s="79" t="s">
        <v>3602</v>
      </c>
      <c r="B1726" s="79" t="s">
        <v>3603</v>
      </c>
      <c r="C1726" s="79">
        <v>600966734</v>
      </c>
      <c r="D1726" s="79">
        <v>0</v>
      </c>
      <c r="E1726" s="79" t="s">
        <v>1124</v>
      </c>
      <c r="F1726" s="79" t="s">
        <v>2539</v>
      </c>
      <c r="G1726" s="79" t="s">
        <v>1131</v>
      </c>
      <c r="H1726" s="79" t="s">
        <v>1132</v>
      </c>
      <c r="I1726" s="79"/>
    </row>
    <row r="1727" spans="1:9" ht="15">
      <c r="A1727" s="79" t="s">
        <v>3602</v>
      </c>
      <c r="B1727" s="79" t="s">
        <v>3603</v>
      </c>
      <c r="C1727" s="79">
        <v>600966734</v>
      </c>
      <c r="D1727" s="79">
        <v>0</v>
      </c>
      <c r="E1727" s="79" t="s">
        <v>1124</v>
      </c>
      <c r="F1727" s="79" t="s">
        <v>2539</v>
      </c>
      <c r="G1727" s="79" t="s">
        <v>2578</v>
      </c>
      <c r="H1727" s="79"/>
      <c r="I1727" s="79"/>
    </row>
    <row r="1728" spans="1:9" ht="15">
      <c r="A1728" s="79" t="s">
        <v>3604</v>
      </c>
      <c r="B1728" s="79" t="s">
        <v>3605</v>
      </c>
      <c r="C1728" s="79">
        <v>600967334</v>
      </c>
      <c r="D1728" s="79">
        <v>0</v>
      </c>
      <c r="E1728" s="79" t="s">
        <v>1124</v>
      </c>
      <c r="F1728" s="79" t="s">
        <v>2539</v>
      </c>
      <c r="G1728" s="79" t="s">
        <v>2546</v>
      </c>
      <c r="H1728" s="79" t="s">
        <v>2547</v>
      </c>
      <c r="I1728" s="79"/>
    </row>
    <row r="1729" spans="1:9" ht="15">
      <c r="A1729" s="79" t="s">
        <v>3604</v>
      </c>
      <c r="B1729" s="79" t="s">
        <v>3605</v>
      </c>
      <c r="C1729" s="79">
        <v>600967334</v>
      </c>
      <c r="D1729" s="79">
        <v>0</v>
      </c>
      <c r="E1729" s="79" t="s">
        <v>1124</v>
      </c>
      <c r="F1729" s="79" t="s">
        <v>2539</v>
      </c>
      <c r="G1729" s="79" t="s">
        <v>2581</v>
      </c>
      <c r="H1729" s="79"/>
      <c r="I1729" s="79"/>
    </row>
    <row r="1730" spans="1:9" ht="15">
      <c r="A1730" s="79" t="s">
        <v>3606</v>
      </c>
      <c r="B1730" s="79" t="s">
        <v>3607</v>
      </c>
      <c r="C1730" s="79">
        <v>601009934</v>
      </c>
      <c r="D1730" s="79">
        <v>0</v>
      </c>
      <c r="E1730" s="79" t="s">
        <v>1124</v>
      </c>
      <c r="F1730" s="79" t="s">
        <v>2539</v>
      </c>
      <c r="G1730" s="79" t="s">
        <v>1130</v>
      </c>
      <c r="H1730" s="79"/>
      <c r="I1730" s="79"/>
    </row>
    <row r="1731" spans="1:9" ht="15">
      <c r="A1731" s="79" t="s">
        <v>3606</v>
      </c>
      <c r="B1731" s="79" t="s">
        <v>3607</v>
      </c>
      <c r="C1731" s="79">
        <v>601009934</v>
      </c>
      <c r="D1731" s="79">
        <v>0</v>
      </c>
      <c r="E1731" s="79" t="s">
        <v>1124</v>
      </c>
      <c r="F1731" s="79" t="s">
        <v>2539</v>
      </c>
      <c r="G1731" s="79" t="s">
        <v>1131</v>
      </c>
      <c r="H1731" s="79" t="s">
        <v>1132</v>
      </c>
      <c r="I1731" s="79"/>
    </row>
    <row r="1732" spans="1:9" ht="15">
      <c r="A1732" s="79" t="s">
        <v>3606</v>
      </c>
      <c r="B1732" s="79" t="s">
        <v>3607</v>
      </c>
      <c r="C1732" s="79">
        <v>601009934</v>
      </c>
      <c r="D1732" s="79">
        <v>0</v>
      </c>
      <c r="E1732" s="79" t="s">
        <v>1124</v>
      </c>
      <c r="F1732" s="79" t="s">
        <v>2539</v>
      </c>
      <c r="G1732" s="79" t="s">
        <v>2578</v>
      </c>
      <c r="H1732" s="79"/>
      <c r="I1732" s="79"/>
    </row>
    <row r="1733" spans="1:9" ht="15">
      <c r="A1733" s="79" t="s">
        <v>3608</v>
      </c>
      <c r="B1733" s="79" t="s">
        <v>3609</v>
      </c>
      <c r="C1733" s="79">
        <v>601010534</v>
      </c>
      <c r="D1733" s="79">
        <v>0</v>
      </c>
      <c r="E1733" s="79" t="s">
        <v>1124</v>
      </c>
      <c r="F1733" s="79" t="s">
        <v>2539</v>
      </c>
      <c r="G1733" s="79" t="s">
        <v>2546</v>
      </c>
      <c r="H1733" s="79" t="s">
        <v>2547</v>
      </c>
      <c r="I1733" s="79"/>
    </row>
    <row r="1734" spans="1:9" ht="15">
      <c r="A1734" s="79" t="s">
        <v>3608</v>
      </c>
      <c r="B1734" s="79" t="s">
        <v>3609</v>
      </c>
      <c r="C1734" s="79">
        <v>601010534</v>
      </c>
      <c r="D1734" s="79">
        <v>0</v>
      </c>
      <c r="E1734" s="79" t="s">
        <v>1124</v>
      </c>
      <c r="F1734" s="79" t="s">
        <v>2539</v>
      </c>
      <c r="G1734" s="79" t="s">
        <v>2581</v>
      </c>
      <c r="H1734" s="79"/>
      <c r="I1734" s="79"/>
    </row>
    <row r="1735" spans="1:9" ht="15">
      <c r="A1735" s="79" t="s">
        <v>3610</v>
      </c>
      <c r="B1735" s="79" t="s">
        <v>3611</v>
      </c>
      <c r="C1735" s="79">
        <v>601053134</v>
      </c>
      <c r="D1735" s="79">
        <v>0</v>
      </c>
      <c r="E1735" s="79" t="s">
        <v>1124</v>
      </c>
      <c r="F1735" s="79" t="s">
        <v>2539</v>
      </c>
      <c r="G1735" s="79" t="s">
        <v>1130</v>
      </c>
      <c r="H1735" s="79"/>
      <c r="I1735" s="79"/>
    </row>
    <row r="1736" spans="1:9" ht="15">
      <c r="A1736" s="79" t="s">
        <v>3610</v>
      </c>
      <c r="B1736" s="79" t="s">
        <v>3611</v>
      </c>
      <c r="C1736" s="79">
        <v>601053134</v>
      </c>
      <c r="D1736" s="79">
        <v>0</v>
      </c>
      <c r="E1736" s="79" t="s">
        <v>1124</v>
      </c>
      <c r="F1736" s="79" t="s">
        <v>2539</v>
      </c>
      <c r="G1736" s="79" t="s">
        <v>1131</v>
      </c>
      <c r="H1736" s="79" t="s">
        <v>1132</v>
      </c>
      <c r="I1736" s="79"/>
    </row>
    <row r="1737" spans="1:9" ht="15">
      <c r="A1737" s="79" t="s">
        <v>3610</v>
      </c>
      <c r="B1737" s="79" t="s">
        <v>3611</v>
      </c>
      <c r="C1737" s="79">
        <v>601053134</v>
      </c>
      <c r="D1737" s="79">
        <v>0</v>
      </c>
      <c r="E1737" s="79" t="s">
        <v>1124</v>
      </c>
      <c r="F1737" s="79" t="s">
        <v>2539</v>
      </c>
      <c r="G1737" s="79" t="s">
        <v>2578</v>
      </c>
      <c r="H1737" s="79"/>
      <c r="I1737" s="79"/>
    </row>
    <row r="1738" spans="1:9" ht="15">
      <c r="A1738" s="79" t="s">
        <v>3612</v>
      </c>
      <c r="B1738" s="79" t="s">
        <v>3613</v>
      </c>
      <c r="C1738" s="79">
        <v>601053734</v>
      </c>
      <c r="D1738" s="79">
        <v>0</v>
      </c>
      <c r="E1738" s="79" t="s">
        <v>1124</v>
      </c>
      <c r="F1738" s="79" t="s">
        <v>2539</v>
      </c>
      <c r="G1738" s="79" t="s">
        <v>2546</v>
      </c>
      <c r="H1738" s="79" t="s">
        <v>2547</v>
      </c>
      <c r="I1738" s="79"/>
    </row>
    <row r="1739" spans="1:9" ht="15">
      <c r="A1739" s="79" t="s">
        <v>3612</v>
      </c>
      <c r="B1739" s="79" t="s">
        <v>3613</v>
      </c>
      <c r="C1739" s="79">
        <v>601053734</v>
      </c>
      <c r="D1739" s="79">
        <v>0</v>
      </c>
      <c r="E1739" s="79" t="s">
        <v>1124</v>
      </c>
      <c r="F1739" s="79" t="s">
        <v>2539</v>
      </c>
      <c r="G1739" s="79" t="s">
        <v>2581</v>
      </c>
      <c r="H1739" s="79"/>
      <c r="I1739" s="79"/>
    </row>
    <row r="1740" spans="1:9" ht="15">
      <c r="A1740" s="79" t="s">
        <v>3614</v>
      </c>
      <c r="B1740" s="79" t="s">
        <v>3615</v>
      </c>
      <c r="C1740" s="79">
        <v>601096334</v>
      </c>
      <c r="D1740" s="79">
        <v>0</v>
      </c>
      <c r="E1740" s="79" t="s">
        <v>1124</v>
      </c>
      <c r="F1740" s="79" t="s">
        <v>2539</v>
      </c>
      <c r="G1740" s="79" t="s">
        <v>1130</v>
      </c>
      <c r="H1740" s="79"/>
      <c r="I1740" s="79"/>
    </row>
    <row r="1741" spans="1:9" ht="15">
      <c r="A1741" s="79" t="s">
        <v>3614</v>
      </c>
      <c r="B1741" s="79" t="s">
        <v>3615</v>
      </c>
      <c r="C1741" s="79">
        <v>601096334</v>
      </c>
      <c r="D1741" s="79">
        <v>0</v>
      </c>
      <c r="E1741" s="79" t="s">
        <v>1124</v>
      </c>
      <c r="F1741" s="79" t="s">
        <v>2539</v>
      </c>
      <c r="G1741" s="79" t="s">
        <v>1131</v>
      </c>
      <c r="H1741" s="79" t="s">
        <v>1132</v>
      </c>
      <c r="I1741" s="79"/>
    </row>
    <row r="1742" spans="1:9" ht="15">
      <c r="A1742" s="79" t="s">
        <v>3614</v>
      </c>
      <c r="B1742" s="79" t="s">
        <v>3615</v>
      </c>
      <c r="C1742" s="79">
        <v>601096334</v>
      </c>
      <c r="D1742" s="79">
        <v>0</v>
      </c>
      <c r="E1742" s="79" t="s">
        <v>1124</v>
      </c>
      <c r="F1742" s="79" t="s">
        <v>2539</v>
      </c>
      <c r="G1742" s="79" t="s">
        <v>2578</v>
      </c>
      <c r="H1742" s="79"/>
      <c r="I1742" s="79"/>
    </row>
    <row r="1743" spans="1:9" ht="15">
      <c r="A1743" s="79" t="s">
        <v>3616</v>
      </c>
      <c r="B1743" s="79" t="s">
        <v>3617</v>
      </c>
      <c r="C1743" s="79">
        <v>601096934</v>
      </c>
      <c r="D1743" s="79">
        <v>0</v>
      </c>
      <c r="E1743" s="79" t="s">
        <v>1124</v>
      </c>
      <c r="F1743" s="79" t="s">
        <v>2539</v>
      </c>
      <c r="G1743" s="79" t="s">
        <v>2546</v>
      </c>
      <c r="H1743" s="79" t="s">
        <v>2547</v>
      </c>
      <c r="I1743" s="79"/>
    </row>
    <row r="1744" spans="1:9" ht="15">
      <c r="A1744" s="79" t="s">
        <v>3616</v>
      </c>
      <c r="B1744" s="79" t="s">
        <v>3617</v>
      </c>
      <c r="C1744" s="79">
        <v>601096934</v>
      </c>
      <c r="D1744" s="79">
        <v>0</v>
      </c>
      <c r="E1744" s="79" t="s">
        <v>1124</v>
      </c>
      <c r="F1744" s="79" t="s">
        <v>2539</v>
      </c>
      <c r="G1744" s="79" t="s">
        <v>2581</v>
      </c>
      <c r="H1744" s="79"/>
      <c r="I1744" s="79"/>
    </row>
    <row r="1745" spans="1:9" ht="15">
      <c r="A1745" s="79" t="s">
        <v>3618</v>
      </c>
      <c r="B1745" s="79" t="s">
        <v>3619</v>
      </c>
      <c r="C1745" s="79">
        <v>601139534</v>
      </c>
      <c r="D1745" s="79">
        <v>0</v>
      </c>
      <c r="E1745" s="79" t="s">
        <v>1124</v>
      </c>
      <c r="F1745" s="79" t="s">
        <v>2539</v>
      </c>
      <c r="G1745" s="79" t="s">
        <v>1130</v>
      </c>
      <c r="H1745" s="79"/>
      <c r="I1745" s="79"/>
    </row>
    <row r="1746" spans="1:9" ht="15">
      <c r="A1746" s="79" t="s">
        <v>3618</v>
      </c>
      <c r="B1746" s="79" t="s">
        <v>3619</v>
      </c>
      <c r="C1746" s="79">
        <v>601139534</v>
      </c>
      <c r="D1746" s="79">
        <v>0</v>
      </c>
      <c r="E1746" s="79" t="s">
        <v>1124</v>
      </c>
      <c r="F1746" s="79" t="s">
        <v>2539</v>
      </c>
      <c r="G1746" s="79" t="s">
        <v>1131</v>
      </c>
      <c r="H1746" s="79" t="s">
        <v>1132</v>
      </c>
      <c r="I1746" s="79"/>
    </row>
    <row r="1747" spans="1:9" ht="15">
      <c r="A1747" s="79" t="s">
        <v>3618</v>
      </c>
      <c r="B1747" s="79" t="s">
        <v>3619</v>
      </c>
      <c r="C1747" s="79">
        <v>601139534</v>
      </c>
      <c r="D1747" s="79">
        <v>0</v>
      </c>
      <c r="E1747" s="79" t="s">
        <v>1124</v>
      </c>
      <c r="F1747" s="79" t="s">
        <v>2539</v>
      </c>
      <c r="G1747" s="79" t="s">
        <v>2578</v>
      </c>
      <c r="H1747" s="79"/>
      <c r="I1747" s="79"/>
    </row>
    <row r="1748" spans="1:9" ht="15">
      <c r="A1748" s="79" t="s">
        <v>3620</v>
      </c>
      <c r="B1748" s="79" t="s">
        <v>3621</v>
      </c>
      <c r="C1748" s="79">
        <v>601140134</v>
      </c>
      <c r="D1748" s="79">
        <v>0</v>
      </c>
      <c r="E1748" s="79" t="s">
        <v>1124</v>
      </c>
      <c r="F1748" s="79" t="s">
        <v>2539</v>
      </c>
      <c r="G1748" s="79" t="s">
        <v>2546</v>
      </c>
      <c r="H1748" s="79" t="s">
        <v>2547</v>
      </c>
      <c r="I1748" s="79"/>
    </row>
    <row r="1749" spans="1:9" ht="15">
      <c r="A1749" s="79" t="s">
        <v>3620</v>
      </c>
      <c r="B1749" s="79" t="s">
        <v>3621</v>
      </c>
      <c r="C1749" s="79">
        <v>601140134</v>
      </c>
      <c r="D1749" s="79">
        <v>0</v>
      </c>
      <c r="E1749" s="79" t="s">
        <v>1124</v>
      </c>
      <c r="F1749" s="79" t="s">
        <v>2539</v>
      </c>
      <c r="G1749" s="79" t="s">
        <v>2581</v>
      </c>
      <c r="H1749" s="79"/>
      <c r="I1749" s="79"/>
    </row>
    <row r="1750" spans="1:9" ht="15">
      <c r="A1750" s="79" t="s">
        <v>3622</v>
      </c>
      <c r="B1750" s="79" t="s">
        <v>3623</v>
      </c>
      <c r="C1750" s="79">
        <v>601182734</v>
      </c>
      <c r="D1750" s="79">
        <v>0</v>
      </c>
      <c r="E1750" s="79" t="s">
        <v>1124</v>
      </c>
      <c r="F1750" s="79" t="s">
        <v>2539</v>
      </c>
      <c r="G1750" s="79" t="s">
        <v>1130</v>
      </c>
      <c r="H1750" s="79"/>
      <c r="I1750" s="79"/>
    </row>
    <row r="1751" spans="1:9" ht="15">
      <c r="A1751" s="79" t="s">
        <v>3622</v>
      </c>
      <c r="B1751" s="79" t="s">
        <v>3623</v>
      </c>
      <c r="C1751" s="79">
        <v>601182734</v>
      </c>
      <c r="D1751" s="79">
        <v>0</v>
      </c>
      <c r="E1751" s="79" t="s">
        <v>1124</v>
      </c>
      <c r="F1751" s="79" t="s">
        <v>2539</v>
      </c>
      <c r="G1751" s="79" t="s">
        <v>1131</v>
      </c>
      <c r="H1751" s="79" t="s">
        <v>1132</v>
      </c>
      <c r="I1751" s="79"/>
    </row>
    <row r="1752" spans="1:9" ht="15">
      <c r="A1752" s="79" t="s">
        <v>3622</v>
      </c>
      <c r="B1752" s="79" t="s">
        <v>3623</v>
      </c>
      <c r="C1752" s="79">
        <v>601182734</v>
      </c>
      <c r="D1752" s="79">
        <v>0</v>
      </c>
      <c r="E1752" s="79" t="s">
        <v>1124</v>
      </c>
      <c r="F1752" s="79" t="s">
        <v>2539</v>
      </c>
      <c r="G1752" s="79" t="s">
        <v>2578</v>
      </c>
      <c r="H1752" s="79"/>
      <c r="I1752" s="79"/>
    </row>
    <row r="1753" spans="1:9" ht="15">
      <c r="A1753" s="79" t="s">
        <v>3624</v>
      </c>
      <c r="B1753" s="79" t="s">
        <v>3625</v>
      </c>
      <c r="C1753" s="79">
        <v>601183334</v>
      </c>
      <c r="D1753" s="79">
        <v>0</v>
      </c>
      <c r="E1753" s="79" t="s">
        <v>1124</v>
      </c>
      <c r="F1753" s="79" t="s">
        <v>2539</v>
      </c>
      <c r="G1753" s="79" t="s">
        <v>2546</v>
      </c>
      <c r="H1753" s="79" t="s">
        <v>2547</v>
      </c>
      <c r="I1753" s="79"/>
    </row>
    <row r="1754" spans="1:9" ht="15">
      <c r="A1754" s="79" t="s">
        <v>3624</v>
      </c>
      <c r="B1754" s="79" t="s">
        <v>3625</v>
      </c>
      <c r="C1754" s="79">
        <v>601183334</v>
      </c>
      <c r="D1754" s="79">
        <v>0</v>
      </c>
      <c r="E1754" s="79" t="s">
        <v>1124</v>
      </c>
      <c r="F1754" s="79" t="s">
        <v>2539</v>
      </c>
      <c r="G1754" s="79" t="s">
        <v>2581</v>
      </c>
      <c r="H1754" s="79"/>
      <c r="I1754" s="79"/>
    </row>
    <row r="1755" spans="1:9" ht="15">
      <c r="A1755" s="79" t="s">
        <v>3626</v>
      </c>
      <c r="B1755" s="79" t="s">
        <v>3627</v>
      </c>
      <c r="C1755" s="79">
        <v>601225934</v>
      </c>
      <c r="D1755" s="79">
        <v>0</v>
      </c>
      <c r="E1755" s="79" t="s">
        <v>1124</v>
      </c>
      <c r="F1755" s="79" t="s">
        <v>2539</v>
      </c>
      <c r="G1755" s="79" t="s">
        <v>1130</v>
      </c>
      <c r="H1755" s="79"/>
      <c r="I1755" s="79"/>
    </row>
    <row r="1756" spans="1:9" ht="15">
      <c r="A1756" s="79" t="s">
        <v>3626</v>
      </c>
      <c r="B1756" s="79" t="s">
        <v>3627</v>
      </c>
      <c r="C1756" s="79">
        <v>601225934</v>
      </c>
      <c r="D1756" s="79">
        <v>0</v>
      </c>
      <c r="E1756" s="79" t="s">
        <v>1124</v>
      </c>
      <c r="F1756" s="79" t="s">
        <v>2539</v>
      </c>
      <c r="G1756" s="79" t="s">
        <v>1131</v>
      </c>
      <c r="H1756" s="79" t="s">
        <v>1132</v>
      </c>
      <c r="I1756" s="79"/>
    </row>
    <row r="1757" spans="1:9" ht="15">
      <c r="A1757" s="79" t="s">
        <v>3626</v>
      </c>
      <c r="B1757" s="79" t="s">
        <v>3627</v>
      </c>
      <c r="C1757" s="79">
        <v>601225934</v>
      </c>
      <c r="D1757" s="79">
        <v>0</v>
      </c>
      <c r="E1757" s="79" t="s">
        <v>1124</v>
      </c>
      <c r="F1757" s="79" t="s">
        <v>2539</v>
      </c>
      <c r="G1757" s="79" t="s">
        <v>2578</v>
      </c>
      <c r="H1757" s="79"/>
      <c r="I1757" s="79"/>
    </row>
    <row r="1758" spans="1:9" ht="15">
      <c r="A1758" s="79" t="s">
        <v>3628</v>
      </c>
      <c r="B1758" s="79" t="s">
        <v>3629</v>
      </c>
      <c r="C1758" s="79">
        <v>601226534</v>
      </c>
      <c r="D1758" s="79">
        <v>0</v>
      </c>
      <c r="E1758" s="79" t="s">
        <v>1124</v>
      </c>
      <c r="F1758" s="79" t="s">
        <v>2539</v>
      </c>
      <c r="G1758" s="79" t="s">
        <v>2546</v>
      </c>
      <c r="H1758" s="79" t="s">
        <v>2547</v>
      </c>
      <c r="I1758" s="79"/>
    </row>
    <row r="1759" spans="1:9" ht="15">
      <c r="A1759" s="79" t="s">
        <v>3628</v>
      </c>
      <c r="B1759" s="79" t="s">
        <v>3629</v>
      </c>
      <c r="C1759" s="79">
        <v>601226534</v>
      </c>
      <c r="D1759" s="79">
        <v>0</v>
      </c>
      <c r="E1759" s="79" t="s">
        <v>1124</v>
      </c>
      <c r="F1759" s="79" t="s">
        <v>2539</v>
      </c>
      <c r="G1759" s="79" t="s">
        <v>2581</v>
      </c>
      <c r="H1759" s="79"/>
      <c r="I1759" s="79"/>
    </row>
    <row r="1760" spans="1:9" ht="15">
      <c r="A1760" s="79" t="s">
        <v>3630</v>
      </c>
      <c r="B1760" s="79" t="s">
        <v>3631</v>
      </c>
      <c r="C1760" s="79">
        <v>601269134</v>
      </c>
      <c r="D1760" s="79">
        <v>0</v>
      </c>
      <c r="E1760" s="79" t="s">
        <v>1124</v>
      </c>
      <c r="F1760" s="79" t="s">
        <v>2539</v>
      </c>
      <c r="G1760" s="79" t="s">
        <v>1130</v>
      </c>
      <c r="H1760" s="79"/>
      <c r="I1760" s="79"/>
    </row>
    <row r="1761" spans="1:9" ht="15">
      <c r="A1761" s="79" t="s">
        <v>3630</v>
      </c>
      <c r="B1761" s="79" t="s">
        <v>3631</v>
      </c>
      <c r="C1761" s="79">
        <v>601269134</v>
      </c>
      <c r="D1761" s="79">
        <v>0</v>
      </c>
      <c r="E1761" s="79" t="s">
        <v>1124</v>
      </c>
      <c r="F1761" s="79" t="s">
        <v>2539</v>
      </c>
      <c r="G1761" s="79" t="s">
        <v>1131</v>
      </c>
      <c r="H1761" s="79" t="s">
        <v>1132</v>
      </c>
      <c r="I1761" s="79"/>
    </row>
    <row r="1762" spans="1:9" ht="15">
      <c r="A1762" s="79" t="s">
        <v>3630</v>
      </c>
      <c r="B1762" s="79" t="s">
        <v>3631</v>
      </c>
      <c r="C1762" s="79">
        <v>601269134</v>
      </c>
      <c r="D1762" s="79">
        <v>0</v>
      </c>
      <c r="E1762" s="79" t="s">
        <v>1124</v>
      </c>
      <c r="F1762" s="79" t="s">
        <v>2539</v>
      </c>
      <c r="G1762" s="79" t="s">
        <v>2578</v>
      </c>
      <c r="H1762" s="79"/>
      <c r="I1762" s="79"/>
    </row>
    <row r="1763" spans="1:9" ht="15">
      <c r="A1763" s="79" t="s">
        <v>3632</v>
      </c>
      <c r="B1763" s="79" t="s">
        <v>3633</v>
      </c>
      <c r="C1763" s="79">
        <v>601269734</v>
      </c>
      <c r="D1763" s="79">
        <v>0</v>
      </c>
      <c r="E1763" s="79" t="s">
        <v>1124</v>
      </c>
      <c r="F1763" s="79" t="s">
        <v>2539</v>
      </c>
      <c r="G1763" s="79" t="s">
        <v>2546</v>
      </c>
      <c r="H1763" s="79" t="s">
        <v>2547</v>
      </c>
      <c r="I1763" s="79"/>
    </row>
    <row r="1764" spans="1:9" ht="15">
      <c r="A1764" s="79" t="s">
        <v>3632</v>
      </c>
      <c r="B1764" s="79" t="s">
        <v>3633</v>
      </c>
      <c r="C1764" s="79">
        <v>601269734</v>
      </c>
      <c r="D1764" s="79">
        <v>0</v>
      </c>
      <c r="E1764" s="79" t="s">
        <v>1124</v>
      </c>
      <c r="F1764" s="79" t="s">
        <v>2539</v>
      </c>
      <c r="G1764" s="79" t="s">
        <v>2581</v>
      </c>
      <c r="H1764" s="79"/>
      <c r="I1764" s="79"/>
    </row>
    <row r="1765" spans="1:9" ht="15">
      <c r="A1765" s="79" t="s">
        <v>3634</v>
      </c>
      <c r="B1765" s="79" t="s">
        <v>3635</v>
      </c>
      <c r="C1765" s="79">
        <v>601312334</v>
      </c>
      <c r="D1765" s="79">
        <v>0</v>
      </c>
      <c r="E1765" s="79" t="s">
        <v>1124</v>
      </c>
      <c r="F1765" s="79" t="s">
        <v>2539</v>
      </c>
      <c r="G1765" s="79" t="s">
        <v>1130</v>
      </c>
      <c r="H1765" s="79"/>
      <c r="I1765" s="79"/>
    </row>
    <row r="1766" spans="1:9" ht="15">
      <c r="A1766" s="79" t="s">
        <v>3634</v>
      </c>
      <c r="B1766" s="79" t="s">
        <v>3635</v>
      </c>
      <c r="C1766" s="79">
        <v>601312334</v>
      </c>
      <c r="D1766" s="79">
        <v>0</v>
      </c>
      <c r="E1766" s="79" t="s">
        <v>1124</v>
      </c>
      <c r="F1766" s="79" t="s">
        <v>2539</v>
      </c>
      <c r="G1766" s="79" t="s">
        <v>1131</v>
      </c>
      <c r="H1766" s="79" t="s">
        <v>1132</v>
      </c>
      <c r="I1766" s="79"/>
    </row>
    <row r="1767" spans="1:9" ht="15">
      <c r="A1767" s="79" t="s">
        <v>3634</v>
      </c>
      <c r="B1767" s="79" t="s">
        <v>3635</v>
      </c>
      <c r="C1767" s="79">
        <v>601312334</v>
      </c>
      <c r="D1767" s="79">
        <v>0</v>
      </c>
      <c r="E1767" s="79" t="s">
        <v>1124</v>
      </c>
      <c r="F1767" s="79" t="s">
        <v>2539</v>
      </c>
      <c r="G1767" s="79" t="s">
        <v>2578</v>
      </c>
      <c r="H1767" s="79"/>
      <c r="I1767" s="79"/>
    </row>
    <row r="1768" spans="1:9" ht="15">
      <c r="A1768" s="79" t="s">
        <v>3636</v>
      </c>
      <c r="B1768" s="79" t="s">
        <v>3637</v>
      </c>
      <c r="C1768" s="79">
        <v>601312934</v>
      </c>
      <c r="D1768" s="79">
        <v>0</v>
      </c>
      <c r="E1768" s="79" t="s">
        <v>1124</v>
      </c>
      <c r="F1768" s="79" t="s">
        <v>2539</v>
      </c>
      <c r="G1768" s="79" t="s">
        <v>2546</v>
      </c>
      <c r="H1768" s="79" t="s">
        <v>2547</v>
      </c>
      <c r="I1768" s="79"/>
    </row>
    <row r="1769" spans="1:9" ht="15">
      <c r="A1769" s="79" t="s">
        <v>3636</v>
      </c>
      <c r="B1769" s="79" t="s">
        <v>3637</v>
      </c>
      <c r="C1769" s="79">
        <v>601312934</v>
      </c>
      <c r="D1769" s="79">
        <v>0</v>
      </c>
      <c r="E1769" s="79" t="s">
        <v>1124</v>
      </c>
      <c r="F1769" s="79" t="s">
        <v>2539</v>
      </c>
      <c r="G1769" s="79" t="s">
        <v>2581</v>
      </c>
      <c r="H1769" s="79"/>
      <c r="I1769" s="79"/>
    </row>
    <row r="1770" spans="1:9" ht="15">
      <c r="A1770" s="79" t="s">
        <v>3638</v>
      </c>
      <c r="B1770" s="79" t="s">
        <v>3639</v>
      </c>
      <c r="C1770" s="79">
        <v>601355534</v>
      </c>
      <c r="D1770" s="79">
        <v>0</v>
      </c>
      <c r="E1770" s="79" t="s">
        <v>1124</v>
      </c>
      <c r="F1770" s="79" t="s">
        <v>2539</v>
      </c>
      <c r="G1770" s="79" t="s">
        <v>1130</v>
      </c>
      <c r="H1770" s="79"/>
      <c r="I1770" s="79"/>
    </row>
    <row r="1771" spans="1:9" ht="15">
      <c r="A1771" s="79" t="s">
        <v>3638</v>
      </c>
      <c r="B1771" s="79" t="s">
        <v>3639</v>
      </c>
      <c r="C1771" s="79">
        <v>601355534</v>
      </c>
      <c r="D1771" s="79">
        <v>0</v>
      </c>
      <c r="E1771" s="79" t="s">
        <v>1124</v>
      </c>
      <c r="F1771" s="79" t="s">
        <v>2539</v>
      </c>
      <c r="G1771" s="79" t="s">
        <v>1131</v>
      </c>
      <c r="H1771" s="79" t="s">
        <v>1132</v>
      </c>
      <c r="I1771" s="79"/>
    </row>
    <row r="1772" spans="1:9" ht="15">
      <c r="A1772" s="79" t="s">
        <v>3638</v>
      </c>
      <c r="B1772" s="79" t="s">
        <v>3639</v>
      </c>
      <c r="C1772" s="79">
        <v>601355534</v>
      </c>
      <c r="D1772" s="79">
        <v>0</v>
      </c>
      <c r="E1772" s="79" t="s">
        <v>1124</v>
      </c>
      <c r="F1772" s="79" t="s">
        <v>2539</v>
      </c>
      <c r="G1772" s="79" t="s">
        <v>2578</v>
      </c>
      <c r="H1772" s="79"/>
      <c r="I1772" s="79"/>
    </row>
    <row r="1773" spans="1:9" ht="15">
      <c r="A1773" s="79" t="s">
        <v>3640</v>
      </c>
      <c r="B1773" s="79" t="s">
        <v>3641</v>
      </c>
      <c r="C1773" s="79">
        <v>601356134</v>
      </c>
      <c r="D1773" s="79">
        <v>0</v>
      </c>
      <c r="E1773" s="79" t="s">
        <v>1124</v>
      </c>
      <c r="F1773" s="79" t="s">
        <v>2539</v>
      </c>
      <c r="G1773" s="79" t="s">
        <v>2546</v>
      </c>
      <c r="H1773" s="79" t="s">
        <v>2547</v>
      </c>
      <c r="I1773" s="79"/>
    </row>
    <row r="1774" spans="1:9" ht="15">
      <c r="A1774" s="79" t="s">
        <v>3640</v>
      </c>
      <c r="B1774" s="79" t="s">
        <v>3641</v>
      </c>
      <c r="C1774" s="79">
        <v>601356134</v>
      </c>
      <c r="D1774" s="79">
        <v>0</v>
      </c>
      <c r="E1774" s="79" t="s">
        <v>1124</v>
      </c>
      <c r="F1774" s="79" t="s">
        <v>2539</v>
      </c>
      <c r="G1774" s="79" t="s">
        <v>2581</v>
      </c>
      <c r="H1774" s="79"/>
      <c r="I1774" s="79"/>
    </row>
    <row r="1775" spans="1:9" ht="15">
      <c r="A1775" s="79" t="s">
        <v>3642</v>
      </c>
      <c r="B1775" s="79" t="s">
        <v>3643</v>
      </c>
      <c r="C1775" s="79">
        <v>601398734</v>
      </c>
      <c r="D1775" s="79">
        <v>0</v>
      </c>
      <c r="E1775" s="79" t="s">
        <v>1124</v>
      </c>
      <c r="F1775" s="79" t="s">
        <v>2539</v>
      </c>
      <c r="G1775" s="79" t="s">
        <v>1130</v>
      </c>
      <c r="H1775" s="79"/>
      <c r="I1775" s="79"/>
    </row>
    <row r="1776" spans="1:9" ht="15">
      <c r="A1776" s="79" t="s">
        <v>3642</v>
      </c>
      <c r="B1776" s="79" t="s">
        <v>3643</v>
      </c>
      <c r="C1776" s="79">
        <v>601398734</v>
      </c>
      <c r="D1776" s="79">
        <v>0</v>
      </c>
      <c r="E1776" s="79" t="s">
        <v>1124</v>
      </c>
      <c r="F1776" s="79" t="s">
        <v>2539</v>
      </c>
      <c r="G1776" s="79" t="s">
        <v>1131</v>
      </c>
      <c r="H1776" s="79" t="s">
        <v>1132</v>
      </c>
      <c r="I1776" s="79"/>
    </row>
    <row r="1777" spans="1:9" ht="15">
      <c r="A1777" s="79" t="s">
        <v>3642</v>
      </c>
      <c r="B1777" s="79" t="s">
        <v>3643</v>
      </c>
      <c r="C1777" s="79">
        <v>601398734</v>
      </c>
      <c r="D1777" s="79">
        <v>0</v>
      </c>
      <c r="E1777" s="79" t="s">
        <v>1124</v>
      </c>
      <c r="F1777" s="79" t="s">
        <v>2539</v>
      </c>
      <c r="G1777" s="79" t="s">
        <v>2578</v>
      </c>
      <c r="H1777" s="79"/>
      <c r="I1777" s="79"/>
    </row>
    <row r="1778" spans="1:9" ht="15">
      <c r="A1778" s="79" t="s">
        <v>3644</v>
      </c>
      <c r="B1778" s="79" t="s">
        <v>3645</v>
      </c>
      <c r="C1778" s="79">
        <v>601399334</v>
      </c>
      <c r="D1778" s="79">
        <v>0</v>
      </c>
      <c r="E1778" s="79" t="s">
        <v>1124</v>
      </c>
      <c r="F1778" s="79" t="s">
        <v>2539</v>
      </c>
      <c r="G1778" s="79" t="s">
        <v>2546</v>
      </c>
      <c r="H1778" s="79" t="s">
        <v>2547</v>
      </c>
      <c r="I1778" s="79"/>
    </row>
    <row r="1779" spans="1:9" ht="15">
      <c r="A1779" s="79" t="s">
        <v>3644</v>
      </c>
      <c r="B1779" s="79" t="s">
        <v>3645</v>
      </c>
      <c r="C1779" s="79">
        <v>601399334</v>
      </c>
      <c r="D1779" s="79">
        <v>0</v>
      </c>
      <c r="E1779" s="79" t="s">
        <v>1124</v>
      </c>
      <c r="F1779" s="79" t="s">
        <v>2539</v>
      </c>
      <c r="G1779" s="79" t="s">
        <v>2581</v>
      </c>
      <c r="H1779" s="79"/>
      <c r="I1779" s="79"/>
    </row>
    <row r="1780" spans="1:9" ht="15">
      <c r="A1780" s="79" t="s">
        <v>3646</v>
      </c>
      <c r="B1780" s="79" t="s">
        <v>3647</v>
      </c>
      <c r="C1780" s="79">
        <v>601441934</v>
      </c>
      <c r="D1780" s="79">
        <v>0</v>
      </c>
      <c r="E1780" s="79" t="s">
        <v>1124</v>
      </c>
      <c r="F1780" s="79" t="s">
        <v>2539</v>
      </c>
      <c r="G1780" s="79" t="s">
        <v>1130</v>
      </c>
      <c r="H1780" s="79"/>
      <c r="I1780" s="79"/>
    </row>
    <row r="1781" spans="1:9" ht="15">
      <c r="A1781" s="79" t="s">
        <v>3646</v>
      </c>
      <c r="B1781" s="79" t="s">
        <v>3647</v>
      </c>
      <c r="C1781" s="79">
        <v>601441934</v>
      </c>
      <c r="D1781" s="79">
        <v>0</v>
      </c>
      <c r="E1781" s="79" t="s">
        <v>1124</v>
      </c>
      <c r="F1781" s="79" t="s">
        <v>2539</v>
      </c>
      <c r="G1781" s="79" t="s">
        <v>1131</v>
      </c>
      <c r="H1781" s="79" t="s">
        <v>1132</v>
      </c>
      <c r="I1781" s="79"/>
    </row>
    <row r="1782" spans="1:9" ht="15">
      <c r="A1782" s="79" t="s">
        <v>3646</v>
      </c>
      <c r="B1782" s="79" t="s">
        <v>3647</v>
      </c>
      <c r="C1782" s="79">
        <v>601441934</v>
      </c>
      <c r="D1782" s="79">
        <v>0</v>
      </c>
      <c r="E1782" s="79" t="s">
        <v>1124</v>
      </c>
      <c r="F1782" s="79" t="s">
        <v>2539</v>
      </c>
      <c r="G1782" s="79" t="s">
        <v>2578</v>
      </c>
      <c r="H1782" s="79"/>
      <c r="I1782" s="79"/>
    </row>
    <row r="1783" spans="1:9" ht="15">
      <c r="A1783" s="79" t="s">
        <v>3648</v>
      </c>
      <c r="B1783" s="79" t="s">
        <v>3649</v>
      </c>
      <c r="C1783" s="79">
        <v>601442534</v>
      </c>
      <c r="D1783" s="79">
        <v>0</v>
      </c>
      <c r="E1783" s="79" t="s">
        <v>1124</v>
      </c>
      <c r="F1783" s="79" t="s">
        <v>2539</v>
      </c>
      <c r="G1783" s="79" t="s">
        <v>2546</v>
      </c>
      <c r="H1783" s="79" t="s">
        <v>2547</v>
      </c>
      <c r="I1783" s="79"/>
    </row>
    <row r="1784" spans="1:9" ht="15">
      <c r="A1784" s="79" t="s">
        <v>3648</v>
      </c>
      <c r="B1784" s="79" t="s">
        <v>3649</v>
      </c>
      <c r="C1784" s="79">
        <v>601442534</v>
      </c>
      <c r="D1784" s="79">
        <v>0</v>
      </c>
      <c r="E1784" s="79" t="s">
        <v>1124</v>
      </c>
      <c r="F1784" s="79" t="s">
        <v>2539</v>
      </c>
      <c r="G1784" s="79" t="s">
        <v>2581</v>
      </c>
      <c r="H1784" s="79"/>
      <c r="I1784" s="79"/>
    </row>
    <row r="1785" spans="1:9" ht="15">
      <c r="A1785" s="79" t="s">
        <v>3650</v>
      </c>
      <c r="B1785" s="79" t="s">
        <v>3651</v>
      </c>
      <c r="C1785" s="79">
        <v>601485134</v>
      </c>
      <c r="D1785" s="79">
        <v>0</v>
      </c>
      <c r="E1785" s="79" t="s">
        <v>1124</v>
      </c>
      <c r="F1785" s="79" t="s">
        <v>2539</v>
      </c>
      <c r="G1785" s="79" t="s">
        <v>1130</v>
      </c>
      <c r="H1785" s="79"/>
      <c r="I1785" s="79"/>
    </row>
    <row r="1786" spans="1:9" ht="15">
      <c r="A1786" s="79" t="s">
        <v>3650</v>
      </c>
      <c r="B1786" s="79" t="s">
        <v>3651</v>
      </c>
      <c r="C1786" s="79">
        <v>601485134</v>
      </c>
      <c r="D1786" s="79">
        <v>0</v>
      </c>
      <c r="E1786" s="79" t="s">
        <v>1124</v>
      </c>
      <c r="F1786" s="79" t="s">
        <v>2539</v>
      </c>
      <c r="G1786" s="79" t="s">
        <v>1131</v>
      </c>
      <c r="H1786" s="79" t="s">
        <v>1132</v>
      </c>
      <c r="I1786" s="79"/>
    </row>
    <row r="1787" spans="1:9" ht="15">
      <c r="A1787" s="79" t="s">
        <v>3650</v>
      </c>
      <c r="B1787" s="79" t="s">
        <v>3651</v>
      </c>
      <c r="C1787" s="79">
        <v>601485134</v>
      </c>
      <c r="D1787" s="79">
        <v>0</v>
      </c>
      <c r="E1787" s="79" t="s">
        <v>1124</v>
      </c>
      <c r="F1787" s="79" t="s">
        <v>2539</v>
      </c>
      <c r="G1787" s="79" t="s">
        <v>2578</v>
      </c>
      <c r="H1787" s="79"/>
      <c r="I1787" s="79"/>
    </row>
    <row r="1788" spans="1:9" ht="15">
      <c r="A1788" s="79" t="s">
        <v>3652</v>
      </c>
      <c r="B1788" s="79" t="s">
        <v>3653</v>
      </c>
      <c r="C1788" s="79">
        <v>601485734</v>
      </c>
      <c r="D1788" s="79">
        <v>0</v>
      </c>
      <c r="E1788" s="79" t="s">
        <v>1124</v>
      </c>
      <c r="F1788" s="79" t="s">
        <v>2539</v>
      </c>
      <c r="G1788" s="79" t="s">
        <v>2546</v>
      </c>
      <c r="H1788" s="79" t="s">
        <v>2547</v>
      </c>
      <c r="I1788" s="79"/>
    </row>
    <row r="1789" spans="1:9" ht="15">
      <c r="A1789" s="79" t="s">
        <v>3652</v>
      </c>
      <c r="B1789" s="79" t="s">
        <v>3653</v>
      </c>
      <c r="C1789" s="79">
        <v>601485734</v>
      </c>
      <c r="D1789" s="79">
        <v>0</v>
      </c>
      <c r="E1789" s="79" t="s">
        <v>1124</v>
      </c>
      <c r="F1789" s="79" t="s">
        <v>2539</v>
      </c>
      <c r="G1789" s="79" t="s">
        <v>2581</v>
      </c>
      <c r="H1789" s="79"/>
      <c r="I1789" s="79"/>
    </row>
    <row r="1790" spans="1:9" ht="15">
      <c r="A1790" s="79" t="s">
        <v>3654</v>
      </c>
      <c r="B1790" s="79" t="s">
        <v>3655</v>
      </c>
      <c r="C1790" s="79">
        <v>601528334</v>
      </c>
      <c r="D1790" s="79">
        <v>0</v>
      </c>
      <c r="E1790" s="79" t="s">
        <v>1124</v>
      </c>
      <c r="F1790" s="79" t="s">
        <v>2539</v>
      </c>
      <c r="G1790" s="79" t="s">
        <v>1130</v>
      </c>
      <c r="H1790" s="79"/>
      <c r="I1790" s="79"/>
    </row>
    <row r="1791" spans="1:9" ht="15">
      <c r="A1791" s="79" t="s">
        <v>3654</v>
      </c>
      <c r="B1791" s="79" t="s">
        <v>3655</v>
      </c>
      <c r="C1791" s="79">
        <v>601528334</v>
      </c>
      <c r="D1791" s="79">
        <v>0</v>
      </c>
      <c r="E1791" s="79" t="s">
        <v>1124</v>
      </c>
      <c r="F1791" s="79" t="s">
        <v>2539</v>
      </c>
      <c r="G1791" s="79" t="s">
        <v>1131</v>
      </c>
      <c r="H1791" s="79" t="s">
        <v>1132</v>
      </c>
      <c r="I1791" s="79"/>
    </row>
    <row r="1792" spans="1:9" ht="15">
      <c r="A1792" s="79" t="s">
        <v>3654</v>
      </c>
      <c r="B1792" s="79" t="s">
        <v>3655</v>
      </c>
      <c r="C1792" s="79">
        <v>601528334</v>
      </c>
      <c r="D1792" s="79">
        <v>0</v>
      </c>
      <c r="E1792" s="79" t="s">
        <v>1124</v>
      </c>
      <c r="F1792" s="79" t="s">
        <v>2539</v>
      </c>
      <c r="G1792" s="79" t="s">
        <v>2578</v>
      </c>
      <c r="H1792" s="79"/>
      <c r="I1792" s="79"/>
    </row>
    <row r="1793" spans="1:9" ht="15">
      <c r="A1793" s="79" t="s">
        <v>3656</v>
      </c>
      <c r="B1793" s="79" t="s">
        <v>3657</v>
      </c>
      <c r="C1793" s="79">
        <v>601528934</v>
      </c>
      <c r="D1793" s="79">
        <v>0</v>
      </c>
      <c r="E1793" s="79" t="s">
        <v>1124</v>
      </c>
      <c r="F1793" s="79" t="s">
        <v>2539</v>
      </c>
      <c r="G1793" s="79" t="s">
        <v>2546</v>
      </c>
      <c r="H1793" s="79" t="s">
        <v>2547</v>
      </c>
      <c r="I1793" s="79"/>
    </row>
    <row r="1794" spans="1:9" ht="15">
      <c r="A1794" s="79" t="s">
        <v>3656</v>
      </c>
      <c r="B1794" s="79" t="s">
        <v>3657</v>
      </c>
      <c r="C1794" s="79">
        <v>601528934</v>
      </c>
      <c r="D1794" s="79">
        <v>0</v>
      </c>
      <c r="E1794" s="79" t="s">
        <v>1124</v>
      </c>
      <c r="F1794" s="79" t="s">
        <v>2539</v>
      </c>
      <c r="G1794" s="79" t="s">
        <v>2581</v>
      </c>
      <c r="H1794" s="79"/>
      <c r="I1794" s="79"/>
    </row>
    <row r="1795" spans="1:9" ht="15">
      <c r="A1795" s="79" t="s">
        <v>3658</v>
      </c>
      <c r="B1795" s="79" t="s">
        <v>3659</v>
      </c>
      <c r="C1795" s="79">
        <v>601571534</v>
      </c>
      <c r="D1795" s="79">
        <v>0</v>
      </c>
      <c r="E1795" s="79" t="s">
        <v>1124</v>
      </c>
      <c r="F1795" s="79" t="s">
        <v>2539</v>
      </c>
      <c r="G1795" s="79" t="s">
        <v>1130</v>
      </c>
      <c r="H1795" s="79"/>
      <c r="I1795" s="79"/>
    </row>
    <row r="1796" spans="1:9" ht="15">
      <c r="A1796" s="79" t="s">
        <v>3658</v>
      </c>
      <c r="B1796" s="79" t="s">
        <v>3659</v>
      </c>
      <c r="C1796" s="79">
        <v>601571534</v>
      </c>
      <c r="D1796" s="79">
        <v>0</v>
      </c>
      <c r="E1796" s="79" t="s">
        <v>1124</v>
      </c>
      <c r="F1796" s="79" t="s">
        <v>2539</v>
      </c>
      <c r="G1796" s="79" t="s">
        <v>1131</v>
      </c>
      <c r="H1796" s="79" t="s">
        <v>1132</v>
      </c>
      <c r="I1796" s="79"/>
    </row>
    <row r="1797" spans="1:9" ht="15">
      <c r="A1797" s="79" t="s">
        <v>3658</v>
      </c>
      <c r="B1797" s="79" t="s">
        <v>3659</v>
      </c>
      <c r="C1797" s="79">
        <v>601571534</v>
      </c>
      <c r="D1797" s="79">
        <v>0</v>
      </c>
      <c r="E1797" s="79" t="s">
        <v>1124</v>
      </c>
      <c r="F1797" s="79" t="s">
        <v>2539</v>
      </c>
      <c r="G1797" s="79" t="s">
        <v>2578</v>
      </c>
      <c r="H1797" s="79"/>
      <c r="I1797" s="79"/>
    </row>
    <row r="1798" spans="1:9" ht="15">
      <c r="A1798" s="79" t="s">
        <v>3660</v>
      </c>
      <c r="B1798" s="79" t="s">
        <v>3661</v>
      </c>
      <c r="C1798" s="79">
        <v>601572134</v>
      </c>
      <c r="D1798" s="79">
        <v>0</v>
      </c>
      <c r="E1798" s="79" t="s">
        <v>1124</v>
      </c>
      <c r="F1798" s="79" t="s">
        <v>2539</v>
      </c>
      <c r="G1798" s="79" t="s">
        <v>2546</v>
      </c>
      <c r="H1798" s="79" t="s">
        <v>2547</v>
      </c>
      <c r="I1798" s="79"/>
    </row>
    <row r="1799" spans="1:9" ht="15">
      <c r="A1799" s="79" t="s">
        <v>3660</v>
      </c>
      <c r="B1799" s="79" t="s">
        <v>3661</v>
      </c>
      <c r="C1799" s="79">
        <v>601572134</v>
      </c>
      <c r="D1799" s="79">
        <v>0</v>
      </c>
      <c r="E1799" s="79" t="s">
        <v>1124</v>
      </c>
      <c r="F1799" s="79" t="s">
        <v>2539</v>
      </c>
      <c r="G1799" s="79" t="s">
        <v>2581</v>
      </c>
      <c r="H1799" s="79"/>
      <c r="I1799" s="79"/>
    </row>
    <row r="1800" spans="1:9" ht="15">
      <c r="A1800" s="79" t="s">
        <v>3662</v>
      </c>
      <c r="B1800" s="79" t="s">
        <v>3663</v>
      </c>
      <c r="C1800" s="79">
        <v>601614734</v>
      </c>
      <c r="D1800" s="79">
        <v>0</v>
      </c>
      <c r="E1800" s="79" t="s">
        <v>1124</v>
      </c>
      <c r="F1800" s="79" t="s">
        <v>2539</v>
      </c>
      <c r="G1800" s="79" t="s">
        <v>1130</v>
      </c>
      <c r="H1800" s="79"/>
      <c r="I1800" s="79"/>
    </row>
    <row r="1801" spans="1:9" ht="15">
      <c r="A1801" s="79" t="s">
        <v>3662</v>
      </c>
      <c r="B1801" s="79" t="s">
        <v>3663</v>
      </c>
      <c r="C1801" s="79">
        <v>601614734</v>
      </c>
      <c r="D1801" s="79">
        <v>0</v>
      </c>
      <c r="E1801" s="79" t="s">
        <v>1124</v>
      </c>
      <c r="F1801" s="79" t="s">
        <v>2539</v>
      </c>
      <c r="G1801" s="79" t="s">
        <v>1131</v>
      </c>
      <c r="H1801" s="79" t="s">
        <v>1132</v>
      </c>
      <c r="I1801" s="79"/>
    </row>
    <row r="1802" spans="1:9" ht="15">
      <c r="A1802" s="79" t="s">
        <v>3662</v>
      </c>
      <c r="B1802" s="79" t="s">
        <v>3663</v>
      </c>
      <c r="C1802" s="79">
        <v>601614734</v>
      </c>
      <c r="D1802" s="79">
        <v>0</v>
      </c>
      <c r="E1802" s="79" t="s">
        <v>1124</v>
      </c>
      <c r="F1802" s="79" t="s">
        <v>2539</v>
      </c>
      <c r="G1802" s="79" t="s">
        <v>2578</v>
      </c>
      <c r="H1802" s="79"/>
      <c r="I1802" s="79"/>
    </row>
    <row r="1803" spans="1:9" ht="15">
      <c r="A1803" s="79" t="s">
        <v>3664</v>
      </c>
      <c r="B1803" s="79" t="s">
        <v>3665</v>
      </c>
      <c r="C1803" s="79">
        <v>601615334</v>
      </c>
      <c r="D1803" s="79">
        <v>0</v>
      </c>
      <c r="E1803" s="79" t="s">
        <v>1124</v>
      </c>
      <c r="F1803" s="79" t="s">
        <v>2539</v>
      </c>
      <c r="G1803" s="79" t="s">
        <v>2546</v>
      </c>
      <c r="H1803" s="79" t="s">
        <v>2547</v>
      </c>
      <c r="I1803" s="79"/>
    </row>
    <row r="1804" spans="1:9" ht="15">
      <c r="A1804" s="79" t="s">
        <v>3664</v>
      </c>
      <c r="B1804" s="79" t="s">
        <v>3665</v>
      </c>
      <c r="C1804" s="79">
        <v>601615334</v>
      </c>
      <c r="D1804" s="79">
        <v>0</v>
      </c>
      <c r="E1804" s="79" t="s">
        <v>1124</v>
      </c>
      <c r="F1804" s="79" t="s">
        <v>2539</v>
      </c>
      <c r="G1804" s="79" t="s">
        <v>2581</v>
      </c>
      <c r="H1804" s="79"/>
      <c r="I1804" s="79"/>
    </row>
    <row r="1805" spans="1:9" ht="15">
      <c r="A1805" s="79" t="s">
        <v>3666</v>
      </c>
      <c r="B1805" s="79" t="s">
        <v>3667</v>
      </c>
      <c r="C1805" s="79">
        <v>601657934</v>
      </c>
      <c r="D1805" s="79">
        <v>0</v>
      </c>
      <c r="E1805" s="79" t="s">
        <v>1124</v>
      </c>
      <c r="F1805" s="79" t="s">
        <v>2539</v>
      </c>
      <c r="G1805" s="79" t="s">
        <v>1130</v>
      </c>
      <c r="H1805" s="79"/>
      <c r="I1805" s="79"/>
    </row>
    <row r="1806" spans="1:9" ht="15">
      <c r="A1806" s="79" t="s">
        <v>3666</v>
      </c>
      <c r="B1806" s="79" t="s">
        <v>3667</v>
      </c>
      <c r="C1806" s="79">
        <v>601657934</v>
      </c>
      <c r="D1806" s="79">
        <v>0</v>
      </c>
      <c r="E1806" s="79" t="s">
        <v>1124</v>
      </c>
      <c r="F1806" s="79" t="s">
        <v>2539</v>
      </c>
      <c r="G1806" s="79" t="s">
        <v>1131</v>
      </c>
      <c r="H1806" s="79" t="s">
        <v>1132</v>
      </c>
      <c r="I1806" s="79"/>
    </row>
    <row r="1807" spans="1:9" ht="15">
      <c r="A1807" s="79" t="s">
        <v>3666</v>
      </c>
      <c r="B1807" s="79" t="s">
        <v>3667</v>
      </c>
      <c r="C1807" s="79">
        <v>601657934</v>
      </c>
      <c r="D1807" s="79">
        <v>0</v>
      </c>
      <c r="E1807" s="79" t="s">
        <v>1124</v>
      </c>
      <c r="F1807" s="79" t="s">
        <v>2539</v>
      </c>
      <c r="G1807" s="79" t="s">
        <v>2578</v>
      </c>
      <c r="H1807" s="79"/>
      <c r="I1807" s="79"/>
    </row>
    <row r="1808" spans="1:9" ht="15">
      <c r="A1808" s="79" t="s">
        <v>3668</v>
      </c>
      <c r="B1808" s="79" t="s">
        <v>3669</v>
      </c>
      <c r="C1808" s="79">
        <v>601658534</v>
      </c>
      <c r="D1808" s="79">
        <v>0</v>
      </c>
      <c r="E1808" s="79" t="s">
        <v>1124</v>
      </c>
      <c r="F1808" s="79" t="s">
        <v>2539</v>
      </c>
      <c r="G1808" s="79" t="s">
        <v>2546</v>
      </c>
      <c r="H1808" s="79" t="s">
        <v>2547</v>
      </c>
      <c r="I1808" s="79"/>
    </row>
    <row r="1809" spans="1:9" ht="15">
      <c r="A1809" s="79" t="s">
        <v>3668</v>
      </c>
      <c r="B1809" s="79" t="s">
        <v>3669</v>
      </c>
      <c r="C1809" s="79">
        <v>601658534</v>
      </c>
      <c r="D1809" s="79">
        <v>0</v>
      </c>
      <c r="E1809" s="79" t="s">
        <v>1124</v>
      </c>
      <c r="F1809" s="79" t="s">
        <v>2539</v>
      </c>
      <c r="G1809" s="79" t="s">
        <v>2581</v>
      </c>
      <c r="H1809" s="79"/>
      <c r="I1809" s="79"/>
    </row>
    <row r="1810" spans="1:9" ht="15">
      <c r="A1810" s="79" t="s">
        <v>3670</v>
      </c>
      <c r="B1810" s="79" t="s">
        <v>3671</v>
      </c>
      <c r="C1810" s="79">
        <v>601701134</v>
      </c>
      <c r="D1810" s="79">
        <v>0</v>
      </c>
      <c r="E1810" s="79" t="s">
        <v>1124</v>
      </c>
      <c r="F1810" s="79" t="s">
        <v>2539</v>
      </c>
      <c r="G1810" s="79" t="s">
        <v>1130</v>
      </c>
      <c r="H1810" s="79"/>
      <c r="I1810" s="79"/>
    </row>
    <row r="1811" spans="1:9" ht="15">
      <c r="A1811" s="79" t="s">
        <v>3670</v>
      </c>
      <c r="B1811" s="79" t="s">
        <v>3671</v>
      </c>
      <c r="C1811" s="79">
        <v>601701134</v>
      </c>
      <c r="D1811" s="79">
        <v>0</v>
      </c>
      <c r="E1811" s="79" t="s">
        <v>1124</v>
      </c>
      <c r="F1811" s="79" t="s">
        <v>2539</v>
      </c>
      <c r="G1811" s="79" t="s">
        <v>1131</v>
      </c>
      <c r="H1811" s="79" t="s">
        <v>1132</v>
      </c>
      <c r="I1811" s="79"/>
    </row>
    <row r="1812" spans="1:9" ht="15">
      <c r="A1812" s="79" t="s">
        <v>3670</v>
      </c>
      <c r="B1812" s="79" t="s">
        <v>3671</v>
      </c>
      <c r="C1812" s="79">
        <v>601701134</v>
      </c>
      <c r="D1812" s="79">
        <v>0</v>
      </c>
      <c r="E1812" s="79" t="s">
        <v>1124</v>
      </c>
      <c r="F1812" s="79" t="s">
        <v>2539</v>
      </c>
      <c r="G1812" s="79" t="s">
        <v>2578</v>
      </c>
      <c r="H1812" s="79"/>
      <c r="I1812" s="79"/>
    </row>
    <row r="1813" spans="1:9" ht="15">
      <c r="A1813" s="79" t="s">
        <v>3672</v>
      </c>
      <c r="B1813" s="79" t="s">
        <v>3673</v>
      </c>
      <c r="C1813" s="79">
        <v>601701734</v>
      </c>
      <c r="D1813" s="79">
        <v>0</v>
      </c>
      <c r="E1813" s="79" t="s">
        <v>1124</v>
      </c>
      <c r="F1813" s="79" t="s">
        <v>2539</v>
      </c>
      <c r="G1813" s="79" t="s">
        <v>2546</v>
      </c>
      <c r="H1813" s="79" t="s">
        <v>2547</v>
      </c>
      <c r="I1813" s="79"/>
    </row>
    <row r="1814" spans="1:9" ht="15">
      <c r="A1814" s="79" t="s">
        <v>3672</v>
      </c>
      <c r="B1814" s="79" t="s">
        <v>3673</v>
      </c>
      <c r="C1814" s="79">
        <v>601701734</v>
      </c>
      <c r="D1814" s="79">
        <v>0</v>
      </c>
      <c r="E1814" s="79" t="s">
        <v>1124</v>
      </c>
      <c r="F1814" s="79" t="s">
        <v>2539</v>
      </c>
      <c r="G1814" s="79" t="s">
        <v>2581</v>
      </c>
      <c r="H1814" s="79"/>
      <c r="I1814" s="79"/>
    </row>
    <row r="1815" spans="1:9" ht="15">
      <c r="A1815" s="79" t="s">
        <v>3674</v>
      </c>
      <c r="B1815" s="79" t="s">
        <v>3675</v>
      </c>
      <c r="C1815" s="79">
        <v>601744334</v>
      </c>
      <c r="D1815" s="79">
        <v>0</v>
      </c>
      <c r="E1815" s="79" t="s">
        <v>1124</v>
      </c>
      <c r="F1815" s="79" t="s">
        <v>2539</v>
      </c>
      <c r="G1815" s="79" t="s">
        <v>1130</v>
      </c>
      <c r="H1815" s="79"/>
      <c r="I1815" s="79"/>
    </row>
    <row r="1816" spans="1:9" ht="15">
      <c r="A1816" s="79" t="s">
        <v>3674</v>
      </c>
      <c r="B1816" s="79" t="s">
        <v>3675</v>
      </c>
      <c r="C1816" s="79">
        <v>601744334</v>
      </c>
      <c r="D1816" s="79">
        <v>0</v>
      </c>
      <c r="E1816" s="79" t="s">
        <v>1124</v>
      </c>
      <c r="F1816" s="79" t="s">
        <v>2539</v>
      </c>
      <c r="G1816" s="79" t="s">
        <v>1131</v>
      </c>
      <c r="H1816" s="79" t="s">
        <v>1132</v>
      </c>
      <c r="I1816" s="79"/>
    </row>
    <row r="1817" spans="1:9" ht="15">
      <c r="A1817" s="79" t="s">
        <v>3674</v>
      </c>
      <c r="B1817" s="79" t="s">
        <v>3675</v>
      </c>
      <c r="C1817" s="79">
        <v>601744334</v>
      </c>
      <c r="D1817" s="79">
        <v>0</v>
      </c>
      <c r="E1817" s="79" t="s">
        <v>1124</v>
      </c>
      <c r="F1817" s="79" t="s">
        <v>2539</v>
      </c>
      <c r="G1817" s="79" t="s">
        <v>2578</v>
      </c>
      <c r="H1817" s="79"/>
      <c r="I1817" s="79"/>
    </row>
    <row r="1818" spans="1:9" ht="15">
      <c r="A1818" s="79" t="s">
        <v>3676</v>
      </c>
      <c r="B1818" s="79" t="s">
        <v>3677</v>
      </c>
      <c r="C1818" s="79">
        <v>601744934</v>
      </c>
      <c r="D1818" s="79">
        <v>0</v>
      </c>
      <c r="E1818" s="79" t="s">
        <v>1124</v>
      </c>
      <c r="F1818" s="79" t="s">
        <v>2539</v>
      </c>
      <c r="G1818" s="79" t="s">
        <v>2546</v>
      </c>
      <c r="H1818" s="79" t="s">
        <v>2547</v>
      </c>
      <c r="I1818" s="79"/>
    </row>
    <row r="1819" spans="1:9" ht="15">
      <c r="A1819" s="79" t="s">
        <v>3676</v>
      </c>
      <c r="B1819" s="79" t="s">
        <v>3677</v>
      </c>
      <c r="C1819" s="79">
        <v>601744934</v>
      </c>
      <c r="D1819" s="79">
        <v>0</v>
      </c>
      <c r="E1819" s="79" t="s">
        <v>1124</v>
      </c>
      <c r="F1819" s="79" t="s">
        <v>2539</v>
      </c>
      <c r="G1819" s="79" t="s">
        <v>2581</v>
      </c>
      <c r="H1819" s="79"/>
      <c r="I1819" s="79"/>
    </row>
    <row r="1820" spans="1:9" ht="15">
      <c r="A1820" s="79" t="s">
        <v>3678</v>
      </c>
      <c r="B1820" s="79" t="s">
        <v>3679</v>
      </c>
      <c r="C1820" s="79">
        <v>601787534</v>
      </c>
      <c r="D1820" s="79">
        <v>0</v>
      </c>
      <c r="E1820" s="79" t="s">
        <v>1124</v>
      </c>
      <c r="F1820" s="79" t="s">
        <v>2539</v>
      </c>
      <c r="G1820" s="79" t="s">
        <v>1130</v>
      </c>
      <c r="H1820" s="79"/>
      <c r="I1820" s="79"/>
    </row>
    <row r="1821" spans="1:9" ht="15">
      <c r="A1821" s="79" t="s">
        <v>3678</v>
      </c>
      <c r="B1821" s="79" t="s">
        <v>3679</v>
      </c>
      <c r="C1821" s="79">
        <v>601787534</v>
      </c>
      <c r="D1821" s="79">
        <v>0</v>
      </c>
      <c r="E1821" s="79" t="s">
        <v>1124</v>
      </c>
      <c r="F1821" s="79" t="s">
        <v>2539</v>
      </c>
      <c r="G1821" s="79" t="s">
        <v>1131</v>
      </c>
      <c r="H1821" s="79" t="s">
        <v>1132</v>
      </c>
      <c r="I1821" s="79"/>
    </row>
    <row r="1822" spans="1:9" ht="15">
      <c r="A1822" s="79" t="s">
        <v>3678</v>
      </c>
      <c r="B1822" s="79" t="s">
        <v>3679</v>
      </c>
      <c r="C1822" s="79">
        <v>601787534</v>
      </c>
      <c r="D1822" s="79">
        <v>0</v>
      </c>
      <c r="E1822" s="79" t="s">
        <v>1124</v>
      </c>
      <c r="F1822" s="79" t="s">
        <v>2539</v>
      </c>
      <c r="G1822" s="79" t="s">
        <v>2578</v>
      </c>
      <c r="H1822" s="79"/>
      <c r="I1822" s="79"/>
    </row>
    <row r="1823" spans="1:9" ht="15">
      <c r="A1823" s="79" t="s">
        <v>3680</v>
      </c>
      <c r="B1823" s="79" t="s">
        <v>3681</v>
      </c>
      <c r="C1823" s="79">
        <v>601788134</v>
      </c>
      <c r="D1823" s="79">
        <v>0</v>
      </c>
      <c r="E1823" s="79" t="s">
        <v>1124</v>
      </c>
      <c r="F1823" s="79" t="s">
        <v>2539</v>
      </c>
      <c r="G1823" s="79" t="s">
        <v>2546</v>
      </c>
      <c r="H1823" s="79" t="s">
        <v>2547</v>
      </c>
      <c r="I1823" s="79"/>
    </row>
    <row r="1824" spans="1:9" ht="15">
      <c r="A1824" s="79" t="s">
        <v>3680</v>
      </c>
      <c r="B1824" s="79" t="s">
        <v>3681</v>
      </c>
      <c r="C1824" s="79">
        <v>601788134</v>
      </c>
      <c r="D1824" s="79">
        <v>0</v>
      </c>
      <c r="E1824" s="79" t="s">
        <v>1124</v>
      </c>
      <c r="F1824" s="79" t="s">
        <v>2539</v>
      </c>
      <c r="G1824" s="79" t="s">
        <v>2581</v>
      </c>
      <c r="H1824" s="79"/>
      <c r="I1824" s="79"/>
    </row>
    <row r="1825" spans="1:9" ht="15">
      <c r="A1825" s="79" t="s">
        <v>3682</v>
      </c>
      <c r="B1825" s="79" t="s">
        <v>3683</v>
      </c>
      <c r="C1825" s="79">
        <v>601830734</v>
      </c>
      <c r="D1825" s="79">
        <v>0</v>
      </c>
      <c r="E1825" s="79" t="s">
        <v>1124</v>
      </c>
      <c r="F1825" s="79" t="s">
        <v>2539</v>
      </c>
      <c r="G1825" s="79" t="s">
        <v>1130</v>
      </c>
      <c r="H1825" s="79"/>
      <c r="I1825" s="79"/>
    </row>
    <row r="1826" spans="1:9" ht="15">
      <c r="A1826" s="79" t="s">
        <v>3682</v>
      </c>
      <c r="B1826" s="79" t="s">
        <v>3683</v>
      </c>
      <c r="C1826" s="79">
        <v>601830734</v>
      </c>
      <c r="D1826" s="79">
        <v>0</v>
      </c>
      <c r="E1826" s="79" t="s">
        <v>1124</v>
      </c>
      <c r="F1826" s="79" t="s">
        <v>2539</v>
      </c>
      <c r="G1826" s="79" t="s">
        <v>1131</v>
      </c>
      <c r="H1826" s="79" t="s">
        <v>1132</v>
      </c>
      <c r="I1826" s="79"/>
    </row>
    <row r="1827" spans="1:9" ht="15">
      <c r="A1827" s="79" t="s">
        <v>3682</v>
      </c>
      <c r="B1827" s="79" t="s">
        <v>3683</v>
      </c>
      <c r="C1827" s="79">
        <v>601830734</v>
      </c>
      <c r="D1827" s="79">
        <v>0</v>
      </c>
      <c r="E1827" s="79" t="s">
        <v>1124</v>
      </c>
      <c r="F1827" s="79" t="s">
        <v>2539</v>
      </c>
      <c r="G1827" s="79" t="s">
        <v>2578</v>
      </c>
      <c r="H1827" s="79"/>
      <c r="I1827" s="79"/>
    </row>
    <row r="1828" spans="1:9" ht="15">
      <c r="A1828" s="79" t="s">
        <v>3684</v>
      </c>
      <c r="B1828" s="79" t="s">
        <v>3685</v>
      </c>
      <c r="C1828" s="79">
        <v>601831334</v>
      </c>
      <c r="D1828" s="79">
        <v>0</v>
      </c>
      <c r="E1828" s="79" t="s">
        <v>1124</v>
      </c>
      <c r="F1828" s="79" t="s">
        <v>2539</v>
      </c>
      <c r="G1828" s="79" t="s">
        <v>2546</v>
      </c>
      <c r="H1828" s="79" t="s">
        <v>2547</v>
      </c>
      <c r="I1828" s="79"/>
    </row>
    <row r="1829" spans="1:9" ht="15">
      <c r="A1829" s="79" t="s">
        <v>3684</v>
      </c>
      <c r="B1829" s="79" t="s">
        <v>3685</v>
      </c>
      <c r="C1829" s="79">
        <v>601831334</v>
      </c>
      <c r="D1829" s="79">
        <v>0</v>
      </c>
      <c r="E1829" s="79" t="s">
        <v>1124</v>
      </c>
      <c r="F1829" s="79" t="s">
        <v>2539</v>
      </c>
      <c r="G1829" s="79" t="s">
        <v>2581</v>
      </c>
      <c r="H1829" s="79"/>
      <c r="I1829" s="79"/>
    </row>
    <row r="1830" spans="1:9" ht="15">
      <c r="A1830" s="79" t="s">
        <v>3686</v>
      </c>
      <c r="B1830" s="79" t="s">
        <v>3687</v>
      </c>
      <c r="C1830" s="79">
        <v>601873934</v>
      </c>
      <c r="D1830" s="79">
        <v>0</v>
      </c>
      <c r="E1830" s="79" t="s">
        <v>1124</v>
      </c>
      <c r="F1830" s="79" t="s">
        <v>2539</v>
      </c>
      <c r="G1830" s="79" t="s">
        <v>1130</v>
      </c>
      <c r="H1830" s="79"/>
      <c r="I1830" s="79"/>
    </row>
    <row r="1831" spans="1:9" ht="15">
      <c r="A1831" s="79" t="s">
        <v>3686</v>
      </c>
      <c r="B1831" s="79" t="s">
        <v>3687</v>
      </c>
      <c r="C1831" s="79">
        <v>601873934</v>
      </c>
      <c r="D1831" s="79">
        <v>0</v>
      </c>
      <c r="E1831" s="79" t="s">
        <v>1124</v>
      </c>
      <c r="F1831" s="79" t="s">
        <v>2539</v>
      </c>
      <c r="G1831" s="79" t="s">
        <v>1131</v>
      </c>
      <c r="H1831" s="79" t="s">
        <v>1132</v>
      </c>
      <c r="I1831" s="79"/>
    </row>
    <row r="1832" spans="1:9" ht="15">
      <c r="A1832" s="79" t="s">
        <v>3686</v>
      </c>
      <c r="B1832" s="79" t="s">
        <v>3687</v>
      </c>
      <c r="C1832" s="79">
        <v>601873934</v>
      </c>
      <c r="D1832" s="79">
        <v>0</v>
      </c>
      <c r="E1832" s="79" t="s">
        <v>1124</v>
      </c>
      <c r="F1832" s="79" t="s">
        <v>2539</v>
      </c>
      <c r="G1832" s="79" t="s">
        <v>2578</v>
      </c>
      <c r="H1832" s="79"/>
      <c r="I1832" s="79"/>
    </row>
    <row r="1833" spans="1:9" ht="15">
      <c r="A1833" s="79" t="s">
        <v>3688</v>
      </c>
      <c r="B1833" s="79" t="s">
        <v>3689</v>
      </c>
      <c r="C1833" s="79">
        <v>601874534</v>
      </c>
      <c r="D1833" s="79">
        <v>0</v>
      </c>
      <c r="E1833" s="79" t="s">
        <v>1124</v>
      </c>
      <c r="F1833" s="79" t="s">
        <v>2539</v>
      </c>
      <c r="G1833" s="79" t="s">
        <v>2546</v>
      </c>
      <c r="H1833" s="79" t="s">
        <v>2547</v>
      </c>
      <c r="I1833" s="79"/>
    </row>
    <row r="1834" spans="1:9" ht="15">
      <c r="A1834" s="79" t="s">
        <v>3688</v>
      </c>
      <c r="B1834" s="79" t="s">
        <v>3689</v>
      </c>
      <c r="C1834" s="79">
        <v>601874534</v>
      </c>
      <c r="D1834" s="79">
        <v>0</v>
      </c>
      <c r="E1834" s="79" t="s">
        <v>1124</v>
      </c>
      <c r="F1834" s="79" t="s">
        <v>2539</v>
      </c>
      <c r="G1834" s="79" t="s">
        <v>2581</v>
      </c>
      <c r="H1834" s="79"/>
      <c r="I1834" s="79"/>
    </row>
    <row r="1835" spans="1:9" ht="15">
      <c r="A1835" s="79" t="s">
        <v>3690</v>
      </c>
      <c r="B1835" s="79" t="s">
        <v>3691</v>
      </c>
      <c r="C1835" s="79">
        <v>601917134</v>
      </c>
      <c r="D1835" s="79">
        <v>0</v>
      </c>
      <c r="E1835" s="79" t="s">
        <v>1124</v>
      </c>
      <c r="F1835" s="79" t="s">
        <v>2539</v>
      </c>
      <c r="G1835" s="79" t="s">
        <v>1130</v>
      </c>
      <c r="H1835" s="79"/>
      <c r="I1835" s="79"/>
    </row>
    <row r="1836" spans="1:9" ht="15">
      <c r="A1836" s="79" t="s">
        <v>3690</v>
      </c>
      <c r="B1836" s="79" t="s">
        <v>3691</v>
      </c>
      <c r="C1836" s="79">
        <v>601917134</v>
      </c>
      <c r="D1836" s="79">
        <v>0</v>
      </c>
      <c r="E1836" s="79" t="s">
        <v>1124</v>
      </c>
      <c r="F1836" s="79" t="s">
        <v>2539</v>
      </c>
      <c r="G1836" s="79" t="s">
        <v>1131</v>
      </c>
      <c r="H1836" s="79" t="s">
        <v>1132</v>
      </c>
      <c r="I1836" s="79"/>
    </row>
    <row r="1837" spans="1:9" ht="15">
      <c r="A1837" s="79" t="s">
        <v>3690</v>
      </c>
      <c r="B1837" s="79" t="s">
        <v>3691</v>
      </c>
      <c r="C1837" s="79">
        <v>601917134</v>
      </c>
      <c r="D1837" s="79">
        <v>0</v>
      </c>
      <c r="E1837" s="79" t="s">
        <v>1124</v>
      </c>
      <c r="F1837" s="79" t="s">
        <v>2539</v>
      </c>
      <c r="G1837" s="79" t="s">
        <v>2578</v>
      </c>
      <c r="H1837" s="79"/>
      <c r="I1837" s="79"/>
    </row>
    <row r="1838" spans="1:9" ht="15">
      <c r="A1838" s="79" t="s">
        <v>3692</v>
      </c>
      <c r="B1838" s="79" t="s">
        <v>3693</v>
      </c>
      <c r="C1838" s="79">
        <v>601917734</v>
      </c>
      <c r="D1838" s="79">
        <v>0</v>
      </c>
      <c r="E1838" s="79" t="s">
        <v>1124</v>
      </c>
      <c r="F1838" s="79" t="s">
        <v>2539</v>
      </c>
      <c r="G1838" s="79" t="s">
        <v>2546</v>
      </c>
      <c r="H1838" s="79" t="s">
        <v>2547</v>
      </c>
      <c r="I1838" s="79"/>
    </row>
    <row r="1839" spans="1:9" ht="15">
      <c r="A1839" s="79" t="s">
        <v>3692</v>
      </c>
      <c r="B1839" s="79" t="s">
        <v>3693</v>
      </c>
      <c r="C1839" s="79">
        <v>601917734</v>
      </c>
      <c r="D1839" s="79">
        <v>0</v>
      </c>
      <c r="E1839" s="79" t="s">
        <v>1124</v>
      </c>
      <c r="F1839" s="79" t="s">
        <v>2539</v>
      </c>
      <c r="G1839" s="79" t="s">
        <v>2581</v>
      </c>
      <c r="H1839" s="79"/>
      <c r="I1839" s="79"/>
    </row>
    <row r="1840" spans="1:9" ht="15">
      <c r="A1840" s="79" t="s">
        <v>3694</v>
      </c>
      <c r="B1840" s="79" t="s">
        <v>3695</v>
      </c>
      <c r="C1840" s="79">
        <v>601960334</v>
      </c>
      <c r="D1840" s="79">
        <v>0</v>
      </c>
      <c r="E1840" s="79" t="s">
        <v>1124</v>
      </c>
      <c r="F1840" s="79" t="s">
        <v>2539</v>
      </c>
      <c r="G1840" s="79" t="s">
        <v>1130</v>
      </c>
      <c r="H1840" s="79"/>
      <c r="I1840" s="79"/>
    </row>
    <row r="1841" spans="1:9" ht="15">
      <c r="A1841" s="79" t="s">
        <v>3694</v>
      </c>
      <c r="B1841" s="79" t="s">
        <v>3695</v>
      </c>
      <c r="C1841" s="79">
        <v>601960334</v>
      </c>
      <c r="D1841" s="79">
        <v>0</v>
      </c>
      <c r="E1841" s="79" t="s">
        <v>1124</v>
      </c>
      <c r="F1841" s="79" t="s">
        <v>2539</v>
      </c>
      <c r="G1841" s="79" t="s">
        <v>1131</v>
      </c>
      <c r="H1841" s="79" t="s">
        <v>1132</v>
      </c>
      <c r="I1841" s="79"/>
    </row>
    <row r="1842" spans="1:9" ht="15">
      <c r="A1842" s="79" t="s">
        <v>3694</v>
      </c>
      <c r="B1842" s="79" t="s">
        <v>3695</v>
      </c>
      <c r="C1842" s="79">
        <v>601960334</v>
      </c>
      <c r="D1842" s="79">
        <v>0</v>
      </c>
      <c r="E1842" s="79" t="s">
        <v>1124</v>
      </c>
      <c r="F1842" s="79" t="s">
        <v>2539</v>
      </c>
      <c r="G1842" s="79" t="s">
        <v>2578</v>
      </c>
      <c r="H1842" s="79"/>
      <c r="I1842" s="79"/>
    </row>
    <row r="1843" spans="1:9" ht="15">
      <c r="A1843" s="79" t="s">
        <v>3696</v>
      </c>
      <c r="B1843" s="79" t="s">
        <v>3697</v>
      </c>
      <c r="C1843" s="79">
        <v>601960934</v>
      </c>
      <c r="D1843" s="79">
        <v>0</v>
      </c>
      <c r="E1843" s="79" t="s">
        <v>1124</v>
      </c>
      <c r="F1843" s="79" t="s">
        <v>2539</v>
      </c>
      <c r="G1843" s="79" t="s">
        <v>2546</v>
      </c>
      <c r="H1843" s="79" t="s">
        <v>2547</v>
      </c>
      <c r="I1843" s="79"/>
    </row>
    <row r="1844" spans="1:9" ht="15">
      <c r="A1844" s="79" t="s">
        <v>3696</v>
      </c>
      <c r="B1844" s="79" t="s">
        <v>3697</v>
      </c>
      <c r="C1844" s="79">
        <v>601960934</v>
      </c>
      <c r="D1844" s="79">
        <v>0</v>
      </c>
      <c r="E1844" s="79" t="s">
        <v>1124</v>
      </c>
      <c r="F1844" s="79" t="s">
        <v>2539</v>
      </c>
      <c r="G1844" s="79" t="s">
        <v>2581</v>
      </c>
      <c r="H1844" s="79"/>
      <c r="I1844" s="79"/>
    </row>
    <row r="1845" spans="1:9" ht="15">
      <c r="A1845" s="79" t="s">
        <v>3698</v>
      </c>
      <c r="B1845" s="79" t="s">
        <v>3699</v>
      </c>
      <c r="C1845" s="79">
        <v>602003534</v>
      </c>
      <c r="D1845" s="79">
        <v>0</v>
      </c>
      <c r="E1845" s="79" t="s">
        <v>1124</v>
      </c>
      <c r="F1845" s="79" t="s">
        <v>2539</v>
      </c>
      <c r="G1845" s="79" t="s">
        <v>1130</v>
      </c>
      <c r="H1845" s="79"/>
      <c r="I1845" s="79"/>
    </row>
    <row r="1846" spans="1:9" ht="15">
      <c r="A1846" s="79" t="s">
        <v>3698</v>
      </c>
      <c r="B1846" s="79" t="s">
        <v>3699</v>
      </c>
      <c r="C1846" s="79">
        <v>602003534</v>
      </c>
      <c r="D1846" s="79">
        <v>0</v>
      </c>
      <c r="E1846" s="79" t="s">
        <v>1124</v>
      </c>
      <c r="F1846" s="79" t="s">
        <v>2539</v>
      </c>
      <c r="G1846" s="79" t="s">
        <v>1131</v>
      </c>
      <c r="H1846" s="79" t="s">
        <v>1132</v>
      </c>
      <c r="I1846" s="79"/>
    </row>
    <row r="1847" spans="1:9" ht="15">
      <c r="A1847" s="79" t="s">
        <v>3698</v>
      </c>
      <c r="B1847" s="79" t="s">
        <v>3699</v>
      </c>
      <c r="C1847" s="79">
        <v>602003534</v>
      </c>
      <c r="D1847" s="79">
        <v>0</v>
      </c>
      <c r="E1847" s="79" t="s">
        <v>1124</v>
      </c>
      <c r="F1847" s="79" t="s">
        <v>2539</v>
      </c>
      <c r="G1847" s="79" t="s">
        <v>2578</v>
      </c>
      <c r="H1847" s="79"/>
      <c r="I1847" s="79"/>
    </row>
    <row r="1848" spans="1:9" ht="15">
      <c r="A1848" s="79" t="s">
        <v>3700</v>
      </c>
      <c r="B1848" s="79" t="s">
        <v>3701</v>
      </c>
      <c r="C1848" s="79">
        <v>602004134</v>
      </c>
      <c r="D1848" s="79">
        <v>0</v>
      </c>
      <c r="E1848" s="79" t="s">
        <v>1124</v>
      </c>
      <c r="F1848" s="79" t="s">
        <v>2539</v>
      </c>
      <c r="G1848" s="79" t="s">
        <v>2546</v>
      </c>
      <c r="H1848" s="79" t="s">
        <v>2547</v>
      </c>
      <c r="I1848" s="79"/>
    </row>
    <row r="1849" spans="1:9" ht="15">
      <c r="A1849" s="79" t="s">
        <v>3700</v>
      </c>
      <c r="B1849" s="79" t="s">
        <v>3701</v>
      </c>
      <c r="C1849" s="79">
        <v>602004134</v>
      </c>
      <c r="D1849" s="79">
        <v>0</v>
      </c>
      <c r="E1849" s="79" t="s">
        <v>1124</v>
      </c>
      <c r="F1849" s="79" t="s">
        <v>2539</v>
      </c>
      <c r="G1849" s="79" t="s">
        <v>2581</v>
      </c>
      <c r="H1849" s="79"/>
      <c r="I1849" s="79"/>
    </row>
    <row r="1850" spans="1:9" ht="15">
      <c r="A1850" s="79" t="s">
        <v>3702</v>
      </c>
      <c r="B1850" s="79" t="s">
        <v>3703</v>
      </c>
      <c r="C1850" s="79">
        <v>602046734</v>
      </c>
      <c r="D1850" s="79">
        <v>0</v>
      </c>
      <c r="E1850" s="79" t="s">
        <v>1124</v>
      </c>
      <c r="F1850" s="79" t="s">
        <v>2539</v>
      </c>
      <c r="G1850" s="79" t="s">
        <v>1130</v>
      </c>
      <c r="H1850" s="79"/>
      <c r="I1850" s="79"/>
    </row>
    <row r="1851" spans="1:9" ht="15">
      <c r="A1851" s="79" t="s">
        <v>3702</v>
      </c>
      <c r="B1851" s="79" t="s">
        <v>3703</v>
      </c>
      <c r="C1851" s="79">
        <v>602046734</v>
      </c>
      <c r="D1851" s="79">
        <v>0</v>
      </c>
      <c r="E1851" s="79" t="s">
        <v>1124</v>
      </c>
      <c r="F1851" s="79" t="s">
        <v>2539</v>
      </c>
      <c r="G1851" s="79" t="s">
        <v>1131</v>
      </c>
      <c r="H1851" s="79" t="s">
        <v>1132</v>
      </c>
      <c r="I1851" s="79"/>
    </row>
    <row r="1852" spans="1:9" ht="15">
      <c r="A1852" s="79" t="s">
        <v>3702</v>
      </c>
      <c r="B1852" s="79" t="s">
        <v>3703</v>
      </c>
      <c r="C1852" s="79">
        <v>602046734</v>
      </c>
      <c r="D1852" s="79">
        <v>0</v>
      </c>
      <c r="E1852" s="79" t="s">
        <v>1124</v>
      </c>
      <c r="F1852" s="79" t="s">
        <v>2539</v>
      </c>
      <c r="G1852" s="79" t="s">
        <v>2578</v>
      </c>
      <c r="H1852" s="79"/>
      <c r="I1852" s="79"/>
    </row>
    <row r="1853" spans="1:9" ht="15">
      <c r="A1853" s="79" t="s">
        <v>3704</v>
      </c>
      <c r="B1853" s="79" t="s">
        <v>3705</v>
      </c>
      <c r="C1853" s="79">
        <v>602047334</v>
      </c>
      <c r="D1853" s="79">
        <v>0</v>
      </c>
      <c r="E1853" s="79" t="s">
        <v>1124</v>
      </c>
      <c r="F1853" s="79" t="s">
        <v>2539</v>
      </c>
      <c r="G1853" s="79" t="s">
        <v>2546</v>
      </c>
      <c r="H1853" s="79" t="s">
        <v>2547</v>
      </c>
      <c r="I1853" s="79"/>
    </row>
    <row r="1854" spans="1:9" ht="15">
      <c r="A1854" s="79" t="s">
        <v>3704</v>
      </c>
      <c r="B1854" s="79" t="s">
        <v>3705</v>
      </c>
      <c r="C1854" s="79">
        <v>602047334</v>
      </c>
      <c r="D1854" s="79">
        <v>0</v>
      </c>
      <c r="E1854" s="79" t="s">
        <v>1124</v>
      </c>
      <c r="F1854" s="79" t="s">
        <v>2539</v>
      </c>
      <c r="G1854" s="79" t="s">
        <v>2581</v>
      </c>
      <c r="H1854" s="79"/>
      <c r="I1854" s="79"/>
    </row>
    <row r="1855" spans="1:9" ht="15">
      <c r="A1855" s="79" t="s">
        <v>3706</v>
      </c>
      <c r="B1855" s="79" t="s">
        <v>3707</v>
      </c>
      <c r="C1855" s="79">
        <v>602089934</v>
      </c>
      <c r="D1855" s="79">
        <v>0</v>
      </c>
      <c r="E1855" s="79" t="s">
        <v>1124</v>
      </c>
      <c r="F1855" s="79" t="s">
        <v>2539</v>
      </c>
      <c r="G1855" s="79" t="s">
        <v>1130</v>
      </c>
      <c r="H1855" s="79"/>
      <c r="I1855" s="79"/>
    </row>
    <row r="1856" spans="1:9" ht="15">
      <c r="A1856" s="79" t="s">
        <v>3706</v>
      </c>
      <c r="B1856" s="79" t="s">
        <v>3707</v>
      </c>
      <c r="C1856" s="79">
        <v>602089934</v>
      </c>
      <c r="D1856" s="79">
        <v>0</v>
      </c>
      <c r="E1856" s="79" t="s">
        <v>1124</v>
      </c>
      <c r="F1856" s="79" t="s">
        <v>2539</v>
      </c>
      <c r="G1856" s="79" t="s">
        <v>1131</v>
      </c>
      <c r="H1856" s="79" t="s">
        <v>1132</v>
      </c>
      <c r="I1856" s="79"/>
    </row>
    <row r="1857" spans="1:9" ht="15">
      <c r="A1857" s="79" t="s">
        <v>3706</v>
      </c>
      <c r="B1857" s="79" t="s">
        <v>3707</v>
      </c>
      <c r="C1857" s="79">
        <v>602089934</v>
      </c>
      <c r="D1857" s="79">
        <v>0</v>
      </c>
      <c r="E1857" s="79" t="s">
        <v>1124</v>
      </c>
      <c r="F1857" s="79" t="s">
        <v>2539</v>
      </c>
      <c r="G1857" s="79" t="s">
        <v>2578</v>
      </c>
      <c r="H1857" s="79"/>
      <c r="I1857" s="79"/>
    </row>
    <row r="1858" spans="1:9" ht="15">
      <c r="A1858" s="79" t="s">
        <v>3708</v>
      </c>
      <c r="B1858" s="79" t="s">
        <v>3709</v>
      </c>
      <c r="C1858" s="79">
        <v>602090534</v>
      </c>
      <c r="D1858" s="79">
        <v>0</v>
      </c>
      <c r="E1858" s="79" t="s">
        <v>1124</v>
      </c>
      <c r="F1858" s="79" t="s">
        <v>2539</v>
      </c>
      <c r="G1858" s="79" t="s">
        <v>2546</v>
      </c>
      <c r="H1858" s="79" t="s">
        <v>2547</v>
      </c>
      <c r="I1858" s="79"/>
    </row>
    <row r="1859" spans="1:9" ht="15">
      <c r="A1859" s="79" t="s">
        <v>3708</v>
      </c>
      <c r="B1859" s="79" t="s">
        <v>3709</v>
      </c>
      <c r="C1859" s="79">
        <v>602090534</v>
      </c>
      <c r="D1859" s="79">
        <v>0</v>
      </c>
      <c r="E1859" s="79" t="s">
        <v>1124</v>
      </c>
      <c r="F1859" s="79" t="s">
        <v>2539</v>
      </c>
      <c r="G1859" s="79" t="s">
        <v>2581</v>
      </c>
      <c r="H1859" s="79"/>
      <c r="I1859" s="79"/>
    </row>
    <row r="1860" spans="1:9" ht="15">
      <c r="A1860" s="79" t="s">
        <v>3710</v>
      </c>
      <c r="B1860" s="79" t="s">
        <v>3711</v>
      </c>
      <c r="C1860" s="79">
        <v>602133134</v>
      </c>
      <c r="D1860" s="79">
        <v>0</v>
      </c>
      <c r="E1860" s="79" t="s">
        <v>1124</v>
      </c>
      <c r="F1860" s="79" t="s">
        <v>2539</v>
      </c>
      <c r="G1860" s="79" t="s">
        <v>1130</v>
      </c>
      <c r="H1860" s="79"/>
      <c r="I1860" s="79"/>
    </row>
    <row r="1861" spans="1:9" ht="15">
      <c r="A1861" s="79" t="s">
        <v>3710</v>
      </c>
      <c r="B1861" s="79" t="s">
        <v>3711</v>
      </c>
      <c r="C1861" s="79">
        <v>602133134</v>
      </c>
      <c r="D1861" s="79">
        <v>0</v>
      </c>
      <c r="E1861" s="79" t="s">
        <v>1124</v>
      </c>
      <c r="F1861" s="79" t="s">
        <v>2539</v>
      </c>
      <c r="G1861" s="79" t="s">
        <v>1131</v>
      </c>
      <c r="H1861" s="79" t="s">
        <v>1132</v>
      </c>
      <c r="I1861" s="79"/>
    </row>
    <row r="1862" spans="1:9" ht="15">
      <c r="A1862" s="79" t="s">
        <v>3710</v>
      </c>
      <c r="B1862" s="79" t="s">
        <v>3711</v>
      </c>
      <c r="C1862" s="79">
        <v>602133134</v>
      </c>
      <c r="D1862" s="79">
        <v>0</v>
      </c>
      <c r="E1862" s="79" t="s">
        <v>1124</v>
      </c>
      <c r="F1862" s="79" t="s">
        <v>2539</v>
      </c>
      <c r="G1862" s="79" t="s">
        <v>2578</v>
      </c>
      <c r="H1862" s="79"/>
      <c r="I1862" s="79"/>
    </row>
    <row r="1863" spans="1:9" ht="15">
      <c r="A1863" s="79" t="s">
        <v>3712</v>
      </c>
      <c r="B1863" s="79" t="s">
        <v>3713</v>
      </c>
      <c r="C1863" s="79">
        <v>602133734</v>
      </c>
      <c r="D1863" s="79">
        <v>0</v>
      </c>
      <c r="E1863" s="79" t="s">
        <v>1124</v>
      </c>
      <c r="F1863" s="79" t="s">
        <v>2539</v>
      </c>
      <c r="G1863" s="79" t="s">
        <v>2546</v>
      </c>
      <c r="H1863" s="79" t="s">
        <v>2547</v>
      </c>
      <c r="I1863" s="79"/>
    </row>
    <row r="1864" spans="1:9" ht="15">
      <c r="A1864" s="79" t="s">
        <v>3712</v>
      </c>
      <c r="B1864" s="79" t="s">
        <v>3713</v>
      </c>
      <c r="C1864" s="79">
        <v>602133734</v>
      </c>
      <c r="D1864" s="79">
        <v>0</v>
      </c>
      <c r="E1864" s="79" t="s">
        <v>1124</v>
      </c>
      <c r="F1864" s="79" t="s">
        <v>2539</v>
      </c>
      <c r="G1864" s="79" t="s">
        <v>2581</v>
      </c>
      <c r="H1864" s="79"/>
      <c r="I1864" s="79"/>
    </row>
    <row r="1865" spans="1:9" ht="15">
      <c r="A1865" s="79" t="s">
        <v>3714</v>
      </c>
      <c r="B1865" s="79" t="s">
        <v>3715</v>
      </c>
      <c r="C1865" s="79">
        <v>602176334</v>
      </c>
      <c r="D1865" s="79">
        <v>0</v>
      </c>
      <c r="E1865" s="79" t="s">
        <v>1124</v>
      </c>
      <c r="F1865" s="79" t="s">
        <v>2539</v>
      </c>
      <c r="G1865" s="79" t="s">
        <v>1130</v>
      </c>
      <c r="H1865" s="79"/>
      <c r="I1865" s="79"/>
    </row>
    <row r="1866" spans="1:9" ht="15">
      <c r="A1866" s="79" t="s">
        <v>3714</v>
      </c>
      <c r="B1866" s="79" t="s">
        <v>3715</v>
      </c>
      <c r="C1866" s="79">
        <v>602176334</v>
      </c>
      <c r="D1866" s="79">
        <v>0</v>
      </c>
      <c r="E1866" s="79" t="s">
        <v>1124</v>
      </c>
      <c r="F1866" s="79" t="s">
        <v>2539</v>
      </c>
      <c r="G1866" s="79" t="s">
        <v>1131</v>
      </c>
      <c r="H1866" s="79" t="s">
        <v>1132</v>
      </c>
      <c r="I1866" s="79"/>
    </row>
    <row r="1867" spans="1:9" ht="15">
      <c r="A1867" s="79" t="s">
        <v>3714</v>
      </c>
      <c r="B1867" s="79" t="s">
        <v>3715</v>
      </c>
      <c r="C1867" s="79">
        <v>602176334</v>
      </c>
      <c r="D1867" s="79">
        <v>0</v>
      </c>
      <c r="E1867" s="79" t="s">
        <v>1124</v>
      </c>
      <c r="F1867" s="79" t="s">
        <v>2539</v>
      </c>
      <c r="G1867" s="79" t="s">
        <v>2578</v>
      </c>
      <c r="H1867" s="79"/>
      <c r="I1867" s="79"/>
    </row>
    <row r="1868" spans="1:9" ht="15">
      <c r="A1868" s="79" t="s">
        <v>3716</v>
      </c>
      <c r="B1868" s="79" t="s">
        <v>3717</v>
      </c>
      <c r="C1868" s="79">
        <v>602176934</v>
      </c>
      <c r="D1868" s="79">
        <v>0</v>
      </c>
      <c r="E1868" s="79" t="s">
        <v>1124</v>
      </c>
      <c r="F1868" s="79" t="s">
        <v>2539</v>
      </c>
      <c r="G1868" s="79" t="s">
        <v>2546</v>
      </c>
      <c r="H1868" s="79" t="s">
        <v>2547</v>
      </c>
      <c r="I1868" s="79"/>
    </row>
    <row r="1869" spans="1:9" ht="15">
      <c r="A1869" s="79" t="s">
        <v>3716</v>
      </c>
      <c r="B1869" s="79" t="s">
        <v>3717</v>
      </c>
      <c r="C1869" s="79">
        <v>602176934</v>
      </c>
      <c r="D1869" s="79">
        <v>0</v>
      </c>
      <c r="E1869" s="79" t="s">
        <v>1124</v>
      </c>
      <c r="F1869" s="79" t="s">
        <v>2539</v>
      </c>
      <c r="G1869" s="79" t="s">
        <v>2581</v>
      </c>
      <c r="H1869" s="79"/>
      <c r="I1869" s="79"/>
    </row>
    <row r="1870" spans="1:9" ht="15">
      <c r="A1870" s="79" t="s">
        <v>3718</v>
      </c>
      <c r="B1870" s="79" t="s">
        <v>3719</v>
      </c>
      <c r="C1870" s="79">
        <v>602219534</v>
      </c>
      <c r="D1870" s="79">
        <v>0</v>
      </c>
      <c r="E1870" s="79" t="s">
        <v>1124</v>
      </c>
      <c r="F1870" s="79" t="s">
        <v>2539</v>
      </c>
      <c r="G1870" s="79" t="s">
        <v>1130</v>
      </c>
      <c r="H1870" s="79"/>
      <c r="I1870" s="79"/>
    </row>
    <row r="1871" spans="1:9" ht="15">
      <c r="A1871" s="79" t="s">
        <v>3718</v>
      </c>
      <c r="B1871" s="79" t="s">
        <v>3719</v>
      </c>
      <c r="C1871" s="79">
        <v>602219534</v>
      </c>
      <c r="D1871" s="79">
        <v>0</v>
      </c>
      <c r="E1871" s="79" t="s">
        <v>1124</v>
      </c>
      <c r="F1871" s="79" t="s">
        <v>2539</v>
      </c>
      <c r="G1871" s="79" t="s">
        <v>1131</v>
      </c>
      <c r="H1871" s="79" t="s">
        <v>1132</v>
      </c>
      <c r="I1871" s="79"/>
    </row>
    <row r="1872" spans="1:9" ht="15">
      <c r="A1872" s="79" t="s">
        <v>3718</v>
      </c>
      <c r="B1872" s="79" t="s">
        <v>3719</v>
      </c>
      <c r="C1872" s="79">
        <v>602219534</v>
      </c>
      <c r="D1872" s="79">
        <v>0</v>
      </c>
      <c r="E1872" s="79" t="s">
        <v>1124</v>
      </c>
      <c r="F1872" s="79" t="s">
        <v>2539</v>
      </c>
      <c r="G1872" s="79" t="s">
        <v>2578</v>
      </c>
      <c r="H1872" s="79"/>
      <c r="I1872" s="79"/>
    </row>
    <row r="1873" spans="1:9" ht="15">
      <c r="A1873" s="79" t="s">
        <v>3720</v>
      </c>
      <c r="B1873" s="79" t="s">
        <v>3721</v>
      </c>
      <c r="C1873" s="79">
        <v>602220134</v>
      </c>
      <c r="D1873" s="79">
        <v>0</v>
      </c>
      <c r="E1873" s="79" t="s">
        <v>1124</v>
      </c>
      <c r="F1873" s="79" t="s">
        <v>2539</v>
      </c>
      <c r="G1873" s="79" t="s">
        <v>2546</v>
      </c>
      <c r="H1873" s="79" t="s">
        <v>2547</v>
      </c>
      <c r="I1873" s="79"/>
    </row>
    <row r="1874" spans="1:9" ht="15">
      <c r="A1874" s="79" t="s">
        <v>3720</v>
      </c>
      <c r="B1874" s="79" t="s">
        <v>3721</v>
      </c>
      <c r="C1874" s="79">
        <v>602220134</v>
      </c>
      <c r="D1874" s="79">
        <v>0</v>
      </c>
      <c r="E1874" s="79" t="s">
        <v>1124</v>
      </c>
      <c r="F1874" s="79" t="s">
        <v>2539</v>
      </c>
      <c r="G1874" s="79" t="s">
        <v>2581</v>
      </c>
      <c r="H1874" s="79"/>
      <c r="I1874" s="79"/>
    </row>
    <row r="1875" spans="1:9" ht="15">
      <c r="A1875" s="79" t="s">
        <v>3722</v>
      </c>
      <c r="B1875" s="79" t="s">
        <v>3723</v>
      </c>
      <c r="C1875" s="79">
        <v>602262734</v>
      </c>
      <c r="D1875" s="79">
        <v>0</v>
      </c>
      <c r="E1875" s="79" t="s">
        <v>1124</v>
      </c>
      <c r="F1875" s="79" t="s">
        <v>2539</v>
      </c>
      <c r="G1875" s="79" t="s">
        <v>1130</v>
      </c>
      <c r="H1875" s="79"/>
      <c r="I1875" s="79"/>
    </row>
    <row r="1876" spans="1:9" ht="15">
      <c r="A1876" s="79" t="s">
        <v>3722</v>
      </c>
      <c r="B1876" s="79" t="s">
        <v>3723</v>
      </c>
      <c r="C1876" s="79">
        <v>602262734</v>
      </c>
      <c r="D1876" s="79">
        <v>0</v>
      </c>
      <c r="E1876" s="79" t="s">
        <v>1124</v>
      </c>
      <c r="F1876" s="79" t="s">
        <v>2539</v>
      </c>
      <c r="G1876" s="79" t="s">
        <v>1131</v>
      </c>
      <c r="H1876" s="79" t="s">
        <v>1132</v>
      </c>
      <c r="I1876" s="79"/>
    </row>
    <row r="1877" spans="1:9" ht="15">
      <c r="A1877" s="79" t="s">
        <v>3722</v>
      </c>
      <c r="B1877" s="79" t="s">
        <v>3723</v>
      </c>
      <c r="C1877" s="79">
        <v>602262734</v>
      </c>
      <c r="D1877" s="79">
        <v>0</v>
      </c>
      <c r="E1877" s="79" t="s">
        <v>1124</v>
      </c>
      <c r="F1877" s="79" t="s">
        <v>2539</v>
      </c>
      <c r="G1877" s="79" t="s">
        <v>2578</v>
      </c>
      <c r="H1877" s="79"/>
      <c r="I1877" s="79"/>
    </row>
    <row r="1878" spans="1:9" ht="15">
      <c r="A1878" s="79" t="s">
        <v>3724</v>
      </c>
      <c r="B1878" s="79" t="s">
        <v>3725</v>
      </c>
      <c r="C1878" s="79">
        <v>602263334</v>
      </c>
      <c r="D1878" s="79">
        <v>0</v>
      </c>
      <c r="E1878" s="79" t="s">
        <v>1124</v>
      </c>
      <c r="F1878" s="79" t="s">
        <v>2539</v>
      </c>
      <c r="G1878" s="79" t="s">
        <v>2546</v>
      </c>
      <c r="H1878" s="79" t="s">
        <v>2547</v>
      </c>
      <c r="I1878" s="79"/>
    </row>
    <row r="1879" spans="1:9" ht="15">
      <c r="A1879" s="79" t="s">
        <v>3724</v>
      </c>
      <c r="B1879" s="79" t="s">
        <v>3725</v>
      </c>
      <c r="C1879" s="79">
        <v>602263334</v>
      </c>
      <c r="D1879" s="79">
        <v>0</v>
      </c>
      <c r="E1879" s="79" t="s">
        <v>1124</v>
      </c>
      <c r="F1879" s="79" t="s">
        <v>2539</v>
      </c>
      <c r="G1879" s="79" t="s">
        <v>2581</v>
      </c>
      <c r="H1879" s="79"/>
      <c r="I1879" s="79"/>
    </row>
    <row r="1880" spans="1:9" ht="15">
      <c r="A1880" s="79" t="s">
        <v>3726</v>
      </c>
      <c r="B1880" s="79" t="s">
        <v>3727</v>
      </c>
      <c r="C1880" s="79">
        <v>602305934</v>
      </c>
      <c r="D1880" s="79">
        <v>0</v>
      </c>
      <c r="E1880" s="79" t="s">
        <v>1124</v>
      </c>
      <c r="F1880" s="79" t="s">
        <v>2539</v>
      </c>
      <c r="G1880" s="79" t="s">
        <v>1130</v>
      </c>
      <c r="H1880" s="79"/>
      <c r="I1880" s="79"/>
    </row>
    <row r="1881" spans="1:9" ht="15">
      <c r="A1881" s="79" t="s">
        <v>3726</v>
      </c>
      <c r="B1881" s="79" t="s">
        <v>3727</v>
      </c>
      <c r="C1881" s="79">
        <v>602305934</v>
      </c>
      <c r="D1881" s="79">
        <v>0</v>
      </c>
      <c r="E1881" s="79" t="s">
        <v>1124</v>
      </c>
      <c r="F1881" s="79" t="s">
        <v>2539</v>
      </c>
      <c r="G1881" s="79" t="s">
        <v>1131</v>
      </c>
      <c r="H1881" s="79" t="s">
        <v>1132</v>
      </c>
      <c r="I1881" s="79"/>
    </row>
    <row r="1882" spans="1:9" ht="15">
      <c r="A1882" s="79" t="s">
        <v>3726</v>
      </c>
      <c r="B1882" s="79" t="s">
        <v>3727</v>
      </c>
      <c r="C1882" s="79">
        <v>602305934</v>
      </c>
      <c r="D1882" s="79">
        <v>0</v>
      </c>
      <c r="E1882" s="79" t="s">
        <v>1124</v>
      </c>
      <c r="F1882" s="79" t="s">
        <v>2539</v>
      </c>
      <c r="G1882" s="79" t="s">
        <v>2578</v>
      </c>
      <c r="H1882" s="79"/>
      <c r="I1882" s="79"/>
    </row>
    <row r="1883" spans="1:9" ht="15">
      <c r="A1883" s="79" t="s">
        <v>3728</v>
      </c>
      <c r="B1883" s="79" t="s">
        <v>3729</v>
      </c>
      <c r="C1883" s="79">
        <v>602306534</v>
      </c>
      <c r="D1883" s="79">
        <v>0</v>
      </c>
      <c r="E1883" s="79" t="s">
        <v>1124</v>
      </c>
      <c r="F1883" s="79" t="s">
        <v>2539</v>
      </c>
      <c r="G1883" s="79" t="s">
        <v>2546</v>
      </c>
      <c r="H1883" s="79" t="s">
        <v>2547</v>
      </c>
      <c r="I1883" s="79"/>
    </row>
    <row r="1884" spans="1:9" ht="15">
      <c r="A1884" s="79" t="s">
        <v>3728</v>
      </c>
      <c r="B1884" s="79" t="s">
        <v>3729</v>
      </c>
      <c r="C1884" s="79">
        <v>602306534</v>
      </c>
      <c r="D1884" s="79">
        <v>0</v>
      </c>
      <c r="E1884" s="79" t="s">
        <v>1124</v>
      </c>
      <c r="F1884" s="79" t="s">
        <v>2539</v>
      </c>
      <c r="G1884" s="79" t="s">
        <v>2581</v>
      </c>
      <c r="H1884" s="79"/>
      <c r="I1884" s="79"/>
    </row>
    <row r="1885" spans="1:9" ht="15">
      <c r="A1885" s="79" t="s">
        <v>3730</v>
      </c>
      <c r="B1885" s="79" t="s">
        <v>3731</v>
      </c>
      <c r="C1885" s="79">
        <v>602349134</v>
      </c>
      <c r="D1885" s="79">
        <v>0</v>
      </c>
      <c r="E1885" s="79" t="s">
        <v>1124</v>
      </c>
      <c r="F1885" s="79" t="s">
        <v>2539</v>
      </c>
      <c r="G1885" s="79" t="s">
        <v>1130</v>
      </c>
      <c r="H1885" s="79"/>
      <c r="I1885" s="79"/>
    </row>
    <row r="1886" spans="1:9" ht="15">
      <c r="A1886" s="79" t="s">
        <v>3730</v>
      </c>
      <c r="B1886" s="79" t="s">
        <v>3731</v>
      </c>
      <c r="C1886" s="79">
        <v>602349134</v>
      </c>
      <c r="D1886" s="79">
        <v>0</v>
      </c>
      <c r="E1886" s="79" t="s">
        <v>1124</v>
      </c>
      <c r="F1886" s="79" t="s">
        <v>2539</v>
      </c>
      <c r="G1886" s="79" t="s">
        <v>2109</v>
      </c>
      <c r="H1886" s="79"/>
      <c r="I1886" s="79"/>
    </row>
    <row r="1887" spans="1:9" ht="15">
      <c r="A1887" s="79" t="s">
        <v>3732</v>
      </c>
      <c r="B1887" s="79" t="s">
        <v>3733</v>
      </c>
      <c r="C1887" s="79">
        <v>602349137</v>
      </c>
      <c r="D1887" s="79">
        <v>0</v>
      </c>
      <c r="E1887" s="79" t="s">
        <v>1124</v>
      </c>
      <c r="F1887" s="79" t="s">
        <v>2539</v>
      </c>
      <c r="G1887" s="79" t="s">
        <v>1130</v>
      </c>
      <c r="H1887" s="79"/>
      <c r="I1887" s="79"/>
    </row>
    <row r="1888" spans="1:9" ht="15">
      <c r="A1888" s="79" t="s">
        <v>3732</v>
      </c>
      <c r="B1888" s="79" t="s">
        <v>3733</v>
      </c>
      <c r="C1888" s="79">
        <v>602349137</v>
      </c>
      <c r="D1888" s="79">
        <v>0</v>
      </c>
      <c r="E1888" s="79" t="s">
        <v>1124</v>
      </c>
      <c r="F1888" s="79" t="s">
        <v>2539</v>
      </c>
      <c r="G1888" s="79" t="s">
        <v>2572</v>
      </c>
      <c r="H1888" s="79" t="s">
        <v>2573</v>
      </c>
      <c r="I1888" s="79"/>
    </row>
    <row r="1889" spans="1:9" ht="15">
      <c r="A1889" s="79" t="s">
        <v>3732</v>
      </c>
      <c r="B1889" s="79" t="s">
        <v>3733</v>
      </c>
      <c r="C1889" s="79">
        <v>602349137</v>
      </c>
      <c r="D1889" s="79">
        <v>0</v>
      </c>
      <c r="E1889" s="79" t="s">
        <v>1124</v>
      </c>
      <c r="F1889" s="79" t="s">
        <v>2539</v>
      </c>
      <c r="G1889" s="79" t="s">
        <v>2568</v>
      </c>
      <c r="H1889" s="79"/>
      <c r="I1889" s="79"/>
    </row>
    <row r="1890" spans="1:9" ht="15">
      <c r="A1890" s="79" t="s">
        <v>3734</v>
      </c>
      <c r="B1890" s="79" t="s">
        <v>3735</v>
      </c>
      <c r="C1890" s="79">
        <v>602349497</v>
      </c>
      <c r="D1890" s="79">
        <v>0</v>
      </c>
      <c r="E1890" s="79" t="s">
        <v>1124</v>
      </c>
      <c r="F1890" s="79" t="s">
        <v>2539</v>
      </c>
      <c r="G1890" s="79" t="s">
        <v>2576</v>
      </c>
      <c r="H1890" s="79"/>
      <c r="I1890" s="79"/>
    </row>
    <row r="1891" spans="1:9" ht="15">
      <c r="A1891" s="79" t="s">
        <v>3734</v>
      </c>
      <c r="B1891" s="79" t="s">
        <v>3735</v>
      </c>
      <c r="C1891" s="79">
        <v>602349497</v>
      </c>
      <c r="D1891" s="79">
        <v>0</v>
      </c>
      <c r="E1891" s="79" t="s">
        <v>1124</v>
      </c>
      <c r="F1891" s="79" t="s">
        <v>2539</v>
      </c>
      <c r="G1891" s="79" t="s">
        <v>2577</v>
      </c>
      <c r="H1891" s="79"/>
      <c r="I1891" s="79"/>
    </row>
    <row r="1892" spans="1:9" ht="15">
      <c r="A1892" s="79" t="s">
        <v>3734</v>
      </c>
      <c r="B1892" s="79" t="s">
        <v>3735</v>
      </c>
      <c r="C1892" s="79">
        <v>602349497</v>
      </c>
      <c r="D1892" s="79">
        <v>0</v>
      </c>
      <c r="E1892" s="79" t="s">
        <v>1124</v>
      </c>
      <c r="F1892" s="79" t="s">
        <v>2539</v>
      </c>
      <c r="G1892" s="79" t="s">
        <v>1131</v>
      </c>
      <c r="H1892" s="79" t="s">
        <v>1132</v>
      </c>
      <c r="I1892" s="79"/>
    </row>
    <row r="1893" spans="1:9" ht="15">
      <c r="A1893" s="79" t="s">
        <v>3734</v>
      </c>
      <c r="B1893" s="79" t="s">
        <v>3735</v>
      </c>
      <c r="C1893" s="79">
        <v>602349497</v>
      </c>
      <c r="D1893" s="79">
        <v>0</v>
      </c>
      <c r="E1893" s="79" t="s">
        <v>1124</v>
      </c>
      <c r="F1893" s="79" t="s">
        <v>2539</v>
      </c>
      <c r="G1893" s="79" t="s">
        <v>2578</v>
      </c>
      <c r="H1893" s="79"/>
      <c r="I1893" s="79"/>
    </row>
    <row r="1894" spans="1:9" ht="15">
      <c r="A1894" s="79" t="s">
        <v>3736</v>
      </c>
      <c r="B1894" s="79" t="s">
        <v>3737</v>
      </c>
      <c r="C1894" s="79">
        <v>602350097</v>
      </c>
      <c r="D1894" s="79">
        <v>0</v>
      </c>
      <c r="E1894" s="79" t="s">
        <v>1124</v>
      </c>
      <c r="F1894" s="79" t="s">
        <v>2539</v>
      </c>
      <c r="G1894" s="79" t="s">
        <v>2546</v>
      </c>
      <c r="H1894" s="79" t="s">
        <v>2547</v>
      </c>
      <c r="I1894" s="79"/>
    </row>
    <row r="1895" spans="1:9" ht="15">
      <c r="A1895" s="79" t="s">
        <v>3736</v>
      </c>
      <c r="B1895" s="79" t="s">
        <v>3737</v>
      </c>
      <c r="C1895" s="79">
        <v>602350097</v>
      </c>
      <c r="D1895" s="79">
        <v>0</v>
      </c>
      <c r="E1895" s="79" t="s">
        <v>1124</v>
      </c>
      <c r="F1895" s="79" t="s">
        <v>2539</v>
      </c>
      <c r="G1895" s="79" t="s">
        <v>2581</v>
      </c>
      <c r="H1895" s="79"/>
      <c r="I1895" s="79"/>
    </row>
    <row r="1896" spans="1:9" ht="15">
      <c r="A1896" s="79" t="s">
        <v>3738</v>
      </c>
      <c r="B1896" s="79" t="s">
        <v>3739</v>
      </c>
      <c r="C1896" s="79">
        <v>602392697</v>
      </c>
      <c r="D1896" s="79">
        <v>0</v>
      </c>
      <c r="E1896" s="79" t="s">
        <v>1124</v>
      </c>
      <c r="F1896" s="79" t="s">
        <v>2539</v>
      </c>
      <c r="G1896" s="79" t="s">
        <v>1130</v>
      </c>
      <c r="H1896" s="79"/>
      <c r="I1896" s="79"/>
    </row>
    <row r="1897" spans="1:9" ht="15">
      <c r="A1897" s="79" t="s">
        <v>3738</v>
      </c>
      <c r="B1897" s="79" t="s">
        <v>3739</v>
      </c>
      <c r="C1897" s="79">
        <v>602392697</v>
      </c>
      <c r="D1897" s="79">
        <v>0</v>
      </c>
      <c r="E1897" s="79" t="s">
        <v>1124</v>
      </c>
      <c r="F1897" s="79" t="s">
        <v>2539</v>
      </c>
      <c r="G1897" s="79" t="s">
        <v>1131</v>
      </c>
      <c r="H1897" s="79" t="s">
        <v>1132</v>
      </c>
      <c r="I1897" s="79"/>
    </row>
    <row r="1898" spans="1:9" ht="15">
      <c r="A1898" s="79" t="s">
        <v>3738</v>
      </c>
      <c r="B1898" s="79" t="s">
        <v>3739</v>
      </c>
      <c r="C1898" s="79">
        <v>602392697</v>
      </c>
      <c r="D1898" s="79">
        <v>0</v>
      </c>
      <c r="E1898" s="79" t="s">
        <v>1124</v>
      </c>
      <c r="F1898" s="79" t="s">
        <v>2539</v>
      </c>
      <c r="G1898" s="79" t="s">
        <v>2578</v>
      </c>
      <c r="H1898" s="79"/>
      <c r="I1898" s="79"/>
    </row>
    <row r="1899" spans="1:9" ht="15">
      <c r="A1899" s="79" t="s">
        <v>3740</v>
      </c>
      <c r="B1899" s="79" t="s">
        <v>3741</v>
      </c>
      <c r="C1899" s="79">
        <v>602393297</v>
      </c>
      <c r="D1899" s="79">
        <v>0</v>
      </c>
      <c r="E1899" s="79" t="s">
        <v>1124</v>
      </c>
      <c r="F1899" s="79" t="s">
        <v>2539</v>
      </c>
      <c r="G1899" s="79" t="s">
        <v>2546</v>
      </c>
      <c r="H1899" s="79" t="s">
        <v>2547</v>
      </c>
      <c r="I1899" s="79"/>
    </row>
    <row r="1900" spans="1:9" ht="15">
      <c r="A1900" s="79" t="s">
        <v>3740</v>
      </c>
      <c r="B1900" s="79" t="s">
        <v>3741</v>
      </c>
      <c r="C1900" s="79">
        <v>602393297</v>
      </c>
      <c r="D1900" s="79">
        <v>0</v>
      </c>
      <c r="E1900" s="79" t="s">
        <v>1124</v>
      </c>
      <c r="F1900" s="79" t="s">
        <v>2539</v>
      </c>
      <c r="G1900" s="79" t="s">
        <v>2581</v>
      </c>
      <c r="H1900" s="79"/>
      <c r="I1900" s="79"/>
    </row>
    <row r="1901" spans="1:9" ht="15">
      <c r="A1901" s="79" t="s">
        <v>3742</v>
      </c>
      <c r="B1901" s="79" t="s">
        <v>3743</v>
      </c>
      <c r="C1901" s="79">
        <v>602435897</v>
      </c>
      <c r="D1901" s="79">
        <v>0</v>
      </c>
      <c r="E1901" s="79" t="s">
        <v>1124</v>
      </c>
      <c r="F1901" s="79" t="s">
        <v>2539</v>
      </c>
      <c r="G1901" s="79" t="s">
        <v>1130</v>
      </c>
      <c r="H1901" s="79"/>
      <c r="I1901" s="79"/>
    </row>
    <row r="1902" spans="1:9" ht="15">
      <c r="A1902" s="79" t="s">
        <v>3742</v>
      </c>
      <c r="B1902" s="79" t="s">
        <v>3743</v>
      </c>
      <c r="C1902" s="79">
        <v>602435897</v>
      </c>
      <c r="D1902" s="79">
        <v>0</v>
      </c>
      <c r="E1902" s="79" t="s">
        <v>1124</v>
      </c>
      <c r="F1902" s="79" t="s">
        <v>2539</v>
      </c>
      <c r="G1902" s="79" t="s">
        <v>1131</v>
      </c>
      <c r="H1902" s="79" t="s">
        <v>1132</v>
      </c>
      <c r="I1902" s="79"/>
    </row>
    <row r="1903" spans="1:9" ht="15">
      <c r="A1903" s="79" t="s">
        <v>3742</v>
      </c>
      <c r="B1903" s="79" t="s">
        <v>3743</v>
      </c>
      <c r="C1903" s="79">
        <v>602435897</v>
      </c>
      <c r="D1903" s="79">
        <v>0</v>
      </c>
      <c r="E1903" s="79" t="s">
        <v>1124</v>
      </c>
      <c r="F1903" s="79" t="s">
        <v>2539</v>
      </c>
      <c r="G1903" s="79" t="s">
        <v>2578</v>
      </c>
      <c r="H1903" s="79"/>
      <c r="I1903" s="79"/>
    </row>
    <row r="1904" spans="1:9" ht="15">
      <c r="A1904" s="79" t="s">
        <v>3744</v>
      </c>
      <c r="B1904" s="79" t="s">
        <v>3745</v>
      </c>
      <c r="C1904" s="79">
        <v>602436497</v>
      </c>
      <c r="D1904" s="79">
        <v>0</v>
      </c>
      <c r="E1904" s="79" t="s">
        <v>1124</v>
      </c>
      <c r="F1904" s="79" t="s">
        <v>2539</v>
      </c>
      <c r="G1904" s="79" t="s">
        <v>2546</v>
      </c>
      <c r="H1904" s="79" t="s">
        <v>2547</v>
      </c>
      <c r="I1904" s="79"/>
    </row>
    <row r="1905" spans="1:9" ht="15">
      <c r="A1905" s="79" t="s">
        <v>3744</v>
      </c>
      <c r="B1905" s="79" t="s">
        <v>3745</v>
      </c>
      <c r="C1905" s="79">
        <v>602436497</v>
      </c>
      <c r="D1905" s="79">
        <v>0</v>
      </c>
      <c r="E1905" s="79" t="s">
        <v>1124</v>
      </c>
      <c r="F1905" s="79" t="s">
        <v>2539</v>
      </c>
      <c r="G1905" s="79" t="s">
        <v>2581</v>
      </c>
      <c r="H1905" s="79"/>
      <c r="I1905" s="79"/>
    </row>
    <row r="1906" spans="1:9" ht="15">
      <c r="A1906" s="79" t="s">
        <v>3746</v>
      </c>
      <c r="B1906" s="79" t="s">
        <v>3747</v>
      </c>
      <c r="C1906" s="79">
        <v>602479097</v>
      </c>
      <c r="D1906" s="79">
        <v>0</v>
      </c>
      <c r="E1906" s="79" t="s">
        <v>1124</v>
      </c>
      <c r="F1906" s="79" t="s">
        <v>2539</v>
      </c>
      <c r="G1906" s="79" t="s">
        <v>1130</v>
      </c>
      <c r="H1906" s="79"/>
      <c r="I1906" s="79"/>
    </row>
    <row r="1907" spans="1:9" ht="15">
      <c r="A1907" s="79" t="s">
        <v>3746</v>
      </c>
      <c r="B1907" s="79" t="s">
        <v>3747</v>
      </c>
      <c r="C1907" s="79">
        <v>602479097</v>
      </c>
      <c r="D1907" s="79">
        <v>0</v>
      </c>
      <c r="E1907" s="79" t="s">
        <v>1124</v>
      </c>
      <c r="F1907" s="79" t="s">
        <v>2539</v>
      </c>
      <c r="G1907" s="79" t="s">
        <v>1131</v>
      </c>
      <c r="H1907" s="79" t="s">
        <v>1132</v>
      </c>
      <c r="I1907" s="79"/>
    </row>
    <row r="1908" spans="1:9" ht="15">
      <c r="A1908" s="79" t="s">
        <v>3746</v>
      </c>
      <c r="B1908" s="79" t="s">
        <v>3747</v>
      </c>
      <c r="C1908" s="79">
        <v>602479097</v>
      </c>
      <c r="D1908" s="79">
        <v>0</v>
      </c>
      <c r="E1908" s="79" t="s">
        <v>1124</v>
      </c>
      <c r="F1908" s="79" t="s">
        <v>2539</v>
      </c>
      <c r="G1908" s="79" t="s">
        <v>2578</v>
      </c>
      <c r="H1908" s="79"/>
      <c r="I1908" s="79"/>
    </row>
    <row r="1909" spans="1:9" ht="15">
      <c r="A1909" s="79" t="s">
        <v>3748</v>
      </c>
      <c r="B1909" s="79" t="s">
        <v>3749</v>
      </c>
      <c r="C1909" s="79">
        <v>602479697</v>
      </c>
      <c r="D1909" s="79">
        <v>0</v>
      </c>
      <c r="E1909" s="79" t="s">
        <v>1124</v>
      </c>
      <c r="F1909" s="79" t="s">
        <v>2539</v>
      </c>
      <c r="G1909" s="79" t="s">
        <v>2546</v>
      </c>
      <c r="H1909" s="79" t="s">
        <v>2547</v>
      </c>
      <c r="I1909" s="79"/>
    </row>
    <row r="1910" spans="1:9" ht="15">
      <c r="A1910" s="79" t="s">
        <v>3748</v>
      </c>
      <c r="B1910" s="79" t="s">
        <v>3749</v>
      </c>
      <c r="C1910" s="79">
        <v>602479697</v>
      </c>
      <c r="D1910" s="79">
        <v>0</v>
      </c>
      <c r="E1910" s="79" t="s">
        <v>1124</v>
      </c>
      <c r="F1910" s="79" t="s">
        <v>2539</v>
      </c>
      <c r="G1910" s="79" t="s">
        <v>2581</v>
      </c>
      <c r="H1910" s="79"/>
      <c r="I1910" s="79"/>
    </row>
    <row r="1911" spans="1:9" ht="15">
      <c r="A1911" s="79" t="s">
        <v>3750</v>
      </c>
      <c r="B1911" s="79" t="s">
        <v>3751</v>
      </c>
      <c r="C1911" s="79">
        <v>602522297</v>
      </c>
      <c r="D1911" s="79">
        <v>0</v>
      </c>
      <c r="E1911" s="79" t="s">
        <v>1124</v>
      </c>
      <c r="F1911" s="79" t="s">
        <v>2539</v>
      </c>
      <c r="G1911" s="79" t="s">
        <v>1130</v>
      </c>
      <c r="H1911" s="79"/>
      <c r="I1911" s="79"/>
    </row>
    <row r="1912" spans="1:9" ht="15">
      <c r="A1912" s="79" t="s">
        <v>3750</v>
      </c>
      <c r="B1912" s="79" t="s">
        <v>3751</v>
      </c>
      <c r="C1912" s="79">
        <v>602522297</v>
      </c>
      <c r="D1912" s="79">
        <v>0</v>
      </c>
      <c r="E1912" s="79" t="s">
        <v>1124</v>
      </c>
      <c r="F1912" s="79" t="s">
        <v>2539</v>
      </c>
      <c r="G1912" s="79" t="s">
        <v>1131</v>
      </c>
      <c r="H1912" s="79" t="s">
        <v>1132</v>
      </c>
      <c r="I1912" s="79"/>
    </row>
    <row r="1913" spans="1:9" ht="15">
      <c r="A1913" s="79" t="s">
        <v>3750</v>
      </c>
      <c r="B1913" s="79" t="s">
        <v>3751</v>
      </c>
      <c r="C1913" s="79">
        <v>602522297</v>
      </c>
      <c r="D1913" s="79">
        <v>0</v>
      </c>
      <c r="E1913" s="79" t="s">
        <v>1124</v>
      </c>
      <c r="F1913" s="79" t="s">
        <v>2539</v>
      </c>
      <c r="G1913" s="79" t="s">
        <v>2578</v>
      </c>
      <c r="H1913" s="79"/>
      <c r="I1913" s="79"/>
    </row>
    <row r="1914" spans="1:9" ht="15">
      <c r="A1914" s="79" t="s">
        <v>3752</v>
      </c>
      <c r="B1914" s="79" t="s">
        <v>3753</v>
      </c>
      <c r="C1914" s="79">
        <v>602522897</v>
      </c>
      <c r="D1914" s="79">
        <v>0</v>
      </c>
      <c r="E1914" s="79" t="s">
        <v>1124</v>
      </c>
      <c r="F1914" s="79" t="s">
        <v>2539</v>
      </c>
      <c r="G1914" s="79" t="s">
        <v>2546</v>
      </c>
      <c r="H1914" s="79" t="s">
        <v>2547</v>
      </c>
      <c r="I1914" s="79"/>
    </row>
    <row r="1915" spans="1:9" ht="15">
      <c r="A1915" s="79" t="s">
        <v>3752</v>
      </c>
      <c r="B1915" s="79" t="s">
        <v>3753</v>
      </c>
      <c r="C1915" s="79">
        <v>602522897</v>
      </c>
      <c r="D1915" s="79">
        <v>0</v>
      </c>
      <c r="E1915" s="79" t="s">
        <v>1124</v>
      </c>
      <c r="F1915" s="79" t="s">
        <v>2539</v>
      </c>
      <c r="G1915" s="79" t="s">
        <v>2581</v>
      </c>
      <c r="H1915" s="79"/>
      <c r="I1915" s="79"/>
    </row>
    <row r="1916" spans="1:9" ht="15">
      <c r="A1916" s="79" t="s">
        <v>3754</v>
      </c>
      <c r="B1916" s="79" t="s">
        <v>3755</v>
      </c>
      <c r="C1916" s="79">
        <v>602565497</v>
      </c>
      <c r="D1916" s="79">
        <v>0</v>
      </c>
      <c r="E1916" s="79" t="s">
        <v>1124</v>
      </c>
      <c r="F1916" s="79" t="s">
        <v>2539</v>
      </c>
      <c r="G1916" s="79" t="s">
        <v>1130</v>
      </c>
      <c r="H1916" s="79"/>
      <c r="I1916" s="79"/>
    </row>
    <row r="1917" spans="1:9" ht="15">
      <c r="A1917" s="79" t="s">
        <v>3754</v>
      </c>
      <c r="B1917" s="79" t="s">
        <v>3755</v>
      </c>
      <c r="C1917" s="79">
        <v>602565497</v>
      </c>
      <c r="D1917" s="79">
        <v>0</v>
      </c>
      <c r="E1917" s="79" t="s">
        <v>1124</v>
      </c>
      <c r="F1917" s="79" t="s">
        <v>2539</v>
      </c>
      <c r="G1917" s="79" t="s">
        <v>1131</v>
      </c>
      <c r="H1917" s="79" t="s">
        <v>1132</v>
      </c>
      <c r="I1917" s="79"/>
    </row>
    <row r="1918" spans="1:9" ht="15">
      <c r="A1918" s="79" t="s">
        <v>3754</v>
      </c>
      <c r="B1918" s="79" t="s">
        <v>3755</v>
      </c>
      <c r="C1918" s="79">
        <v>602565497</v>
      </c>
      <c r="D1918" s="79">
        <v>0</v>
      </c>
      <c r="E1918" s="79" t="s">
        <v>1124</v>
      </c>
      <c r="F1918" s="79" t="s">
        <v>2539</v>
      </c>
      <c r="G1918" s="79" t="s">
        <v>2578</v>
      </c>
      <c r="H1918" s="79"/>
      <c r="I1918" s="79"/>
    </row>
    <row r="1919" spans="1:9" ht="15">
      <c r="A1919" s="79" t="s">
        <v>3756</v>
      </c>
      <c r="B1919" s="79" t="s">
        <v>3757</v>
      </c>
      <c r="C1919" s="79">
        <v>602566097</v>
      </c>
      <c r="D1919" s="79">
        <v>0</v>
      </c>
      <c r="E1919" s="79" t="s">
        <v>1124</v>
      </c>
      <c r="F1919" s="79" t="s">
        <v>2539</v>
      </c>
      <c r="G1919" s="79" t="s">
        <v>2546</v>
      </c>
      <c r="H1919" s="79" t="s">
        <v>2547</v>
      </c>
      <c r="I1919" s="79"/>
    </row>
    <row r="1920" spans="1:9" ht="15">
      <c r="A1920" s="79" t="s">
        <v>3756</v>
      </c>
      <c r="B1920" s="79" t="s">
        <v>3757</v>
      </c>
      <c r="C1920" s="79">
        <v>602566097</v>
      </c>
      <c r="D1920" s="79">
        <v>0</v>
      </c>
      <c r="E1920" s="79" t="s">
        <v>1124</v>
      </c>
      <c r="F1920" s="79" t="s">
        <v>2539</v>
      </c>
      <c r="G1920" s="79" t="s">
        <v>2581</v>
      </c>
      <c r="H1920" s="79"/>
      <c r="I1920" s="79"/>
    </row>
    <row r="1921" spans="1:9" ht="15">
      <c r="A1921" s="79" t="s">
        <v>3758</v>
      </c>
      <c r="B1921" s="79" t="s">
        <v>3759</v>
      </c>
      <c r="C1921" s="79">
        <v>602608697</v>
      </c>
      <c r="D1921" s="79">
        <v>0</v>
      </c>
      <c r="E1921" s="79" t="s">
        <v>1124</v>
      </c>
      <c r="F1921" s="79" t="s">
        <v>2539</v>
      </c>
      <c r="G1921" s="79" t="s">
        <v>1130</v>
      </c>
      <c r="H1921" s="79"/>
      <c r="I1921" s="79"/>
    </row>
    <row r="1922" spans="1:9" ht="15">
      <c r="A1922" s="79" t="s">
        <v>3758</v>
      </c>
      <c r="B1922" s="79" t="s">
        <v>3759</v>
      </c>
      <c r="C1922" s="79">
        <v>602608697</v>
      </c>
      <c r="D1922" s="79">
        <v>0</v>
      </c>
      <c r="E1922" s="79" t="s">
        <v>1124</v>
      </c>
      <c r="F1922" s="79" t="s">
        <v>2539</v>
      </c>
      <c r="G1922" s="79" t="s">
        <v>1131</v>
      </c>
      <c r="H1922" s="79" t="s">
        <v>1132</v>
      </c>
      <c r="I1922" s="79"/>
    </row>
    <row r="1923" spans="1:9" ht="15">
      <c r="A1923" s="79" t="s">
        <v>3758</v>
      </c>
      <c r="B1923" s="79" t="s">
        <v>3759</v>
      </c>
      <c r="C1923" s="79">
        <v>602608697</v>
      </c>
      <c r="D1923" s="79">
        <v>0</v>
      </c>
      <c r="E1923" s="79" t="s">
        <v>1124</v>
      </c>
      <c r="F1923" s="79" t="s">
        <v>2539</v>
      </c>
      <c r="G1923" s="79" t="s">
        <v>2578</v>
      </c>
      <c r="H1923" s="79"/>
      <c r="I1923" s="79"/>
    </row>
    <row r="1924" spans="1:9" ht="15">
      <c r="A1924" s="79" t="s">
        <v>3760</v>
      </c>
      <c r="B1924" s="79" t="s">
        <v>3761</v>
      </c>
      <c r="C1924" s="79">
        <v>602609297</v>
      </c>
      <c r="D1924" s="79">
        <v>0</v>
      </c>
      <c r="E1924" s="79" t="s">
        <v>1124</v>
      </c>
      <c r="F1924" s="79" t="s">
        <v>2539</v>
      </c>
      <c r="G1924" s="79" t="s">
        <v>2546</v>
      </c>
      <c r="H1924" s="79" t="s">
        <v>2547</v>
      </c>
      <c r="I1924" s="79"/>
    </row>
    <row r="1925" spans="1:9" ht="15">
      <c r="A1925" s="79" t="s">
        <v>3760</v>
      </c>
      <c r="B1925" s="79" t="s">
        <v>3761</v>
      </c>
      <c r="C1925" s="79">
        <v>602609297</v>
      </c>
      <c r="D1925" s="79">
        <v>0</v>
      </c>
      <c r="E1925" s="79" t="s">
        <v>1124</v>
      </c>
      <c r="F1925" s="79" t="s">
        <v>2539</v>
      </c>
      <c r="G1925" s="79" t="s">
        <v>2581</v>
      </c>
      <c r="H1925" s="79"/>
      <c r="I1925" s="79"/>
    </row>
    <row r="1926" spans="1:9" ht="15">
      <c r="A1926" s="79" t="s">
        <v>3762</v>
      </c>
      <c r="B1926" s="79" t="s">
        <v>3763</v>
      </c>
      <c r="C1926" s="79">
        <v>602651897</v>
      </c>
      <c r="D1926" s="79">
        <v>0</v>
      </c>
      <c r="E1926" s="79" t="s">
        <v>1124</v>
      </c>
      <c r="F1926" s="79" t="s">
        <v>2539</v>
      </c>
      <c r="G1926" s="79" t="s">
        <v>1130</v>
      </c>
      <c r="H1926" s="79"/>
      <c r="I1926" s="79"/>
    </row>
    <row r="1927" spans="1:9" ht="15">
      <c r="A1927" s="79" t="s">
        <v>3762</v>
      </c>
      <c r="B1927" s="79" t="s">
        <v>3763</v>
      </c>
      <c r="C1927" s="79">
        <v>602651897</v>
      </c>
      <c r="D1927" s="79">
        <v>0</v>
      </c>
      <c r="E1927" s="79" t="s">
        <v>1124</v>
      </c>
      <c r="F1927" s="79" t="s">
        <v>2539</v>
      </c>
      <c r="G1927" s="79" t="s">
        <v>1131</v>
      </c>
      <c r="H1927" s="79" t="s">
        <v>1132</v>
      </c>
      <c r="I1927" s="79"/>
    </row>
    <row r="1928" spans="1:9" ht="15">
      <c r="A1928" s="79" t="s">
        <v>3762</v>
      </c>
      <c r="B1928" s="79" t="s">
        <v>3763</v>
      </c>
      <c r="C1928" s="79">
        <v>602651897</v>
      </c>
      <c r="D1928" s="79">
        <v>0</v>
      </c>
      <c r="E1928" s="79" t="s">
        <v>1124</v>
      </c>
      <c r="F1928" s="79" t="s">
        <v>2539</v>
      </c>
      <c r="G1928" s="79" t="s">
        <v>2578</v>
      </c>
      <c r="H1928" s="79"/>
      <c r="I1928" s="79"/>
    </row>
    <row r="1929" spans="1:9" ht="15">
      <c r="A1929" s="79" t="s">
        <v>3764</v>
      </c>
      <c r="B1929" s="79" t="s">
        <v>3765</v>
      </c>
      <c r="C1929" s="79">
        <v>602652497</v>
      </c>
      <c r="D1929" s="79">
        <v>0</v>
      </c>
      <c r="E1929" s="79" t="s">
        <v>1124</v>
      </c>
      <c r="F1929" s="79" t="s">
        <v>2539</v>
      </c>
      <c r="G1929" s="79" t="s">
        <v>2546</v>
      </c>
      <c r="H1929" s="79" t="s">
        <v>2547</v>
      </c>
      <c r="I1929" s="79"/>
    </row>
    <row r="1930" spans="1:9" ht="15">
      <c r="A1930" s="79" t="s">
        <v>3764</v>
      </c>
      <c r="B1930" s="79" t="s">
        <v>3765</v>
      </c>
      <c r="C1930" s="79">
        <v>602652497</v>
      </c>
      <c r="D1930" s="79">
        <v>0</v>
      </c>
      <c r="E1930" s="79" t="s">
        <v>1124</v>
      </c>
      <c r="F1930" s="79" t="s">
        <v>2539</v>
      </c>
      <c r="G1930" s="79" t="s">
        <v>2581</v>
      </c>
      <c r="H1930" s="79"/>
      <c r="I1930" s="79"/>
    </row>
    <row r="1931" spans="1:9" ht="15">
      <c r="A1931" s="79" t="s">
        <v>3766</v>
      </c>
      <c r="B1931" s="79" t="s">
        <v>3767</v>
      </c>
      <c r="C1931" s="79">
        <v>602695097</v>
      </c>
      <c r="D1931" s="79">
        <v>0</v>
      </c>
      <c r="E1931" s="79" t="s">
        <v>1124</v>
      </c>
      <c r="F1931" s="79" t="s">
        <v>2539</v>
      </c>
      <c r="G1931" s="79" t="s">
        <v>1130</v>
      </c>
      <c r="H1931" s="79"/>
      <c r="I1931" s="79"/>
    </row>
    <row r="1932" spans="1:9" ht="15">
      <c r="A1932" s="79" t="s">
        <v>3766</v>
      </c>
      <c r="B1932" s="79" t="s">
        <v>3767</v>
      </c>
      <c r="C1932" s="79">
        <v>602695097</v>
      </c>
      <c r="D1932" s="79">
        <v>0</v>
      </c>
      <c r="E1932" s="79" t="s">
        <v>1124</v>
      </c>
      <c r="F1932" s="79" t="s">
        <v>2539</v>
      </c>
      <c r="G1932" s="79" t="s">
        <v>1131</v>
      </c>
      <c r="H1932" s="79" t="s">
        <v>1132</v>
      </c>
      <c r="I1932" s="79"/>
    </row>
    <row r="1933" spans="1:9" ht="15">
      <c r="A1933" s="79" t="s">
        <v>3766</v>
      </c>
      <c r="B1933" s="79" t="s">
        <v>3767</v>
      </c>
      <c r="C1933" s="79">
        <v>602695097</v>
      </c>
      <c r="D1933" s="79">
        <v>0</v>
      </c>
      <c r="E1933" s="79" t="s">
        <v>1124</v>
      </c>
      <c r="F1933" s="79" t="s">
        <v>2539</v>
      </c>
      <c r="G1933" s="79" t="s">
        <v>2578</v>
      </c>
      <c r="H1933" s="79"/>
      <c r="I1933" s="79"/>
    </row>
    <row r="1934" spans="1:9" ht="15">
      <c r="A1934" s="79" t="s">
        <v>3768</v>
      </c>
      <c r="B1934" s="79" t="s">
        <v>3769</v>
      </c>
      <c r="C1934" s="79">
        <v>602695697</v>
      </c>
      <c r="D1934" s="79">
        <v>0</v>
      </c>
      <c r="E1934" s="79" t="s">
        <v>1124</v>
      </c>
      <c r="F1934" s="79" t="s">
        <v>2539</v>
      </c>
      <c r="G1934" s="79" t="s">
        <v>2546</v>
      </c>
      <c r="H1934" s="79" t="s">
        <v>2547</v>
      </c>
      <c r="I1934" s="79"/>
    </row>
    <row r="1935" spans="1:9" ht="15">
      <c r="A1935" s="79" t="s">
        <v>3768</v>
      </c>
      <c r="B1935" s="79" t="s">
        <v>3769</v>
      </c>
      <c r="C1935" s="79">
        <v>602695697</v>
      </c>
      <c r="D1935" s="79">
        <v>0</v>
      </c>
      <c r="E1935" s="79" t="s">
        <v>1124</v>
      </c>
      <c r="F1935" s="79" t="s">
        <v>2539</v>
      </c>
      <c r="G1935" s="79" t="s">
        <v>2581</v>
      </c>
      <c r="H1935" s="79"/>
      <c r="I1935" s="79"/>
    </row>
    <row r="1936" spans="1:9" ht="15">
      <c r="A1936" s="79" t="s">
        <v>3770</v>
      </c>
      <c r="B1936" s="79" t="s">
        <v>3771</v>
      </c>
      <c r="C1936" s="79">
        <v>602738297</v>
      </c>
      <c r="D1936" s="79">
        <v>0</v>
      </c>
      <c r="E1936" s="79" t="s">
        <v>1124</v>
      </c>
      <c r="F1936" s="79" t="s">
        <v>2539</v>
      </c>
      <c r="G1936" s="79" t="s">
        <v>1130</v>
      </c>
      <c r="H1936" s="79"/>
      <c r="I1936" s="79"/>
    </row>
    <row r="1937" spans="1:9" ht="15">
      <c r="A1937" s="79" t="s">
        <v>3770</v>
      </c>
      <c r="B1937" s="79" t="s">
        <v>3771</v>
      </c>
      <c r="C1937" s="79">
        <v>602738297</v>
      </c>
      <c r="D1937" s="79">
        <v>0</v>
      </c>
      <c r="E1937" s="79" t="s">
        <v>1124</v>
      </c>
      <c r="F1937" s="79" t="s">
        <v>2539</v>
      </c>
      <c r="G1937" s="79" t="s">
        <v>1131</v>
      </c>
      <c r="H1937" s="79" t="s">
        <v>1132</v>
      </c>
      <c r="I1937" s="79"/>
    </row>
    <row r="1938" spans="1:9" ht="15">
      <c r="A1938" s="79" t="s">
        <v>3770</v>
      </c>
      <c r="B1938" s="79" t="s">
        <v>3771</v>
      </c>
      <c r="C1938" s="79">
        <v>602738297</v>
      </c>
      <c r="D1938" s="79">
        <v>0</v>
      </c>
      <c r="E1938" s="79" t="s">
        <v>1124</v>
      </c>
      <c r="F1938" s="79" t="s">
        <v>2539</v>
      </c>
      <c r="G1938" s="79" t="s">
        <v>2578</v>
      </c>
      <c r="H1938" s="79"/>
      <c r="I1938" s="79"/>
    </row>
    <row r="1939" spans="1:9" ht="15">
      <c r="A1939" s="79" t="s">
        <v>3772</v>
      </c>
      <c r="B1939" s="79" t="s">
        <v>3773</v>
      </c>
      <c r="C1939" s="79">
        <v>602738897</v>
      </c>
      <c r="D1939" s="79">
        <v>0</v>
      </c>
      <c r="E1939" s="79" t="s">
        <v>1124</v>
      </c>
      <c r="F1939" s="79" t="s">
        <v>2539</v>
      </c>
      <c r="G1939" s="79" t="s">
        <v>2546</v>
      </c>
      <c r="H1939" s="79" t="s">
        <v>2547</v>
      </c>
      <c r="I1939" s="79"/>
    </row>
    <row r="1940" spans="1:9" ht="15">
      <c r="A1940" s="79" t="s">
        <v>3772</v>
      </c>
      <c r="B1940" s="79" t="s">
        <v>3773</v>
      </c>
      <c r="C1940" s="79">
        <v>602738897</v>
      </c>
      <c r="D1940" s="79">
        <v>0</v>
      </c>
      <c r="E1940" s="79" t="s">
        <v>1124</v>
      </c>
      <c r="F1940" s="79" t="s">
        <v>2539</v>
      </c>
      <c r="G1940" s="79" t="s">
        <v>2581</v>
      </c>
      <c r="H1940" s="79"/>
      <c r="I1940" s="79"/>
    </row>
    <row r="1941" spans="1:9" ht="15">
      <c r="A1941" s="79" t="s">
        <v>3774</v>
      </c>
      <c r="B1941" s="79" t="s">
        <v>3775</v>
      </c>
      <c r="C1941" s="79">
        <v>602781497</v>
      </c>
      <c r="D1941" s="79">
        <v>0</v>
      </c>
      <c r="E1941" s="79" t="s">
        <v>1124</v>
      </c>
      <c r="F1941" s="79" t="s">
        <v>2539</v>
      </c>
      <c r="G1941" s="79" t="s">
        <v>1130</v>
      </c>
      <c r="H1941" s="79"/>
      <c r="I1941" s="79"/>
    </row>
    <row r="1942" spans="1:9" ht="15">
      <c r="A1942" s="79" t="s">
        <v>3774</v>
      </c>
      <c r="B1942" s="79" t="s">
        <v>3775</v>
      </c>
      <c r="C1942" s="79">
        <v>602781497</v>
      </c>
      <c r="D1942" s="79">
        <v>0</v>
      </c>
      <c r="E1942" s="79" t="s">
        <v>1124</v>
      </c>
      <c r="F1942" s="79" t="s">
        <v>2539</v>
      </c>
      <c r="G1942" s="79" t="s">
        <v>1131</v>
      </c>
      <c r="H1942" s="79" t="s">
        <v>1132</v>
      </c>
      <c r="I1942" s="79"/>
    </row>
    <row r="1943" spans="1:9" ht="15">
      <c r="A1943" s="79" t="s">
        <v>3774</v>
      </c>
      <c r="B1943" s="79" t="s">
        <v>3775</v>
      </c>
      <c r="C1943" s="79">
        <v>602781497</v>
      </c>
      <c r="D1943" s="79">
        <v>0</v>
      </c>
      <c r="E1943" s="79" t="s">
        <v>1124</v>
      </c>
      <c r="F1943" s="79" t="s">
        <v>2539</v>
      </c>
      <c r="G1943" s="79" t="s">
        <v>2578</v>
      </c>
      <c r="H1943" s="79"/>
      <c r="I1943" s="79"/>
    </row>
    <row r="1944" spans="1:9" ht="15">
      <c r="A1944" s="79" t="s">
        <v>3776</v>
      </c>
      <c r="B1944" s="79" t="s">
        <v>3777</v>
      </c>
      <c r="C1944" s="79">
        <v>602782097</v>
      </c>
      <c r="D1944" s="79">
        <v>0</v>
      </c>
      <c r="E1944" s="79" t="s">
        <v>1124</v>
      </c>
      <c r="F1944" s="79" t="s">
        <v>2539</v>
      </c>
      <c r="G1944" s="79" t="s">
        <v>2546</v>
      </c>
      <c r="H1944" s="79" t="s">
        <v>2547</v>
      </c>
      <c r="I1944" s="79"/>
    </row>
    <row r="1945" spans="1:9" ht="15">
      <c r="A1945" s="79" t="s">
        <v>3776</v>
      </c>
      <c r="B1945" s="79" t="s">
        <v>3777</v>
      </c>
      <c r="C1945" s="79">
        <v>602782097</v>
      </c>
      <c r="D1945" s="79">
        <v>0</v>
      </c>
      <c r="E1945" s="79" t="s">
        <v>1124</v>
      </c>
      <c r="F1945" s="79" t="s">
        <v>2539</v>
      </c>
      <c r="G1945" s="79" t="s">
        <v>2581</v>
      </c>
      <c r="H1945" s="79"/>
      <c r="I1945" s="79"/>
    </row>
    <row r="1946" spans="1:9" ht="15">
      <c r="A1946" s="79" t="s">
        <v>3778</v>
      </c>
      <c r="B1946" s="79" t="s">
        <v>3779</v>
      </c>
      <c r="C1946" s="79">
        <v>602824697</v>
      </c>
      <c r="D1946" s="79">
        <v>0</v>
      </c>
      <c r="E1946" s="79" t="s">
        <v>1124</v>
      </c>
      <c r="F1946" s="79" t="s">
        <v>2539</v>
      </c>
      <c r="G1946" s="79" t="s">
        <v>1130</v>
      </c>
      <c r="H1946" s="79"/>
      <c r="I1946" s="79"/>
    </row>
    <row r="1947" spans="1:9" ht="15">
      <c r="A1947" s="79" t="s">
        <v>3778</v>
      </c>
      <c r="B1947" s="79" t="s">
        <v>3779</v>
      </c>
      <c r="C1947" s="79">
        <v>602824697</v>
      </c>
      <c r="D1947" s="79">
        <v>0</v>
      </c>
      <c r="E1947" s="79" t="s">
        <v>1124</v>
      </c>
      <c r="F1947" s="79" t="s">
        <v>2539</v>
      </c>
      <c r="G1947" s="79" t="s">
        <v>1131</v>
      </c>
      <c r="H1947" s="79" t="s">
        <v>1132</v>
      </c>
      <c r="I1947" s="79"/>
    </row>
    <row r="1948" spans="1:9" ht="15">
      <c r="A1948" s="79" t="s">
        <v>3778</v>
      </c>
      <c r="B1948" s="79" t="s">
        <v>3779</v>
      </c>
      <c r="C1948" s="79">
        <v>602824697</v>
      </c>
      <c r="D1948" s="79">
        <v>0</v>
      </c>
      <c r="E1948" s="79" t="s">
        <v>1124</v>
      </c>
      <c r="F1948" s="79" t="s">
        <v>2539</v>
      </c>
      <c r="G1948" s="79" t="s">
        <v>2578</v>
      </c>
      <c r="H1948" s="79"/>
      <c r="I1948" s="79"/>
    </row>
    <row r="1949" spans="1:9" ht="15">
      <c r="A1949" s="79" t="s">
        <v>3780</v>
      </c>
      <c r="B1949" s="79" t="s">
        <v>3781</v>
      </c>
      <c r="C1949" s="79">
        <v>602825297</v>
      </c>
      <c r="D1949" s="79">
        <v>0</v>
      </c>
      <c r="E1949" s="79" t="s">
        <v>1124</v>
      </c>
      <c r="F1949" s="79" t="s">
        <v>2539</v>
      </c>
      <c r="G1949" s="79" t="s">
        <v>2546</v>
      </c>
      <c r="H1949" s="79" t="s">
        <v>2547</v>
      </c>
      <c r="I1949" s="79"/>
    </row>
    <row r="1950" spans="1:9" ht="15">
      <c r="A1950" s="79" t="s">
        <v>3780</v>
      </c>
      <c r="B1950" s="79" t="s">
        <v>3781</v>
      </c>
      <c r="C1950" s="79">
        <v>602825297</v>
      </c>
      <c r="D1950" s="79">
        <v>0</v>
      </c>
      <c r="E1950" s="79" t="s">
        <v>1124</v>
      </c>
      <c r="F1950" s="79" t="s">
        <v>2539</v>
      </c>
      <c r="G1950" s="79" t="s">
        <v>2581</v>
      </c>
      <c r="H1950" s="79"/>
      <c r="I1950" s="79"/>
    </row>
    <row r="1951" spans="1:9" ht="15">
      <c r="A1951" s="79" t="s">
        <v>3782</v>
      </c>
      <c r="B1951" s="79" t="s">
        <v>3783</v>
      </c>
      <c r="C1951" s="79">
        <v>602867897</v>
      </c>
      <c r="D1951" s="79">
        <v>0</v>
      </c>
      <c r="E1951" s="79" t="s">
        <v>1124</v>
      </c>
      <c r="F1951" s="79" t="s">
        <v>2539</v>
      </c>
      <c r="G1951" s="79" t="s">
        <v>1130</v>
      </c>
      <c r="H1951" s="79"/>
      <c r="I1951" s="79"/>
    </row>
    <row r="1952" spans="1:9" ht="15">
      <c r="A1952" s="79" t="s">
        <v>3782</v>
      </c>
      <c r="B1952" s="79" t="s">
        <v>3783</v>
      </c>
      <c r="C1952" s="79">
        <v>602867897</v>
      </c>
      <c r="D1952" s="79">
        <v>0</v>
      </c>
      <c r="E1952" s="79" t="s">
        <v>1124</v>
      </c>
      <c r="F1952" s="79" t="s">
        <v>2539</v>
      </c>
      <c r="G1952" s="79" t="s">
        <v>1131</v>
      </c>
      <c r="H1952" s="79" t="s">
        <v>1132</v>
      </c>
      <c r="I1952" s="79"/>
    </row>
    <row r="1953" spans="1:9" ht="15">
      <c r="A1953" s="79" t="s">
        <v>3782</v>
      </c>
      <c r="B1953" s="79" t="s">
        <v>3783</v>
      </c>
      <c r="C1953" s="79">
        <v>602867897</v>
      </c>
      <c r="D1953" s="79">
        <v>0</v>
      </c>
      <c r="E1953" s="79" t="s">
        <v>1124</v>
      </c>
      <c r="F1953" s="79" t="s">
        <v>2539</v>
      </c>
      <c r="G1953" s="79" t="s">
        <v>2578</v>
      </c>
      <c r="H1953" s="79"/>
      <c r="I1953" s="79"/>
    </row>
    <row r="1954" spans="1:9" ht="15">
      <c r="A1954" s="79" t="s">
        <v>3784</v>
      </c>
      <c r="B1954" s="79" t="s">
        <v>3785</v>
      </c>
      <c r="C1954" s="79">
        <v>602868497</v>
      </c>
      <c r="D1954" s="79">
        <v>0</v>
      </c>
      <c r="E1954" s="79" t="s">
        <v>1124</v>
      </c>
      <c r="F1954" s="79" t="s">
        <v>2539</v>
      </c>
      <c r="G1954" s="79" t="s">
        <v>2546</v>
      </c>
      <c r="H1954" s="79" t="s">
        <v>2547</v>
      </c>
      <c r="I1954" s="79"/>
    </row>
    <row r="1955" spans="1:9" ht="15">
      <c r="A1955" s="79" t="s">
        <v>3784</v>
      </c>
      <c r="B1955" s="79" t="s">
        <v>3785</v>
      </c>
      <c r="C1955" s="79">
        <v>602868497</v>
      </c>
      <c r="D1955" s="79">
        <v>0</v>
      </c>
      <c r="E1955" s="79" t="s">
        <v>1124</v>
      </c>
      <c r="F1955" s="79" t="s">
        <v>2539</v>
      </c>
      <c r="G1955" s="79" t="s">
        <v>2581</v>
      </c>
      <c r="H1955" s="79"/>
      <c r="I1955" s="79"/>
    </row>
    <row r="1956" spans="1:9" ht="15">
      <c r="A1956" s="79" t="s">
        <v>3786</v>
      </c>
      <c r="B1956" s="79" t="s">
        <v>3787</v>
      </c>
      <c r="C1956" s="79">
        <v>602911097</v>
      </c>
      <c r="D1956" s="79">
        <v>0</v>
      </c>
      <c r="E1956" s="79" t="s">
        <v>1124</v>
      </c>
      <c r="F1956" s="79" t="s">
        <v>2539</v>
      </c>
      <c r="G1956" s="79" t="s">
        <v>1130</v>
      </c>
      <c r="H1956" s="79"/>
      <c r="I1956" s="79"/>
    </row>
    <row r="1957" spans="1:9" ht="15">
      <c r="A1957" s="79" t="s">
        <v>3786</v>
      </c>
      <c r="B1957" s="79" t="s">
        <v>3787</v>
      </c>
      <c r="C1957" s="79">
        <v>602911097</v>
      </c>
      <c r="D1957" s="79">
        <v>0</v>
      </c>
      <c r="E1957" s="79" t="s">
        <v>1124</v>
      </c>
      <c r="F1957" s="79" t="s">
        <v>2539</v>
      </c>
      <c r="G1957" s="79" t="s">
        <v>1131</v>
      </c>
      <c r="H1957" s="79" t="s">
        <v>1132</v>
      </c>
      <c r="I1957" s="79"/>
    </row>
    <row r="1958" spans="1:9" ht="15">
      <c r="A1958" s="79" t="s">
        <v>3786</v>
      </c>
      <c r="B1958" s="79" t="s">
        <v>3787</v>
      </c>
      <c r="C1958" s="79">
        <v>602911097</v>
      </c>
      <c r="D1958" s="79">
        <v>0</v>
      </c>
      <c r="E1958" s="79" t="s">
        <v>1124</v>
      </c>
      <c r="F1958" s="79" t="s">
        <v>2539</v>
      </c>
      <c r="G1958" s="79" t="s">
        <v>2578</v>
      </c>
      <c r="H1958" s="79"/>
      <c r="I1958" s="79"/>
    </row>
    <row r="1959" spans="1:9" ht="15">
      <c r="A1959" s="79" t="s">
        <v>3788</v>
      </c>
      <c r="B1959" s="79" t="s">
        <v>3789</v>
      </c>
      <c r="C1959" s="79">
        <v>602911697</v>
      </c>
      <c r="D1959" s="79">
        <v>0</v>
      </c>
      <c r="E1959" s="79" t="s">
        <v>1124</v>
      </c>
      <c r="F1959" s="79" t="s">
        <v>2539</v>
      </c>
      <c r="G1959" s="79" t="s">
        <v>2546</v>
      </c>
      <c r="H1959" s="79" t="s">
        <v>2547</v>
      </c>
      <c r="I1959" s="79"/>
    </row>
    <row r="1960" spans="1:9" ht="15">
      <c r="A1960" s="79" t="s">
        <v>3788</v>
      </c>
      <c r="B1960" s="79" t="s">
        <v>3789</v>
      </c>
      <c r="C1960" s="79">
        <v>602911697</v>
      </c>
      <c r="D1960" s="79">
        <v>0</v>
      </c>
      <c r="E1960" s="79" t="s">
        <v>1124</v>
      </c>
      <c r="F1960" s="79" t="s">
        <v>2539</v>
      </c>
      <c r="G1960" s="79" t="s">
        <v>2581</v>
      </c>
      <c r="H1960" s="79"/>
      <c r="I1960" s="79"/>
    </row>
    <row r="1961" spans="1:9" ht="15">
      <c r="A1961" s="79" t="s">
        <v>3790</v>
      </c>
      <c r="B1961" s="79" t="s">
        <v>3791</v>
      </c>
      <c r="C1961" s="79">
        <v>602954297</v>
      </c>
      <c r="D1961" s="79">
        <v>0</v>
      </c>
      <c r="E1961" s="79" t="s">
        <v>1124</v>
      </c>
      <c r="F1961" s="79" t="s">
        <v>2539</v>
      </c>
      <c r="G1961" s="79" t="s">
        <v>1130</v>
      </c>
      <c r="H1961" s="79"/>
      <c r="I1961" s="79"/>
    </row>
    <row r="1962" spans="1:9" ht="15">
      <c r="A1962" s="79" t="s">
        <v>3790</v>
      </c>
      <c r="B1962" s="79" t="s">
        <v>3791</v>
      </c>
      <c r="C1962" s="79">
        <v>602954297</v>
      </c>
      <c r="D1962" s="79">
        <v>0</v>
      </c>
      <c r="E1962" s="79" t="s">
        <v>1124</v>
      </c>
      <c r="F1962" s="79" t="s">
        <v>2539</v>
      </c>
      <c r="G1962" s="79" t="s">
        <v>1131</v>
      </c>
      <c r="H1962" s="79" t="s">
        <v>1132</v>
      </c>
      <c r="I1962" s="79"/>
    </row>
    <row r="1963" spans="1:9" ht="15">
      <c r="A1963" s="79" t="s">
        <v>3790</v>
      </c>
      <c r="B1963" s="79" t="s">
        <v>3791</v>
      </c>
      <c r="C1963" s="79">
        <v>602954297</v>
      </c>
      <c r="D1963" s="79">
        <v>0</v>
      </c>
      <c r="E1963" s="79" t="s">
        <v>1124</v>
      </c>
      <c r="F1963" s="79" t="s">
        <v>2539</v>
      </c>
      <c r="G1963" s="79" t="s">
        <v>2578</v>
      </c>
      <c r="H1963" s="79"/>
      <c r="I1963" s="79"/>
    </row>
    <row r="1964" spans="1:9" ht="15">
      <c r="A1964" s="79" t="s">
        <v>3792</v>
      </c>
      <c r="B1964" s="79" t="s">
        <v>3793</v>
      </c>
      <c r="C1964" s="79">
        <v>602954897</v>
      </c>
      <c r="D1964" s="79">
        <v>0</v>
      </c>
      <c r="E1964" s="79" t="s">
        <v>1124</v>
      </c>
      <c r="F1964" s="79" t="s">
        <v>2539</v>
      </c>
      <c r="G1964" s="79" t="s">
        <v>2546</v>
      </c>
      <c r="H1964" s="79" t="s">
        <v>2547</v>
      </c>
      <c r="I1964" s="79"/>
    </row>
    <row r="1965" spans="1:9" ht="15">
      <c r="A1965" s="79" t="s">
        <v>3792</v>
      </c>
      <c r="B1965" s="79" t="s">
        <v>3793</v>
      </c>
      <c r="C1965" s="79">
        <v>602954897</v>
      </c>
      <c r="D1965" s="79">
        <v>0</v>
      </c>
      <c r="E1965" s="79" t="s">
        <v>1124</v>
      </c>
      <c r="F1965" s="79" t="s">
        <v>2539</v>
      </c>
      <c r="G1965" s="79" t="s">
        <v>2581</v>
      </c>
      <c r="H1965" s="79"/>
      <c r="I1965" s="79"/>
    </row>
    <row r="1966" spans="1:9" ht="15">
      <c r="A1966" s="79" t="s">
        <v>3794</v>
      </c>
      <c r="B1966" s="79" t="s">
        <v>3795</v>
      </c>
      <c r="C1966" s="79">
        <v>602997497</v>
      </c>
      <c r="D1966" s="79">
        <v>0</v>
      </c>
      <c r="E1966" s="79" t="s">
        <v>1124</v>
      </c>
      <c r="F1966" s="79" t="s">
        <v>2539</v>
      </c>
      <c r="G1966" s="79" t="s">
        <v>1130</v>
      </c>
      <c r="H1966" s="79"/>
      <c r="I1966" s="79"/>
    </row>
    <row r="1967" spans="1:9" ht="15">
      <c r="A1967" s="79" t="s">
        <v>3794</v>
      </c>
      <c r="B1967" s="79" t="s">
        <v>3795</v>
      </c>
      <c r="C1967" s="79">
        <v>602997497</v>
      </c>
      <c r="D1967" s="79">
        <v>0</v>
      </c>
      <c r="E1967" s="79" t="s">
        <v>1124</v>
      </c>
      <c r="F1967" s="79" t="s">
        <v>2539</v>
      </c>
      <c r="G1967" s="79" t="s">
        <v>1131</v>
      </c>
      <c r="H1967" s="79" t="s">
        <v>1132</v>
      </c>
      <c r="I1967" s="79"/>
    </row>
    <row r="1968" spans="1:9" ht="15">
      <c r="A1968" s="79" t="s">
        <v>3794</v>
      </c>
      <c r="B1968" s="79" t="s">
        <v>3795</v>
      </c>
      <c r="C1968" s="79">
        <v>602997497</v>
      </c>
      <c r="D1968" s="79">
        <v>0</v>
      </c>
      <c r="E1968" s="79" t="s">
        <v>1124</v>
      </c>
      <c r="F1968" s="79" t="s">
        <v>2539</v>
      </c>
      <c r="G1968" s="79" t="s">
        <v>2578</v>
      </c>
      <c r="H1968" s="79"/>
      <c r="I1968" s="79"/>
    </row>
    <row r="1969" spans="1:9" ht="15">
      <c r="A1969" s="79" t="s">
        <v>3796</v>
      </c>
      <c r="B1969" s="79" t="s">
        <v>3797</v>
      </c>
      <c r="C1969" s="79">
        <v>602998097</v>
      </c>
      <c r="D1969" s="79">
        <v>0</v>
      </c>
      <c r="E1969" s="79" t="s">
        <v>1124</v>
      </c>
      <c r="F1969" s="79" t="s">
        <v>2539</v>
      </c>
      <c r="G1969" s="79" t="s">
        <v>2546</v>
      </c>
      <c r="H1969" s="79" t="s">
        <v>2547</v>
      </c>
      <c r="I1969" s="79"/>
    </row>
    <row r="1970" spans="1:9" ht="15">
      <c r="A1970" s="79" t="s">
        <v>3796</v>
      </c>
      <c r="B1970" s="79" t="s">
        <v>3797</v>
      </c>
      <c r="C1970" s="79">
        <v>602998097</v>
      </c>
      <c r="D1970" s="79">
        <v>0</v>
      </c>
      <c r="E1970" s="79" t="s">
        <v>1124</v>
      </c>
      <c r="F1970" s="79" t="s">
        <v>2539</v>
      </c>
      <c r="G1970" s="79" t="s">
        <v>2581</v>
      </c>
      <c r="H1970" s="79"/>
      <c r="I1970" s="79"/>
    </row>
    <row r="1971" spans="1:9" ht="15">
      <c r="A1971" s="79" t="s">
        <v>3798</v>
      </c>
      <c r="B1971" s="79" t="s">
        <v>3799</v>
      </c>
      <c r="C1971" s="79">
        <v>603040697</v>
      </c>
      <c r="D1971" s="79">
        <v>0</v>
      </c>
      <c r="E1971" s="79" t="s">
        <v>1124</v>
      </c>
      <c r="F1971" s="79" t="s">
        <v>2539</v>
      </c>
      <c r="G1971" s="79" t="s">
        <v>1130</v>
      </c>
      <c r="H1971" s="79"/>
      <c r="I1971" s="79"/>
    </row>
    <row r="1972" spans="1:9" ht="15">
      <c r="A1972" s="79" t="s">
        <v>3798</v>
      </c>
      <c r="B1972" s="79" t="s">
        <v>3799</v>
      </c>
      <c r="C1972" s="79">
        <v>603040697</v>
      </c>
      <c r="D1972" s="79">
        <v>0</v>
      </c>
      <c r="E1972" s="79" t="s">
        <v>1124</v>
      </c>
      <c r="F1972" s="79" t="s">
        <v>2539</v>
      </c>
      <c r="G1972" s="79" t="s">
        <v>1131</v>
      </c>
      <c r="H1972" s="79" t="s">
        <v>1132</v>
      </c>
      <c r="I1972" s="79"/>
    </row>
    <row r="1973" spans="1:9" ht="15">
      <c r="A1973" s="79" t="s">
        <v>3798</v>
      </c>
      <c r="B1973" s="79" t="s">
        <v>3799</v>
      </c>
      <c r="C1973" s="79">
        <v>603040697</v>
      </c>
      <c r="D1973" s="79">
        <v>0</v>
      </c>
      <c r="E1973" s="79" t="s">
        <v>1124</v>
      </c>
      <c r="F1973" s="79" t="s">
        <v>2539</v>
      </c>
      <c r="G1973" s="79" t="s">
        <v>2578</v>
      </c>
      <c r="H1973" s="79"/>
      <c r="I1973" s="79"/>
    </row>
    <row r="1974" spans="1:9" ht="15">
      <c r="A1974" s="79" t="s">
        <v>3800</v>
      </c>
      <c r="B1974" s="79" t="s">
        <v>3801</v>
      </c>
      <c r="C1974" s="79">
        <v>603041297</v>
      </c>
      <c r="D1974" s="79">
        <v>0</v>
      </c>
      <c r="E1974" s="79" t="s">
        <v>1124</v>
      </c>
      <c r="F1974" s="79" t="s">
        <v>2539</v>
      </c>
      <c r="G1974" s="79" t="s">
        <v>2546</v>
      </c>
      <c r="H1974" s="79" t="s">
        <v>2547</v>
      </c>
      <c r="I1974" s="79"/>
    </row>
    <row r="1975" spans="1:9" ht="15">
      <c r="A1975" s="79" t="s">
        <v>3800</v>
      </c>
      <c r="B1975" s="79" t="s">
        <v>3801</v>
      </c>
      <c r="C1975" s="79">
        <v>603041297</v>
      </c>
      <c r="D1975" s="79">
        <v>0</v>
      </c>
      <c r="E1975" s="79" t="s">
        <v>1124</v>
      </c>
      <c r="F1975" s="79" t="s">
        <v>2539</v>
      </c>
      <c r="G1975" s="79" t="s">
        <v>2581</v>
      </c>
      <c r="H1975" s="79"/>
      <c r="I1975" s="79"/>
    </row>
    <row r="1976" spans="1:9" ht="15">
      <c r="A1976" s="79" t="s">
        <v>3802</v>
      </c>
      <c r="B1976" s="79" t="s">
        <v>3803</v>
      </c>
      <c r="C1976" s="79">
        <v>603083897</v>
      </c>
      <c r="D1976" s="79">
        <v>0</v>
      </c>
      <c r="E1976" s="79" t="s">
        <v>1124</v>
      </c>
      <c r="F1976" s="79" t="s">
        <v>2539</v>
      </c>
      <c r="G1976" s="79" t="s">
        <v>1130</v>
      </c>
      <c r="H1976" s="79"/>
      <c r="I1976" s="79"/>
    </row>
    <row r="1977" spans="1:9" ht="15">
      <c r="A1977" s="79" t="s">
        <v>3802</v>
      </c>
      <c r="B1977" s="79" t="s">
        <v>3803</v>
      </c>
      <c r="C1977" s="79">
        <v>603083897</v>
      </c>
      <c r="D1977" s="79">
        <v>0</v>
      </c>
      <c r="E1977" s="79" t="s">
        <v>1124</v>
      </c>
      <c r="F1977" s="79" t="s">
        <v>2539</v>
      </c>
      <c r="G1977" s="79" t="s">
        <v>1131</v>
      </c>
      <c r="H1977" s="79" t="s">
        <v>1132</v>
      </c>
      <c r="I1977" s="79"/>
    </row>
    <row r="1978" spans="1:9" ht="15">
      <c r="A1978" s="79" t="s">
        <v>3802</v>
      </c>
      <c r="B1978" s="79" t="s">
        <v>3803</v>
      </c>
      <c r="C1978" s="79">
        <v>603083897</v>
      </c>
      <c r="D1978" s="79">
        <v>0</v>
      </c>
      <c r="E1978" s="79" t="s">
        <v>1124</v>
      </c>
      <c r="F1978" s="79" t="s">
        <v>2539</v>
      </c>
      <c r="G1978" s="79" t="s">
        <v>2578</v>
      </c>
      <c r="H1978" s="79"/>
      <c r="I1978" s="79"/>
    </row>
    <row r="1979" spans="1:9" ht="15">
      <c r="A1979" s="79" t="s">
        <v>3804</v>
      </c>
      <c r="B1979" s="79" t="s">
        <v>3805</v>
      </c>
      <c r="C1979" s="79">
        <v>603084497</v>
      </c>
      <c r="D1979" s="79">
        <v>0</v>
      </c>
      <c r="E1979" s="79" t="s">
        <v>1124</v>
      </c>
      <c r="F1979" s="79" t="s">
        <v>2539</v>
      </c>
      <c r="G1979" s="79" t="s">
        <v>2546</v>
      </c>
      <c r="H1979" s="79" t="s">
        <v>2547</v>
      </c>
      <c r="I1979" s="79"/>
    </row>
    <row r="1980" spans="1:9" ht="15">
      <c r="A1980" s="79" t="s">
        <v>3804</v>
      </c>
      <c r="B1980" s="79" t="s">
        <v>3805</v>
      </c>
      <c r="C1980" s="79">
        <v>603084497</v>
      </c>
      <c r="D1980" s="79">
        <v>0</v>
      </c>
      <c r="E1980" s="79" t="s">
        <v>1124</v>
      </c>
      <c r="F1980" s="79" t="s">
        <v>2539</v>
      </c>
      <c r="G1980" s="79" t="s">
        <v>2581</v>
      </c>
      <c r="H1980" s="79"/>
      <c r="I1980" s="79"/>
    </row>
    <row r="1981" spans="1:9" ht="15">
      <c r="A1981" s="79" t="s">
        <v>3806</v>
      </c>
      <c r="B1981" s="79" t="s">
        <v>3807</v>
      </c>
      <c r="C1981" s="79">
        <v>603127097</v>
      </c>
      <c r="D1981" s="79">
        <v>0</v>
      </c>
      <c r="E1981" s="79" t="s">
        <v>1124</v>
      </c>
      <c r="F1981" s="79" t="s">
        <v>2539</v>
      </c>
      <c r="G1981" s="79" t="s">
        <v>1130</v>
      </c>
      <c r="H1981" s="79"/>
      <c r="I1981" s="79"/>
    </row>
    <row r="1982" spans="1:9" ht="15">
      <c r="A1982" s="79" t="s">
        <v>3806</v>
      </c>
      <c r="B1982" s="79" t="s">
        <v>3807</v>
      </c>
      <c r="C1982" s="79">
        <v>603127097</v>
      </c>
      <c r="D1982" s="79">
        <v>0</v>
      </c>
      <c r="E1982" s="79" t="s">
        <v>1124</v>
      </c>
      <c r="F1982" s="79" t="s">
        <v>2539</v>
      </c>
      <c r="G1982" s="79" t="s">
        <v>1131</v>
      </c>
      <c r="H1982" s="79" t="s">
        <v>1132</v>
      </c>
      <c r="I1982" s="79"/>
    </row>
    <row r="1983" spans="1:9" ht="15">
      <c r="A1983" s="79" t="s">
        <v>3806</v>
      </c>
      <c r="B1983" s="79" t="s">
        <v>3807</v>
      </c>
      <c r="C1983" s="79">
        <v>603127097</v>
      </c>
      <c r="D1983" s="79">
        <v>0</v>
      </c>
      <c r="E1983" s="79" t="s">
        <v>1124</v>
      </c>
      <c r="F1983" s="79" t="s">
        <v>2539</v>
      </c>
      <c r="G1983" s="79" t="s">
        <v>2578</v>
      </c>
      <c r="H1983" s="79"/>
      <c r="I1983" s="79"/>
    </row>
    <row r="1984" spans="1:9" ht="15">
      <c r="A1984" s="79" t="s">
        <v>3808</v>
      </c>
      <c r="B1984" s="79" t="s">
        <v>3809</v>
      </c>
      <c r="C1984" s="79">
        <v>603127697</v>
      </c>
      <c r="D1984" s="79">
        <v>0</v>
      </c>
      <c r="E1984" s="79" t="s">
        <v>1124</v>
      </c>
      <c r="F1984" s="79" t="s">
        <v>2539</v>
      </c>
      <c r="G1984" s="79" t="s">
        <v>2546</v>
      </c>
      <c r="H1984" s="79" t="s">
        <v>2547</v>
      </c>
      <c r="I1984" s="79"/>
    </row>
    <row r="1985" spans="1:9" ht="15">
      <c r="A1985" s="79" t="s">
        <v>3808</v>
      </c>
      <c r="B1985" s="79" t="s">
        <v>3809</v>
      </c>
      <c r="C1985" s="79">
        <v>603127697</v>
      </c>
      <c r="D1985" s="79">
        <v>0</v>
      </c>
      <c r="E1985" s="79" t="s">
        <v>1124</v>
      </c>
      <c r="F1985" s="79" t="s">
        <v>2539</v>
      </c>
      <c r="G1985" s="79" t="s">
        <v>2581</v>
      </c>
      <c r="H1985" s="79"/>
      <c r="I1985" s="79"/>
    </row>
    <row r="1986" spans="1:9" ht="15">
      <c r="A1986" s="79" t="s">
        <v>3810</v>
      </c>
      <c r="B1986" s="79" t="s">
        <v>3811</v>
      </c>
      <c r="C1986" s="79">
        <v>603170297</v>
      </c>
      <c r="D1986" s="79">
        <v>0</v>
      </c>
      <c r="E1986" s="79" t="s">
        <v>1124</v>
      </c>
      <c r="F1986" s="79" t="s">
        <v>2539</v>
      </c>
      <c r="G1986" s="79" t="s">
        <v>1130</v>
      </c>
      <c r="H1986" s="79"/>
      <c r="I1986" s="79"/>
    </row>
    <row r="1987" spans="1:9" ht="15">
      <c r="A1987" s="79" t="s">
        <v>3810</v>
      </c>
      <c r="B1987" s="79" t="s">
        <v>3811</v>
      </c>
      <c r="C1987" s="79">
        <v>603170297</v>
      </c>
      <c r="D1987" s="79">
        <v>0</v>
      </c>
      <c r="E1987" s="79" t="s">
        <v>1124</v>
      </c>
      <c r="F1987" s="79" t="s">
        <v>2539</v>
      </c>
      <c r="G1987" s="79" t="s">
        <v>1131</v>
      </c>
      <c r="H1987" s="79" t="s">
        <v>1132</v>
      </c>
      <c r="I1987" s="79"/>
    </row>
    <row r="1988" spans="1:9" ht="15">
      <c r="A1988" s="79" t="s">
        <v>3810</v>
      </c>
      <c r="B1988" s="79" t="s">
        <v>3811</v>
      </c>
      <c r="C1988" s="79">
        <v>603170297</v>
      </c>
      <c r="D1988" s="79">
        <v>0</v>
      </c>
      <c r="E1988" s="79" t="s">
        <v>1124</v>
      </c>
      <c r="F1988" s="79" t="s">
        <v>2539</v>
      </c>
      <c r="G1988" s="79" t="s">
        <v>2578</v>
      </c>
      <c r="H1988" s="79"/>
      <c r="I1988" s="79"/>
    </row>
    <row r="1989" spans="1:9" ht="15">
      <c r="A1989" s="79" t="s">
        <v>3812</v>
      </c>
      <c r="B1989" s="79" t="s">
        <v>3813</v>
      </c>
      <c r="C1989" s="79">
        <v>603170897</v>
      </c>
      <c r="D1989" s="79">
        <v>0</v>
      </c>
      <c r="E1989" s="79" t="s">
        <v>1124</v>
      </c>
      <c r="F1989" s="79" t="s">
        <v>2539</v>
      </c>
      <c r="G1989" s="79" t="s">
        <v>2546</v>
      </c>
      <c r="H1989" s="79" t="s">
        <v>2547</v>
      </c>
      <c r="I1989" s="79"/>
    </row>
    <row r="1990" spans="1:9" ht="15">
      <c r="A1990" s="79" t="s">
        <v>3812</v>
      </c>
      <c r="B1990" s="79" t="s">
        <v>3813</v>
      </c>
      <c r="C1990" s="79">
        <v>603170897</v>
      </c>
      <c r="D1990" s="79">
        <v>0</v>
      </c>
      <c r="E1990" s="79" t="s">
        <v>1124</v>
      </c>
      <c r="F1990" s="79" t="s">
        <v>2539</v>
      </c>
      <c r="G1990" s="79" t="s">
        <v>2581</v>
      </c>
      <c r="H1990" s="79"/>
      <c r="I1990" s="79"/>
    </row>
    <row r="1991" spans="1:9" ht="15">
      <c r="A1991" s="79" t="s">
        <v>3814</v>
      </c>
      <c r="B1991" s="79" t="s">
        <v>3815</v>
      </c>
      <c r="C1991" s="79">
        <v>603213497</v>
      </c>
      <c r="D1991" s="79">
        <v>0</v>
      </c>
      <c r="E1991" s="79" t="s">
        <v>1124</v>
      </c>
      <c r="F1991" s="79" t="s">
        <v>2539</v>
      </c>
      <c r="G1991" s="79" t="s">
        <v>1130</v>
      </c>
      <c r="H1991" s="79"/>
      <c r="I1991" s="79"/>
    </row>
    <row r="1992" spans="1:9" ht="15">
      <c r="A1992" s="79" t="s">
        <v>3814</v>
      </c>
      <c r="B1992" s="79" t="s">
        <v>3815</v>
      </c>
      <c r="C1992" s="79">
        <v>603213497</v>
      </c>
      <c r="D1992" s="79">
        <v>0</v>
      </c>
      <c r="E1992" s="79" t="s">
        <v>1124</v>
      </c>
      <c r="F1992" s="79" t="s">
        <v>2539</v>
      </c>
      <c r="G1992" s="79" t="s">
        <v>1131</v>
      </c>
      <c r="H1992" s="79" t="s">
        <v>1132</v>
      </c>
      <c r="I1992" s="79"/>
    </row>
    <row r="1993" spans="1:9" ht="15">
      <c r="A1993" s="79" t="s">
        <v>3814</v>
      </c>
      <c r="B1993" s="79" t="s">
        <v>3815</v>
      </c>
      <c r="C1993" s="79">
        <v>603213497</v>
      </c>
      <c r="D1993" s="79">
        <v>0</v>
      </c>
      <c r="E1993" s="79" t="s">
        <v>1124</v>
      </c>
      <c r="F1993" s="79" t="s">
        <v>2539</v>
      </c>
      <c r="G1993" s="79" t="s">
        <v>2578</v>
      </c>
      <c r="H1993" s="79"/>
      <c r="I1993" s="79"/>
    </row>
    <row r="1994" spans="1:9" ht="15">
      <c r="A1994" s="79" t="s">
        <v>3816</v>
      </c>
      <c r="B1994" s="79" t="s">
        <v>3817</v>
      </c>
      <c r="C1994" s="79">
        <v>603214097</v>
      </c>
      <c r="D1994" s="79">
        <v>0</v>
      </c>
      <c r="E1994" s="79" t="s">
        <v>1124</v>
      </c>
      <c r="F1994" s="79" t="s">
        <v>2539</v>
      </c>
      <c r="G1994" s="79" t="s">
        <v>2546</v>
      </c>
      <c r="H1994" s="79" t="s">
        <v>2547</v>
      </c>
      <c r="I1994" s="79"/>
    </row>
    <row r="1995" spans="1:9" ht="15">
      <c r="A1995" s="79" t="s">
        <v>3816</v>
      </c>
      <c r="B1995" s="79" t="s">
        <v>3817</v>
      </c>
      <c r="C1995" s="79">
        <v>603214097</v>
      </c>
      <c r="D1995" s="79">
        <v>0</v>
      </c>
      <c r="E1995" s="79" t="s">
        <v>1124</v>
      </c>
      <c r="F1995" s="79" t="s">
        <v>2539</v>
      </c>
      <c r="G1995" s="79" t="s">
        <v>2581</v>
      </c>
      <c r="H1995" s="79"/>
      <c r="I1995" s="79"/>
    </row>
    <row r="1996" spans="1:9" ht="15">
      <c r="A1996" s="79" t="s">
        <v>3818</v>
      </c>
      <c r="B1996" s="79" t="s">
        <v>3819</v>
      </c>
      <c r="C1996" s="79">
        <v>603256697</v>
      </c>
      <c r="D1996" s="79">
        <v>0</v>
      </c>
      <c r="E1996" s="79" t="s">
        <v>1124</v>
      </c>
      <c r="F1996" s="79" t="s">
        <v>2539</v>
      </c>
      <c r="G1996" s="79" t="s">
        <v>1130</v>
      </c>
      <c r="H1996" s="79"/>
      <c r="I1996" s="79"/>
    </row>
    <row r="1997" spans="1:9" ht="15">
      <c r="A1997" s="79" t="s">
        <v>3818</v>
      </c>
      <c r="B1997" s="79" t="s">
        <v>3819</v>
      </c>
      <c r="C1997" s="79">
        <v>603256697</v>
      </c>
      <c r="D1997" s="79">
        <v>0</v>
      </c>
      <c r="E1997" s="79" t="s">
        <v>1124</v>
      </c>
      <c r="F1997" s="79" t="s">
        <v>2539</v>
      </c>
      <c r="G1997" s="79" t="s">
        <v>1131</v>
      </c>
      <c r="H1997" s="79" t="s">
        <v>1132</v>
      </c>
      <c r="I1997" s="79"/>
    </row>
    <row r="1998" spans="1:9" ht="15">
      <c r="A1998" s="79" t="s">
        <v>3818</v>
      </c>
      <c r="B1998" s="79" t="s">
        <v>3819</v>
      </c>
      <c r="C1998" s="79">
        <v>603256697</v>
      </c>
      <c r="D1998" s="79">
        <v>0</v>
      </c>
      <c r="E1998" s="79" t="s">
        <v>1124</v>
      </c>
      <c r="F1998" s="79" t="s">
        <v>2539</v>
      </c>
      <c r="G1998" s="79" t="s">
        <v>2578</v>
      </c>
      <c r="H1998" s="79"/>
      <c r="I1998" s="79"/>
    </row>
    <row r="1999" spans="1:9" ht="15">
      <c r="A1999" s="79" t="s">
        <v>3820</v>
      </c>
      <c r="B1999" s="79" t="s">
        <v>3821</v>
      </c>
      <c r="C1999" s="79">
        <v>603257297</v>
      </c>
      <c r="D1999" s="79">
        <v>0</v>
      </c>
      <c r="E1999" s="79" t="s">
        <v>1124</v>
      </c>
      <c r="F1999" s="79" t="s">
        <v>2539</v>
      </c>
      <c r="G1999" s="79" t="s">
        <v>2546</v>
      </c>
      <c r="H1999" s="79" t="s">
        <v>2547</v>
      </c>
      <c r="I1999" s="79"/>
    </row>
    <row r="2000" spans="1:9" ht="15">
      <c r="A2000" s="79" t="s">
        <v>3820</v>
      </c>
      <c r="B2000" s="79" t="s">
        <v>3821</v>
      </c>
      <c r="C2000" s="79">
        <v>603257297</v>
      </c>
      <c r="D2000" s="79">
        <v>0</v>
      </c>
      <c r="E2000" s="79" t="s">
        <v>1124</v>
      </c>
      <c r="F2000" s="79" t="s">
        <v>2539</v>
      </c>
      <c r="G2000" s="79" t="s">
        <v>2581</v>
      </c>
      <c r="H2000" s="79"/>
      <c r="I2000" s="79"/>
    </row>
    <row r="2001" spans="1:9" ht="15">
      <c r="A2001" s="79" t="s">
        <v>3822</v>
      </c>
      <c r="B2001" s="79" t="s">
        <v>3823</v>
      </c>
      <c r="C2001" s="79">
        <v>603299897</v>
      </c>
      <c r="D2001" s="79">
        <v>0</v>
      </c>
      <c r="E2001" s="79" t="s">
        <v>1124</v>
      </c>
      <c r="F2001" s="79" t="s">
        <v>2539</v>
      </c>
      <c r="G2001" s="79" t="s">
        <v>1130</v>
      </c>
      <c r="H2001" s="79"/>
      <c r="I2001" s="79"/>
    </row>
    <row r="2002" spans="1:9" ht="15">
      <c r="A2002" s="79" t="s">
        <v>3822</v>
      </c>
      <c r="B2002" s="79" t="s">
        <v>3823</v>
      </c>
      <c r="C2002" s="79">
        <v>603299897</v>
      </c>
      <c r="D2002" s="79">
        <v>0</v>
      </c>
      <c r="E2002" s="79" t="s">
        <v>1124</v>
      </c>
      <c r="F2002" s="79" t="s">
        <v>2539</v>
      </c>
      <c r="G2002" s="79" t="s">
        <v>1131</v>
      </c>
      <c r="H2002" s="79" t="s">
        <v>1132</v>
      </c>
      <c r="I2002" s="79"/>
    </row>
    <row r="2003" spans="1:9" ht="15">
      <c r="A2003" s="79" t="s">
        <v>3822</v>
      </c>
      <c r="B2003" s="79" t="s">
        <v>3823</v>
      </c>
      <c r="C2003" s="79">
        <v>603299897</v>
      </c>
      <c r="D2003" s="79">
        <v>0</v>
      </c>
      <c r="E2003" s="79" t="s">
        <v>1124</v>
      </c>
      <c r="F2003" s="79" t="s">
        <v>2539</v>
      </c>
      <c r="G2003" s="79" t="s">
        <v>2578</v>
      </c>
      <c r="H2003" s="79"/>
      <c r="I2003" s="79"/>
    </row>
    <row r="2004" spans="1:9" ht="15">
      <c r="A2004" s="79" t="s">
        <v>3824</v>
      </c>
      <c r="B2004" s="79" t="s">
        <v>3825</v>
      </c>
      <c r="C2004" s="79">
        <v>603300497</v>
      </c>
      <c r="D2004" s="79">
        <v>0</v>
      </c>
      <c r="E2004" s="79" t="s">
        <v>1124</v>
      </c>
      <c r="F2004" s="79" t="s">
        <v>2539</v>
      </c>
      <c r="G2004" s="79" t="s">
        <v>2546</v>
      </c>
      <c r="H2004" s="79" t="s">
        <v>2547</v>
      </c>
      <c r="I2004" s="79"/>
    </row>
    <row r="2005" spans="1:9" ht="15">
      <c r="A2005" s="79" t="s">
        <v>3824</v>
      </c>
      <c r="B2005" s="79" t="s">
        <v>3825</v>
      </c>
      <c r="C2005" s="79">
        <v>603300497</v>
      </c>
      <c r="D2005" s="79">
        <v>0</v>
      </c>
      <c r="E2005" s="79" t="s">
        <v>1124</v>
      </c>
      <c r="F2005" s="79" t="s">
        <v>2539</v>
      </c>
      <c r="G2005" s="79" t="s">
        <v>2581</v>
      </c>
      <c r="H2005" s="79"/>
      <c r="I2005" s="79"/>
    </row>
    <row r="2006" spans="1:9" ht="15">
      <c r="A2006" s="79" t="s">
        <v>3826</v>
      </c>
      <c r="B2006" s="79" t="s">
        <v>3827</v>
      </c>
      <c r="C2006" s="79">
        <v>603343097</v>
      </c>
      <c r="D2006" s="79">
        <v>0</v>
      </c>
      <c r="E2006" s="79" t="s">
        <v>1124</v>
      </c>
      <c r="F2006" s="79" t="s">
        <v>2539</v>
      </c>
      <c r="G2006" s="79" t="s">
        <v>1130</v>
      </c>
      <c r="H2006" s="79"/>
      <c r="I2006" s="79"/>
    </row>
    <row r="2007" spans="1:9" ht="15">
      <c r="A2007" s="79" t="s">
        <v>3826</v>
      </c>
      <c r="B2007" s="79" t="s">
        <v>3827</v>
      </c>
      <c r="C2007" s="79">
        <v>603343097</v>
      </c>
      <c r="D2007" s="79">
        <v>0</v>
      </c>
      <c r="E2007" s="79" t="s">
        <v>1124</v>
      </c>
      <c r="F2007" s="79" t="s">
        <v>2539</v>
      </c>
      <c r="G2007" s="79" t="s">
        <v>1131</v>
      </c>
      <c r="H2007" s="79" t="s">
        <v>1132</v>
      </c>
      <c r="I2007" s="79"/>
    </row>
    <row r="2008" spans="1:9" ht="15">
      <c r="A2008" s="79" t="s">
        <v>3826</v>
      </c>
      <c r="B2008" s="79" t="s">
        <v>3827</v>
      </c>
      <c r="C2008" s="79">
        <v>603343097</v>
      </c>
      <c r="D2008" s="79">
        <v>0</v>
      </c>
      <c r="E2008" s="79" t="s">
        <v>1124</v>
      </c>
      <c r="F2008" s="79" t="s">
        <v>2539</v>
      </c>
      <c r="G2008" s="79" t="s">
        <v>2578</v>
      </c>
      <c r="H2008" s="79"/>
      <c r="I2008" s="79"/>
    </row>
    <row r="2009" spans="1:9" ht="15">
      <c r="A2009" s="79" t="s">
        <v>3828</v>
      </c>
      <c r="B2009" s="79" t="s">
        <v>3829</v>
      </c>
      <c r="C2009" s="79">
        <v>603343697</v>
      </c>
      <c r="D2009" s="79">
        <v>0</v>
      </c>
      <c r="E2009" s="79" t="s">
        <v>1124</v>
      </c>
      <c r="F2009" s="79" t="s">
        <v>2539</v>
      </c>
      <c r="G2009" s="79" t="s">
        <v>2546</v>
      </c>
      <c r="H2009" s="79" t="s">
        <v>2547</v>
      </c>
      <c r="I2009" s="79"/>
    </row>
    <row r="2010" spans="1:9" ht="15">
      <c r="A2010" s="79" t="s">
        <v>3828</v>
      </c>
      <c r="B2010" s="79" t="s">
        <v>3829</v>
      </c>
      <c r="C2010" s="79">
        <v>603343697</v>
      </c>
      <c r="D2010" s="79">
        <v>0</v>
      </c>
      <c r="E2010" s="79" t="s">
        <v>1124</v>
      </c>
      <c r="F2010" s="79" t="s">
        <v>2539</v>
      </c>
      <c r="G2010" s="79" t="s">
        <v>2581</v>
      </c>
      <c r="H2010" s="79"/>
      <c r="I2010" s="79"/>
    </row>
    <row r="2011" spans="1:9" ht="15">
      <c r="A2011" s="79" t="s">
        <v>3830</v>
      </c>
      <c r="B2011" s="79" t="s">
        <v>3831</v>
      </c>
      <c r="C2011" s="79">
        <v>603386297</v>
      </c>
      <c r="D2011" s="79">
        <v>0</v>
      </c>
      <c r="E2011" s="79" t="s">
        <v>1124</v>
      </c>
      <c r="F2011" s="79" t="s">
        <v>2539</v>
      </c>
      <c r="G2011" s="79" t="s">
        <v>1130</v>
      </c>
      <c r="H2011" s="79"/>
      <c r="I2011" s="79"/>
    </row>
    <row r="2012" spans="1:9" ht="15">
      <c r="A2012" s="79" t="s">
        <v>3830</v>
      </c>
      <c r="B2012" s="79" t="s">
        <v>3831</v>
      </c>
      <c r="C2012" s="79">
        <v>603386297</v>
      </c>
      <c r="D2012" s="79">
        <v>0</v>
      </c>
      <c r="E2012" s="79" t="s">
        <v>1124</v>
      </c>
      <c r="F2012" s="79" t="s">
        <v>2539</v>
      </c>
      <c r="G2012" s="79" t="s">
        <v>1131</v>
      </c>
      <c r="H2012" s="79" t="s">
        <v>1132</v>
      </c>
      <c r="I2012" s="79"/>
    </row>
    <row r="2013" spans="1:9" ht="15">
      <c r="A2013" s="79" t="s">
        <v>3830</v>
      </c>
      <c r="B2013" s="79" t="s">
        <v>3831</v>
      </c>
      <c r="C2013" s="79">
        <v>603386297</v>
      </c>
      <c r="D2013" s="79">
        <v>0</v>
      </c>
      <c r="E2013" s="79" t="s">
        <v>1124</v>
      </c>
      <c r="F2013" s="79" t="s">
        <v>2539</v>
      </c>
      <c r="G2013" s="79" t="s">
        <v>2578</v>
      </c>
      <c r="H2013" s="79"/>
      <c r="I2013" s="79"/>
    </row>
    <row r="2014" spans="1:9" ht="15">
      <c r="A2014" s="79" t="s">
        <v>3832</v>
      </c>
      <c r="B2014" s="79" t="s">
        <v>3833</v>
      </c>
      <c r="C2014" s="79">
        <v>603386897</v>
      </c>
      <c r="D2014" s="79">
        <v>0</v>
      </c>
      <c r="E2014" s="79" t="s">
        <v>1124</v>
      </c>
      <c r="F2014" s="79" t="s">
        <v>2539</v>
      </c>
      <c r="G2014" s="79" t="s">
        <v>2546</v>
      </c>
      <c r="H2014" s="79" t="s">
        <v>2547</v>
      </c>
      <c r="I2014" s="79"/>
    </row>
    <row r="2015" spans="1:9" ht="15">
      <c r="A2015" s="79" t="s">
        <v>3832</v>
      </c>
      <c r="B2015" s="79" t="s">
        <v>3833</v>
      </c>
      <c r="C2015" s="79">
        <v>603386897</v>
      </c>
      <c r="D2015" s="79">
        <v>0</v>
      </c>
      <c r="E2015" s="79" t="s">
        <v>1124</v>
      </c>
      <c r="F2015" s="79" t="s">
        <v>2539</v>
      </c>
      <c r="G2015" s="79" t="s">
        <v>2581</v>
      </c>
      <c r="H2015" s="79"/>
      <c r="I2015" s="79"/>
    </row>
    <row r="2016" spans="1:9" ht="15">
      <c r="A2016" s="79" t="s">
        <v>3834</v>
      </c>
      <c r="B2016" s="79" t="s">
        <v>3835</v>
      </c>
      <c r="C2016" s="79">
        <v>603429497</v>
      </c>
      <c r="D2016" s="79">
        <v>0</v>
      </c>
      <c r="E2016" s="79" t="s">
        <v>1124</v>
      </c>
      <c r="F2016" s="79" t="s">
        <v>2539</v>
      </c>
      <c r="G2016" s="79" t="s">
        <v>1130</v>
      </c>
      <c r="H2016" s="79"/>
      <c r="I2016" s="79"/>
    </row>
    <row r="2017" spans="1:9" ht="15">
      <c r="A2017" s="79" t="s">
        <v>3834</v>
      </c>
      <c r="B2017" s="79" t="s">
        <v>3835</v>
      </c>
      <c r="C2017" s="79">
        <v>603429497</v>
      </c>
      <c r="D2017" s="79">
        <v>0</v>
      </c>
      <c r="E2017" s="79" t="s">
        <v>1124</v>
      </c>
      <c r="F2017" s="79" t="s">
        <v>2539</v>
      </c>
      <c r="G2017" s="79" t="s">
        <v>1131</v>
      </c>
      <c r="H2017" s="79" t="s">
        <v>1132</v>
      </c>
      <c r="I2017" s="79"/>
    </row>
    <row r="2018" spans="1:9" ht="15">
      <c r="A2018" s="79" t="s">
        <v>3834</v>
      </c>
      <c r="B2018" s="79" t="s">
        <v>3835</v>
      </c>
      <c r="C2018" s="79">
        <v>603429497</v>
      </c>
      <c r="D2018" s="79">
        <v>0</v>
      </c>
      <c r="E2018" s="79" t="s">
        <v>1124</v>
      </c>
      <c r="F2018" s="79" t="s">
        <v>2539</v>
      </c>
      <c r="G2018" s="79" t="s">
        <v>2578</v>
      </c>
      <c r="H2018" s="79"/>
      <c r="I2018" s="79"/>
    </row>
    <row r="2019" spans="1:9" ht="15">
      <c r="A2019" s="79" t="s">
        <v>3836</v>
      </c>
      <c r="B2019" s="79" t="s">
        <v>3837</v>
      </c>
      <c r="C2019" s="79">
        <v>603430097</v>
      </c>
      <c r="D2019" s="79">
        <v>0</v>
      </c>
      <c r="E2019" s="79" t="s">
        <v>1124</v>
      </c>
      <c r="F2019" s="79" t="s">
        <v>2539</v>
      </c>
      <c r="G2019" s="79" t="s">
        <v>2546</v>
      </c>
      <c r="H2019" s="79" t="s">
        <v>2547</v>
      </c>
      <c r="I2019" s="79"/>
    </row>
    <row r="2020" spans="1:9" ht="15">
      <c r="A2020" s="79" t="s">
        <v>3836</v>
      </c>
      <c r="B2020" s="79" t="s">
        <v>3837</v>
      </c>
      <c r="C2020" s="79">
        <v>603430097</v>
      </c>
      <c r="D2020" s="79">
        <v>0</v>
      </c>
      <c r="E2020" s="79" t="s">
        <v>1124</v>
      </c>
      <c r="F2020" s="79" t="s">
        <v>2539</v>
      </c>
      <c r="G2020" s="79" t="s">
        <v>2581</v>
      </c>
      <c r="H2020" s="79"/>
      <c r="I2020" s="79"/>
    </row>
    <row r="2021" spans="1:9" ht="15">
      <c r="A2021" s="79" t="s">
        <v>3838</v>
      </c>
      <c r="B2021" s="79" t="s">
        <v>3839</v>
      </c>
      <c r="C2021" s="79">
        <v>603472697</v>
      </c>
      <c r="D2021" s="79">
        <v>0</v>
      </c>
      <c r="E2021" s="79" t="s">
        <v>1124</v>
      </c>
      <c r="F2021" s="79" t="s">
        <v>2539</v>
      </c>
      <c r="G2021" s="79" t="s">
        <v>1130</v>
      </c>
      <c r="H2021" s="79"/>
      <c r="I2021" s="79"/>
    </row>
    <row r="2022" spans="1:9" ht="15">
      <c r="A2022" s="79" t="s">
        <v>3838</v>
      </c>
      <c r="B2022" s="79" t="s">
        <v>3839</v>
      </c>
      <c r="C2022" s="79">
        <v>603472697</v>
      </c>
      <c r="D2022" s="79">
        <v>0</v>
      </c>
      <c r="E2022" s="79" t="s">
        <v>1124</v>
      </c>
      <c r="F2022" s="79" t="s">
        <v>2539</v>
      </c>
      <c r="G2022" s="79" t="s">
        <v>1131</v>
      </c>
      <c r="H2022" s="79" t="s">
        <v>1132</v>
      </c>
      <c r="I2022" s="79"/>
    </row>
    <row r="2023" spans="1:9" ht="15">
      <c r="A2023" s="79" t="s">
        <v>3838</v>
      </c>
      <c r="B2023" s="79" t="s">
        <v>3839</v>
      </c>
      <c r="C2023" s="79">
        <v>603472697</v>
      </c>
      <c r="D2023" s="79">
        <v>0</v>
      </c>
      <c r="E2023" s="79" t="s">
        <v>1124</v>
      </c>
      <c r="F2023" s="79" t="s">
        <v>2539</v>
      </c>
      <c r="G2023" s="79" t="s">
        <v>2578</v>
      </c>
      <c r="H2023" s="79"/>
      <c r="I2023" s="79"/>
    </row>
    <row r="2024" spans="1:9" ht="15">
      <c r="A2024" s="79" t="s">
        <v>3840</v>
      </c>
      <c r="B2024" s="79" t="s">
        <v>3841</v>
      </c>
      <c r="C2024" s="79">
        <v>603473297</v>
      </c>
      <c r="D2024" s="79">
        <v>0</v>
      </c>
      <c r="E2024" s="79" t="s">
        <v>1124</v>
      </c>
      <c r="F2024" s="79" t="s">
        <v>2539</v>
      </c>
      <c r="G2024" s="79" t="s">
        <v>2546</v>
      </c>
      <c r="H2024" s="79" t="s">
        <v>2547</v>
      </c>
      <c r="I2024" s="79"/>
    </row>
    <row r="2025" spans="1:9" ht="15">
      <c r="A2025" s="79" t="s">
        <v>3840</v>
      </c>
      <c r="B2025" s="79" t="s">
        <v>3841</v>
      </c>
      <c r="C2025" s="79">
        <v>603473297</v>
      </c>
      <c r="D2025" s="79">
        <v>0</v>
      </c>
      <c r="E2025" s="79" t="s">
        <v>1124</v>
      </c>
      <c r="F2025" s="79" t="s">
        <v>2539</v>
      </c>
      <c r="G2025" s="79" t="s">
        <v>2581</v>
      </c>
      <c r="H2025" s="79"/>
      <c r="I2025" s="79"/>
    </row>
    <row r="2026" spans="1:9" ht="15">
      <c r="A2026" s="79" t="s">
        <v>3842</v>
      </c>
      <c r="B2026" s="79" t="s">
        <v>3843</v>
      </c>
      <c r="C2026" s="79">
        <v>603515897</v>
      </c>
      <c r="D2026" s="79">
        <v>0</v>
      </c>
      <c r="E2026" s="79" t="s">
        <v>1124</v>
      </c>
      <c r="F2026" s="79" t="s">
        <v>2539</v>
      </c>
      <c r="G2026" s="79" t="s">
        <v>1130</v>
      </c>
      <c r="H2026" s="79"/>
      <c r="I2026" s="79"/>
    </row>
    <row r="2027" spans="1:9" ht="15">
      <c r="A2027" s="79" t="s">
        <v>3842</v>
      </c>
      <c r="B2027" s="79" t="s">
        <v>3843</v>
      </c>
      <c r="C2027" s="79">
        <v>603515897</v>
      </c>
      <c r="D2027" s="79">
        <v>0</v>
      </c>
      <c r="E2027" s="79" t="s">
        <v>1124</v>
      </c>
      <c r="F2027" s="79" t="s">
        <v>2539</v>
      </c>
      <c r="G2027" s="79" t="s">
        <v>1131</v>
      </c>
      <c r="H2027" s="79" t="s">
        <v>1132</v>
      </c>
      <c r="I2027" s="79"/>
    </row>
    <row r="2028" spans="1:9" ht="15">
      <c r="A2028" s="79" t="s">
        <v>3842</v>
      </c>
      <c r="B2028" s="79" t="s">
        <v>3843</v>
      </c>
      <c r="C2028" s="79">
        <v>603515897</v>
      </c>
      <c r="D2028" s="79">
        <v>0</v>
      </c>
      <c r="E2028" s="79" t="s">
        <v>1124</v>
      </c>
      <c r="F2028" s="79" t="s">
        <v>2539</v>
      </c>
      <c r="G2028" s="79" t="s">
        <v>2578</v>
      </c>
      <c r="H2028" s="79"/>
      <c r="I2028" s="79"/>
    </row>
    <row r="2029" spans="1:9" ht="15">
      <c r="A2029" s="79" t="s">
        <v>3844</v>
      </c>
      <c r="B2029" s="79" t="s">
        <v>3845</v>
      </c>
      <c r="C2029" s="79">
        <v>603516497</v>
      </c>
      <c r="D2029" s="79">
        <v>0</v>
      </c>
      <c r="E2029" s="79" t="s">
        <v>1124</v>
      </c>
      <c r="F2029" s="79" t="s">
        <v>2539</v>
      </c>
      <c r="G2029" s="79" t="s">
        <v>2546</v>
      </c>
      <c r="H2029" s="79" t="s">
        <v>2547</v>
      </c>
      <c r="I2029" s="79"/>
    </row>
    <row r="2030" spans="1:9" ht="15">
      <c r="A2030" s="79" t="s">
        <v>3844</v>
      </c>
      <c r="B2030" s="79" t="s">
        <v>3845</v>
      </c>
      <c r="C2030" s="79">
        <v>603516497</v>
      </c>
      <c r="D2030" s="79">
        <v>0</v>
      </c>
      <c r="E2030" s="79" t="s">
        <v>1124</v>
      </c>
      <c r="F2030" s="79" t="s">
        <v>2539</v>
      </c>
      <c r="G2030" s="79" t="s">
        <v>2581</v>
      </c>
      <c r="H2030" s="79"/>
      <c r="I2030" s="79"/>
    </row>
    <row r="2031" spans="1:9" ht="15">
      <c r="A2031" s="79" t="s">
        <v>3846</v>
      </c>
      <c r="B2031" s="79" t="s">
        <v>3847</v>
      </c>
      <c r="C2031" s="79">
        <v>603559097</v>
      </c>
      <c r="D2031" s="79">
        <v>0</v>
      </c>
      <c r="E2031" s="79" t="s">
        <v>1124</v>
      </c>
      <c r="F2031" s="79" t="s">
        <v>2539</v>
      </c>
      <c r="G2031" s="79" t="s">
        <v>1130</v>
      </c>
      <c r="H2031" s="79"/>
      <c r="I2031" s="79"/>
    </row>
    <row r="2032" spans="1:9" ht="15">
      <c r="A2032" s="79" t="s">
        <v>3846</v>
      </c>
      <c r="B2032" s="79" t="s">
        <v>3847</v>
      </c>
      <c r="C2032" s="79">
        <v>603559097</v>
      </c>
      <c r="D2032" s="79">
        <v>0</v>
      </c>
      <c r="E2032" s="79" t="s">
        <v>1124</v>
      </c>
      <c r="F2032" s="79" t="s">
        <v>2539</v>
      </c>
      <c r="G2032" s="79" t="s">
        <v>1131</v>
      </c>
      <c r="H2032" s="79" t="s">
        <v>1132</v>
      </c>
      <c r="I2032" s="79"/>
    </row>
    <row r="2033" spans="1:9" ht="15">
      <c r="A2033" s="79" t="s">
        <v>3846</v>
      </c>
      <c r="B2033" s="79" t="s">
        <v>3847</v>
      </c>
      <c r="C2033" s="79">
        <v>603559097</v>
      </c>
      <c r="D2033" s="79">
        <v>0</v>
      </c>
      <c r="E2033" s="79" t="s">
        <v>1124</v>
      </c>
      <c r="F2033" s="79" t="s">
        <v>2539</v>
      </c>
      <c r="G2033" s="79" t="s">
        <v>2578</v>
      </c>
      <c r="H2033" s="79"/>
      <c r="I2033" s="79"/>
    </row>
    <row r="2034" spans="1:9" ht="15">
      <c r="A2034" s="79" t="s">
        <v>3848</v>
      </c>
      <c r="B2034" s="79" t="s">
        <v>3849</v>
      </c>
      <c r="C2034" s="79">
        <v>603559697</v>
      </c>
      <c r="D2034" s="79">
        <v>0</v>
      </c>
      <c r="E2034" s="79" t="s">
        <v>1124</v>
      </c>
      <c r="F2034" s="79" t="s">
        <v>2539</v>
      </c>
      <c r="G2034" s="79" t="s">
        <v>2546</v>
      </c>
      <c r="H2034" s="79" t="s">
        <v>2547</v>
      </c>
      <c r="I2034" s="79"/>
    </row>
    <row r="2035" spans="1:9" ht="15">
      <c r="A2035" s="79" t="s">
        <v>3848</v>
      </c>
      <c r="B2035" s="79" t="s">
        <v>3849</v>
      </c>
      <c r="C2035" s="79">
        <v>603559697</v>
      </c>
      <c r="D2035" s="79">
        <v>0</v>
      </c>
      <c r="E2035" s="79" t="s">
        <v>1124</v>
      </c>
      <c r="F2035" s="79" t="s">
        <v>2539</v>
      </c>
      <c r="G2035" s="79" t="s">
        <v>2581</v>
      </c>
      <c r="H2035" s="79"/>
      <c r="I2035" s="79"/>
    </row>
    <row r="2036" spans="1:9" ht="15">
      <c r="A2036" s="79" t="s">
        <v>3850</v>
      </c>
      <c r="B2036" s="79" t="s">
        <v>3851</v>
      </c>
      <c r="C2036" s="79">
        <v>603602297</v>
      </c>
      <c r="D2036" s="79">
        <v>0</v>
      </c>
      <c r="E2036" s="79" t="s">
        <v>1124</v>
      </c>
      <c r="F2036" s="79" t="s">
        <v>2539</v>
      </c>
      <c r="G2036" s="79" t="s">
        <v>1130</v>
      </c>
      <c r="H2036" s="79"/>
      <c r="I2036" s="79"/>
    </row>
    <row r="2037" spans="1:9" ht="15">
      <c r="A2037" s="79" t="s">
        <v>3850</v>
      </c>
      <c r="B2037" s="79" t="s">
        <v>3851</v>
      </c>
      <c r="C2037" s="79">
        <v>603602297</v>
      </c>
      <c r="D2037" s="79">
        <v>0</v>
      </c>
      <c r="E2037" s="79" t="s">
        <v>1124</v>
      </c>
      <c r="F2037" s="79" t="s">
        <v>2539</v>
      </c>
      <c r="G2037" s="79" t="s">
        <v>1131</v>
      </c>
      <c r="H2037" s="79" t="s">
        <v>1132</v>
      </c>
      <c r="I2037" s="79"/>
    </row>
    <row r="2038" spans="1:9" ht="15">
      <c r="A2038" s="79" t="s">
        <v>3850</v>
      </c>
      <c r="B2038" s="79" t="s">
        <v>3851</v>
      </c>
      <c r="C2038" s="79">
        <v>603602297</v>
      </c>
      <c r="D2038" s="79">
        <v>0</v>
      </c>
      <c r="E2038" s="79" t="s">
        <v>1124</v>
      </c>
      <c r="F2038" s="79" t="s">
        <v>2539</v>
      </c>
      <c r="G2038" s="79" t="s">
        <v>2578</v>
      </c>
      <c r="H2038" s="79"/>
      <c r="I2038" s="79"/>
    </row>
    <row r="2039" spans="1:9" ht="15">
      <c r="A2039" s="79" t="s">
        <v>3852</v>
      </c>
      <c r="B2039" s="79" t="s">
        <v>3853</v>
      </c>
      <c r="C2039" s="79">
        <v>603602897</v>
      </c>
      <c r="D2039" s="79">
        <v>0</v>
      </c>
      <c r="E2039" s="79" t="s">
        <v>1124</v>
      </c>
      <c r="F2039" s="79" t="s">
        <v>2539</v>
      </c>
      <c r="G2039" s="79" t="s">
        <v>2546</v>
      </c>
      <c r="H2039" s="79" t="s">
        <v>2547</v>
      </c>
      <c r="I2039" s="79"/>
    </row>
    <row r="2040" spans="1:9" ht="15">
      <c r="A2040" s="79" t="s">
        <v>3852</v>
      </c>
      <c r="B2040" s="79" t="s">
        <v>3853</v>
      </c>
      <c r="C2040" s="79">
        <v>603602897</v>
      </c>
      <c r="D2040" s="79">
        <v>0</v>
      </c>
      <c r="E2040" s="79" t="s">
        <v>1124</v>
      </c>
      <c r="F2040" s="79" t="s">
        <v>2539</v>
      </c>
      <c r="G2040" s="79" t="s">
        <v>2581</v>
      </c>
      <c r="H2040" s="79"/>
      <c r="I2040" s="79"/>
    </row>
    <row r="2041" spans="1:9" ht="15">
      <c r="A2041" s="79" t="s">
        <v>3854</v>
      </c>
      <c r="B2041" s="79" t="s">
        <v>3855</v>
      </c>
      <c r="C2041" s="79">
        <v>603645497</v>
      </c>
      <c r="D2041" s="79">
        <v>0</v>
      </c>
      <c r="E2041" s="79" t="s">
        <v>1124</v>
      </c>
      <c r="F2041" s="79" t="s">
        <v>2539</v>
      </c>
      <c r="G2041" s="79" t="s">
        <v>1130</v>
      </c>
      <c r="H2041" s="79"/>
      <c r="I2041" s="79"/>
    </row>
    <row r="2042" spans="1:9" ht="15">
      <c r="A2042" s="79" t="s">
        <v>3854</v>
      </c>
      <c r="B2042" s="79" t="s">
        <v>3855</v>
      </c>
      <c r="C2042" s="79">
        <v>603645497</v>
      </c>
      <c r="D2042" s="79">
        <v>0</v>
      </c>
      <c r="E2042" s="79" t="s">
        <v>1124</v>
      </c>
      <c r="F2042" s="79" t="s">
        <v>2539</v>
      </c>
      <c r="G2042" s="79" t="s">
        <v>1131</v>
      </c>
      <c r="H2042" s="79" t="s">
        <v>1132</v>
      </c>
      <c r="I2042" s="79"/>
    </row>
    <row r="2043" spans="1:9" ht="15">
      <c r="A2043" s="79" t="s">
        <v>3854</v>
      </c>
      <c r="B2043" s="79" t="s">
        <v>3855</v>
      </c>
      <c r="C2043" s="79">
        <v>603645497</v>
      </c>
      <c r="D2043" s="79">
        <v>0</v>
      </c>
      <c r="E2043" s="79" t="s">
        <v>1124</v>
      </c>
      <c r="F2043" s="79" t="s">
        <v>2539</v>
      </c>
      <c r="G2043" s="79" t="s">
        <v>2578</v>
      </c>
      <c r="H2043" s="79"/>
      <c r="I2043" s="79"/>
    </row>
    <row r="2044" spans="1:9" ht="15">
      <c r="A2044" s="79" t="s">
        <v>3856</v>
      </c>
      <c r="B2044" s="79" t="s">
        <v>3857</v>
      </c>
      <c r="C2044" s="79">
        <v>603646097</v>
      </c>
      <c r="D2044" s="79">
        <v>0</v>
      </c>
      <c r="E2044" s="79" t="s">
        <v>1124</v>
      </c>
      <c r="F2044" s="79" t="s">
        <v>2539</v>
      </c>
      <c r="G2044" s="79" t="s">
        <v>2546</v>
      </c>
      <c r="H2044" s="79" t="s">
        <v>2547</v>
      </c>
      <c r="I2044" s="79"/>
    </row>
    <row r="2045" spans="1:9" ht="15">
      <c r="A2045" s="79" t="s">
        <v>3856</v>
      </c>
      <c r="B2045" s="79" t="s">
        <v>3857</v>
      </c>
      <c r="C2045" s="79">
        <v>603646097</v>
      </c>
      <c r="D2045" s="79">
        <v>0</v>
      </c>
      <c r="E2045" s="79" t="s">
        <v>1124</v>
      </c>
      <c r="F2045" s="79" t="s">
        <v>2539</v>
      </c>
      <c r="G2045" s="79" t="s">
        <v>2581</v>
      </c>
      <c r="H2045" s="79"/>
      <c r="I2045" s="79"/>
    </row>
    <row r="2046" spans="1:9" ht="15">
      <c r="A2046" s="79" t="s">
        <v>3858</v>
      </c>
      <c r="B2046" s="79" t="s">
        <v>3859</v>
      </c>
      <c r="C2046" s="79">
        <v>603688697</v>
      </c>
      <c r="D2046" s="79">
        <v>0</v>
      </c>
      <c r="E2046" s="79" t="s">
        <v>1124</v>
      </c>
      <c r="F2046" s="79" t="s">
        <v>2539</v>
      </c>
      <c r="G2046" s="79" t="s">
        <v>1130</v>
      </c>
      <c r="H2046" s="79"/>
      <c r="I2046" s="79"/>
    </row>
    <row r="2047" spans="1:9" ht="15">
      <c r="A2047" s="79" t="s">
        <v>3858</v>
      </c>
      <c r="B2047" s="79" t="s">
        <v>3859</v>
      </c>
      <c r="C2047" s="79">
        <v>603688697</v>
      </c>
      <c r="D2047" s="79">
        <v>0</v>
      </c>
      <c r="E2047" s="79" t="s">
        <v>1124</v>
      </c>
      <c r="F2047" s="79" t="s">
        <v>2539</v>
      </c>
      <c r="G2047" s="79" t="s">
        <v>1131</v>
      </c>
      <c r="H2047" s="79" t="s">
        <v>1132</v>
      </c>
      <c r="I2047" s="79"/>
    </row>
    <row r="2048" spans="1:9" ht="15">
      <c r="A2048" s="79" t="s">
        <v>3858</v>
      </c>
      <c r="B2048" s="79" t="s">
        <v>3859</v>
      </c>
      <c r="C2048" s="79">
        <v>603688697</v>
      </c>
      <c r="D2048" s="79">
        <v>0</v>
      </c>
      <c r="E2048" s="79" t="s">
        <v>1124</v>
      </c>
      <c r="F2048" s="79" t="s">
        <v>2539</v>
      </c>
      <c r="G2048" s="79" t="s">
        <v>2578</v>
      </c>
      <c r="H2048" s="79"/>
      <c r="I2048" s="79"/>
    </row>
    <row r="2049" spans="1:9" ht="15">
      <c r="A2049" s="79" t="s">
        <v>3860</v>
      </c>
      <c r="B2049" s="79" t="s">
        <v>3861</v>
      </c>
      <c r="C2049" s="79">
        <v>603689297</v>
      </c>
      <c r="D2049" s="79">
        <v>0</v>
      </c>
      <c r="E2049" s="79" t="s">
        <v>1124</v>
      </c>
      <c r="F2049" s="79" t="s">
        <v>2539</v>
      </c>
      <c r="G2049" s="79" t="s">
        <v>2546</v>
      </c>
      <c r="H2049" s="79" t="s">
        <v>2547</v>
      </c>
      <c r="I2049" s="79"/>
    </row>
    <row r="2050" spans="1:9" ht="15">
      <c r="A2050" s="79" t="s">
        <v>3860</v>
      </c>
      <c r="B2050" s="79" t="s">
        <v>3861</v>
      </c>
      <c r="C2050" s="79">
        <v>603689297</v>
      </c>
      <c r="D2050" s="79">
        <v>0</v>
      </c>
      <c r="E2050" s="79" t="s">
        <v>1124</v>
      </c>
      <c r="F2050" s="79" t="s">
        <v>2539</v>
      </c>
      <c r="G2050" s="79" t="s">
        <v>2581</v>
      </c>
      <c r="H2050" s="79"/>
      <c r="I2050" s="79"/>
    </row>
    <row r="2051" spans="1:9" ht="15">
      <c r="A2051" s="79" t="s">
        <v>3862</v>
      </c>
      <c r="B2051" s="79" t="s">
        <v>3863</v>
      </c>
      <c r="C2051" s="79">
        <v>603731897</v>
      </c>
      <c r="D2051" s="79">
        <v>0</v>
      </c>
      <c r="E2051" s="79" t="s">
        <v>1124</v>
      </c>
      <c r="F2051" s="79" t="s">
        <v>2539</v>
      </c>
      <c r="G2051" s="79" t="s">
        <v>1130</v>
      </c>
      <c r="H2051" s="79"/>
      <c r="I2051" s="79"/>
    </row>
    <row r="2052" spans="1:9" ht="15">
      <c r="A2052" s="79" t="s">
        <v>3862</v>
      </c>
      <c r="B2052" s="79" t="s">
        <v>3863</v>
      </c>
      <c r="C2052" s="79">
        <v>603731897</v>
      </c>
      <c r="D2052" s="79">
        <v>0</v>
      </c>
      <c r="E2052" s="79" t="s">
        <v>1124</v>
      </c>
      <c r="F2052" s="79" t="s">
        <v>2539</v>
      </c>
      <c r="G2052" s="79" t="s">
        <v>1131</v>
      </c>
      <c r="H2052" s="79" t="s">
        <v>1132</v>
      </c>
      <c r="I2052" s="79"/>
    </row>
    <row r="2053" spans="1:9" ht="15">
      <c r="A2053" s="79" t="s">
        <v>3862</v>
      </c>
      <c r="B2053" s="79" t="s">
        <v>3863</v>
      </c>
      <c r="C2053" s="79">
        <v>603731897</v>
      </c>
      <c r="D2053" s="79">
        <v>0</v>
      </c>
      <c r="E2053" s="79" t="s">
        <v>1124</v>
      </c>
      <c r="F2053" s="79" t="s">
        <v>2539</v>
      </c>
      <c r="G2053" s="79" t="s">
        <v>2578</v>
      </c>
      <c r="H2053" s="79"/>
      <c r="I2053" s="79"/>
    </row>
    <row r="2054" spans="1:9" ht="15">
      <c r="A2054" s="79" t="s">
        <v>3864</v>
      </c>
      <c r="B2054" s="79" t="s">
        <v>3865</v>
      </c>
      <c r="C2054" s="79">
        <v>603732497</v>
      </c>
      <c r="D2054" s="79">
        <v>0</v>
      </c>
      <c r="E2054" s="79" t="s">
        <v>1124</v>
      </c>
      <c r="F2054" s="79" t="s">
        <v>2539</v>
      </c>
      <c r="G2054" s="79" t="s">
        <v>2546</v>
      </c>
      <c r="H2054" s="79" t="s">
        <v>2547</v>
      </c>
      <c r="I2054" s="79"/>
    </row>
    <row r="2055" spans="1:9" ht="15">
      <c r="A2055" s="79" t="s">
        <v>3864</v>
      </c>
      <c r="B2055" s="79" t="s">
        <v>3865</v>
      </c>
      <c r="C2055" s="79">
        <v>603732497</v>
      </c>
      <c r="D2055" s="79">
        <v>0</v>
      </c>
      <c r="E2055" s="79" t="s">
        <v>1124</v>
      </c>
      <c r="F2055" s="79" t="s">
        <v>2539</v>
      </c>
      <c r="G2055" s="79" t="s">
        <v>2581</v>
      </c>
      <c r="H2055" s="79"/>
      <c r="I2055" s="79"/>
    </row>
    <row r="2056" spans="1:9" ht="15">
      <c r="A2056" s="79" t="s">
        <v>3866</v>
      </c>
      <c r="B2056" s="79" t="s">
        <v>3867</v>
      </c>
      <c r="C2056" s="79">
        <v>603775097</v>
      </c>
      <c r="D2056" s="79">
        <v>0</v>
      </c>
      <c r="E2056" s="79" t="s">
        <v>1124</v>
      </c>
      <c r="F2056" s="79" t="s">
        <v>2539</v>
      </c>
      <c r="G2056" s="79" t="s">
        <v>1130</v>
      </c>
      <c r="H2056" s="79"/>
      <c r="I2056" s="79"/>
    </row>
    <row r="2057" spans="1:9" ht="15">
      <c r="A2057" s="79" t="s">
        <v>3866</v>
      </c>
      <c r="B2057" s="79" t="s">
        <v>3867</v>
      </c>
      <c r="C2057" s="79">
        <v>603775097</v>
      </c>
      <c r="D2057" s="79">
        <v>0</v>
      </c>
      <c r="E2057" s="79" t="s">
        <v>1124</v>
      </c>
      <c r="F2057" s="79" t="s">
        <v>2539</v>
      </c>
      <c r="G2057" s="79" t="s">
        <v>1131</v>
      </c>
      <c r="H2057" s="79" t="s">
        <v>1132</v>
      </c>
      <c r="I2057" s="79"/>
    </row>
    <row r="2058" spans="1:9" ht="15">
      <c r="A2058" s="79" t="s">
        <v>3866</v>
      </c>
      <c r="B2058" s="79" t="s">
        <v>3867</v>
      </c>
      <c r="C2058" s="79">
        <v>603775097</v>
      </c>
      <c r="D2058" s="79">
        <v>0</v>
      </c>
      <c r="E2058" s="79" t="s">
        <v>1124</v>
      </c>
      <c r="F2058" s="79" t="s">
        <v>2539</v>
      </c>
      <c r="G2058" s="79" t="s">
        <v>2578</v>
      </c>
      <c r="H2058" s="79"/>
      <c r="I2058" s="79"/>
    </row>
    <row r="2059" spans="1:9" ht="15">
      <c r="A2059" s="79" t="s">
        <v>3868</v>
      </c>
      <c r="B2059" s="79" t="s">
        <v>3869</v>
      </c>
      <c r="C2059" s="79">
        <v>603775697</v>
      </c>
      <c r="D2059" s="79">
        <v>0</v>
      </c>
      <c r="E2059" s="79" t="s">
        <v>1124</v>
      </c>
      <c r="F2059" s="79" t="s">
        <v>2539</v>
      </c>
      <c r="G2059" s="79" t="s">
        <v>2546</v>
      </c>
      <c r="H2059" s="79" t="s">
        <v>2547</v>
      </c>
      <c r="I2059" s="79"/>
    </row>
    <row r="2060" spans="1:9" ht="15">
      <c r="A2060" s="79" t="s">
        <v>3868</v>
      </c>
      <c r="B2060" s="79" t="s">
        <v>3869</v>
      </c>
      <c r="C2060" s="79">
        <v>603775697</v>
      </c>
      <c r="D2060" s="79">
        <v>0</v>
      </c>
      <c r="E2060" s="79" t="s">
        <v>1124</v>
      </c>
      <c r="F2060" s="79" t="s">
        <v>2539</v>
      </c>
      <c r="G2060" s="79" t="s">
        <v>2581</v>
      </c>
      <c r="H2060" s="79"/>
      <c r="I2060" s="79"/>
    </row>
    <row r="2061" spans="1:9" ht="15">
      <c r="A2061" s="79" t="s">
        <v>3870</v>
      </c>
      <c r="B2061" s="79" t="s">
        <v>3871</v>
      </c>
      <c r="C2061" s="79">
        <v>603818297</v>
      </c>
      <c r="D2061" s="79">
        <v>0</v>
      </c>
      <c r="E2061" s="79" t="s">
        <v>1124</v>
      </c>
      <c r="F2061" s="79" t="s">
        <v>2539</v>
      </c>
      <c r="G2061" s="79" t="s">
        <v>1130</v>
      </c>
      <c r="H2061" s="79"/>
      <c r="I2061" s="79"/>
    </row>
    <row r="2062" spans="1:9" ht="15">
      <c r="A2062" s="79" t="s">
        <v>3870</v>
      </c>
      <c r="B2062" s="79" t="s">
        <v>3871</v>
      </c>
      <c r="C2062" s="79">
        <v>603818297</v>
      </c>
      <c r="D2062" s="79">
        <v>0</v>
      </c>
      <c r="E2062" s="79" t="s">
        <v>1124</v>
      </c>
      <c r="F2062" s="79" t="s">
        <v>2539</v>
      </c>
      <c r="G2062" s="79" t="s">
        <v>1131</v>
      </c>
      <c r="H2062" s="79" t="s">
        <v>1132</v>
      </c>
      <c r="I2062" s="79"/>
    </row>
    <row r="2063" spans="1:9" ht="15">
      <c r="A2063" s="79" t="s">
        <v>3870</v>
      </c>
      <c r="B2063" s="79" t="s">
        <v>3871</v>
      </c>
      <c r="C2063" s="79">
        <v>603818297</v>
      </c>
      <c r="D2063" s="79">
        <v>0</v>
      </c>
      <c r="E2063" s="79" t="s">
        <v>1124</v>
      </c>
      <c r="F2063" s="79" t="s">
        <v>2539</v>
      </c>
      <c r="G2063" s="79" t="s">
        <v>2578</v>
      </c>
      <c r="H2063" s="79"/>
      <c r="I2063" s="79"/>
    </row>
    <row r="2064" spans="1:9" ht="15">
      <c r="A2064" s="79" t="s">
        <v>3872</v>
      </c>
      <c r="B2064" s="79" t="s">
        <v>3873</v>
      </c>
      <c r="C2064" s="79">
        <v>603818897</v>
      </c>
      <c r="D2064" s="79">
        <v>0</v>
      </c>
      <c r="E2064" s="79" t="s">
        <v>1124</v>
      </c>
      <c r="F2064" s="79" t="s">
        <v>2539</v>
      </c>
      <c r="G2064" s="79" t="s">
        <v>2546</v>
      </c>
      <c r="H2064" s="79" t="s">
        <v>2547</v>
      </c>
      <c r="I2064" s="79"/>
    </row>
    <row r="2065" spans="1:9" ht="15">
      <c r="A2065" s="79" t="s">
        <v>3872</v>
      </c>
      <c r="B2065" s="79" t="s">
        <v>3873</v>
      </c>
      <c r="C2065" s="79">
        <v>603818897</v>
      </c>
      <c r="D2065" s="79">
        <v>0</v>
      </c>
      <c r="E2065" s="79" t="s">
        <v>1124</v>
      </c>
      <c r="F2065" s="79" t="s">
        <v>2539</v>
      </c>
      <c r="G2065" s="79" t="s">
        <v>2581</v>
      </c>
      <c r="H2065" s="79"/>
      <c r="I2065" s="79"/>
    </row>
    <row r="2066" spans="1:9" ht="15">
      <c r="A2066" s="79" t="s">
        <v>3874</v>
      </c>
      <c r="B2066" s="79" t="s">
        <v>3875</v>
      </c>
      <c r="C2066" s="79">
        <v>603861497</v>
      </c>
      <c r="D2066" s="79">
        <v>0</v>
      </c>
      <c r="E2066" s="79" t="s">
        <v>1124</v>
      </c>
      <c r="F2066" s="79" t="s">
        <v>2539</v>
      </c>
      <c r="G2066" s="79" t="s">
        <v>1130</v>
      </c>
      <c r="H2066" s="79"/>
      <c r="I2066" s="79"/>
    </row>
    <row r="2067" spans="1:9" ht="15">
      <c r="A2067" s="79" t="s">
        <v>3874</v>
      </c>
      <c r="B2067" s="79" t="s">
        <v>3875</v>
      </c>
      <c r="C2067" s="79">
        <v>603861497</v>
      </c>
      <c r="D2067" s="79">
        <v>0</v>
      </c>
      <c r="E2067" s="79" t="s">
        <v>1124</v>
      </c>
      <c r="F2067" s="79" t="s">
        <v>2539</v>
      </c>
      <c r="G2067" s="79" t="s">
        <v>1131</v>
      </c>
      <c r="H2067" s="79" t="s">
        <v>1132</v>
      </c>
      <c r="I2067" s="79"/>
    </row>
    <row r="2068" spans="1:9" ht="15">
      <c r="A2068" s="79" t="s">
        <v>3874</v>
      </c>
      <c r="B2068" s="79" t="s">
        <v>3875</v>
      </c>
      <c r="C2068" s="79">
        <v>603861497</v>
      </c>
      <c r="D2068" s="79">
        <v>0</v>
      </c>
      <c r="E2068" s="79" t="s">
        <v>1124</v>
      </c>
      <c r="F2068" s="79" t="s">
        <v>2539</v>
      </c>
      <c r="G2068" s="79" t="s">
        <v>2578</v>
      </c>
      <c r="H2068" s="79"/>
      <c r="I2068" s="79"/>
    </row>
    <row r="2069" spans="1:9" ht="15">
      <c r="A2069" s="79" t="s">
        <v>3876</v>
      </c>
      <c r="B2069" s="79" t="s">
        <v>3877</v>
      </c>
      <c r="C2069" s="79">
        <v>603862097</v>
      </c>
      <c r="D2069" s="79">
        <v>0</v>
      </c>
      <c r="E2069" s="79" t="s">
        <v>1124</v>
      </c>
      <c r="F2069" s="79" t="s">
        <v>2539</v>
      </c>
      <c r="G2069" s="79" t="s">
        <v>2546</v>
      </c>
      <c r="H2069" s="79" t="s">
        <v>2547</v>
      </c>
      <c r="I2069" s="79"/>
    </row>
    <row r="2070" spans="1:9" ht="15">
      <c r="A2070" s="79" t="s">
        <v>3876</v>
      </c>
      <c r="B2070" s="79" t="s">
        <v>3877</v>
      </c>
      <c r="C2070" s="79">
        <v>603862097</v>
      </c>
      <c r="D2070" s="79">
        <v>0</v>
      </c>
      <c r="E2070" s="79" t="s">
        <v>1124</v>
      </c>
      <c r="F2070" s="79" t="s">
        <v>2539</v>
      </c>
      <c r="G2070" s="79" t="s">
        <v>2581</v>
      </c>
      <c r="H2070" s="79"/>
      <c r="I2070" s="79"/>
    </row>
    <row r="2071" spans="1:9" ht="15">
      <c r="A2071" s="79" t="s">
        <v>3878</v>
      </c>
      <c r="B2071" s="79" t="s">
        <v>3879</v>
      </c>
      <c r="C2071" s="79">
        <v>603904697</v>
      </c>
      <c r="D2071" s="79">
        <v>0</v>
      </c>
      <c r="E2071" s="79" t="s">
        <v>1124</v>
      </c>
      <c r="F2071" s="79" t="s">
        <v>2539</v>
      </c>
      <c r="G2071" s="79" t="s">
        <v>1130</v>
      </c>
      <c r="H2071" s="79"/>
      <c r="I2071" s="79"/>
    </row>
    <row r="2072" spans="1:9" ht="15">
      <c r="A2072" s="79" t="s">
        <v>3878</v>
      </c>
      <c r="B2072" s="79" t="s">
        <v>3879</v>
      </c>
      <c r="C2072" s="79">
        <v>603904697</v>
      </c>
      <c r="D2072" s="79">
        <v>0</v>
      </c>
      <c r="E2072" s="79" t="s">
        <v>1124</v>
      </c>
      <c r="F2072" s="79" t="s">
        <v>2539</v>
      </c>
      <c r="G2072" s="79" t="s">
        <v>1131</v>
      </c>
      <c r="H2072" s="79" t="s">
        <v>1132</v>
      </c>
      <c r="I2072" s="79"/>
    </row>
    <row r="2073" spans="1:9" ht="15">
      <c r="A2073" s="79" t="s">
        <v>3878</v>
      </c>
      <c r="B2073" s="79" t="s">
        <v>3879</v>
      </c>
      <c r="C2073" s="79">
        <v>603904697</v>
      </c>
      <c r="D2073" s="79">
        <v>0</v>
      </c>
      <c r="E2073" s="79" t="s">
        <v>1124</v>
      </c>
      <c r="F2073" s="79" t="s">
        <v>2539</v>
      </c>
      <c r="G2073" s="79" t="s">
        <v>2578</v>
      </c>
      <c r="H2073" s="79"/>
      <c r="I2073" s="79"/>
    </row>
    <row r="2074" spans="1:9" ht="15">
      <c r="A2074" s="79" t="s">
        <v>3880</v>
      </c>
      <c r="B2074" s="79" t="s">
        <v>3881</v>
      </c>
      <c r="C2074" s="79">
        <v>603905297</v>
      </c>
      <c r="D2074" s="79">
        <v>0</v>
      </c>
      <c r="E2074" s="79" t="s">
        <v>1124</v>
      </c>
      <c r="F2074" s="79" t="s">
        <v>2539</v>
      </c>
      <c r="G2074" s="79" t="s">
        <v>2546</v>
      </c>
      <c r="H2074" s="79" t="s">
        <v>2547</v>
      </c>
      <c r="I2074" s="79"/>
    </row>
    <row r="2075" spans="1:9" ht="15">
      <c r="A2075" s="79" t="s">
        <v>3880</v>
      </c>
      <c r="B2075" s="79" t="s">
        <v>3881</v>
      </c>
      <c r="C2075" s="79">
        <v>603905297</v>
      </c>
      <c r="D2075" s="79">
        <v>0</v>
      </c>
      <c r="E2075" s="79" t="s">
        <v>1124</v>
      </c>
      <c r="F2075" s="79" t="s">
        <v>2539</v>
      </c>
      <c r="G2075" s="79" t="s">
        <v>2581</v>
      </c>
      <c r="H2075" s="79"/>
      <c r="I2075" s="79"/>
    </row>
    <row r="2076" spans="1:9" ht="15">
      <c r="A2076" s="79" t="s">
        <v>3882</v>
      </c>
      <c r="B2076" s="79" t="s">
        <v>3883</v>
      </c>
      <c r="C2076" s="79">
        <v>603947897</v>
      </c>
      <c r="D2076" s="79">
        <v>0</v>
      </c>
      <c r="E2076" s="79" t="s">
        <v>1124</v>
      </c>
      <c r="F2076" s="79" t="s">
        <v>2539</v>
      </c>
      <c r="G2076" s="79" t="s">
        <v>1130</v>
      </c>
      <c r="H2076" s="79"/>
      <c r="I2076" s="79"/>
    </row>
    <row r="2077" spans="1:9" ht="15">
      <c r="A2077" s="79" t="s">
        <v>3882</v>
      </c>
      <c r="B2077" s="79" t="s">
        <v>3883</v>
      </c>
      <c r="C2077" s="79">
        <v>603947897</v>
      </c>
      <c r="D2077" s="79">
        <v>0</v>
      </c>
      <c r="E2077" s="79" t="s">
        <v>1124</v>
      </c>
      <c r="F2077" s="79" t="s">
        <v>2539</v>
      </c>
      <c r="G2077" s="79" t="s">
        <v>1131</v>
      </c>
      <c r="H2077" s="79" t="s">
        <v>1132</v>
      </c>
      <c r="I2077" s="79"/>
    </row>
    <row r="2078" spans="1:9" ht="15">
      <c r="A2078" s="79" t="s">
        <v>3882</v>
      </c>
      <c r="B2078" s="79" t="s">
        <v>3883</v>
      </c>
      <c r="C2078" s="79">
        <v>603947897</v>
      </c>
      <c r="D2078" s="79">
        <v>0</v>
      </c>
      <c r="E2078" s="79" t="s">
        <v>1124</v>
      </c>
      <c r="F2078" s="79" t="s">
        <v>2539</v>
      </c>
      <c r="G2078" s="79" t="s">
        <v>2578</v>
      </c>
      <c r="H2078" s="79"/>
      <c r="I2078" s="79"/>
    </row>
    <row r="2079" spans="1:9" ht="15">
      <c r="A2079" s="79" t="s">
        <v>3884</v>
      </c>
      <c r="B2079" s="79" t="s">
        <v>3885</v>
      </c>
      <c r="C2079" s="79">
        <v>603948497</v>
      </c>
      <c r="D2079" s="79">
        <v>0</v>
      </c>
      <c r="E2079" s="79" t="s">
        <v>1124</v>
      </c>
      <c r="F2079" s="79" t="s">
        <v>2539</v>
      </c>
      <c r="G2079" s="79" t="s">
        <v>2546</v>
      </c>
      <c r="H2079" s="79" t="s">
        <v>2547</v>
      </c>
      <c r="I2079" s="79"/>
    </row>
    <row r="2080" spans="1:9" ht="15">
      <c r="A2080" s="79" t="s">
        <v>3884</v>
      </c>
      <c r="B2080" s="79" t="s">
        <v>3885</v>
      </c>
      <c r="C2080" s="79">
        <v>603948497</v>
      </c>
      <c r="D2080" s="79">
        <v>0</v>
      </c>
      <c r="E2080" s="79" t="s">
        <v>1124</v>
      </c>
      <c r="F2080" s="79" t="s">
        <v>2539</v>
      </c>
      <c r="G2080" s="79" t="s">
        <v>2581</v>
      </c>
      <c r="H2080" s="79"/>
      <c r="I2080" s="79"/>
    </row>
    <row r="2081" spans="1:9" ht="15">
      <c r="A2081" s="79" t="s">
        <v>3886</v>
      </c>
      <c r="B2081" s="79" t="s">
        <v>3887</v>
      </c>
      <c r="C2081" s="79">
        <v>603991097</v>
      </c>
      <c r="D2081" s="79">
        <v>0</v>
      </c>
      <c r="E2081" s="79" t="s">
        <v>1124</v>
      </c>
      <c r="F2081" s="79" t="s">
        <v>2539</v>
      </c>
      <c r="G2081" s="79" t="s">
        <v>1130</v>
      </c>
      <c r="H2081" s="79"/>
      <c r="I2081" s="79"/>
    </row>
    <row r="2082" spans="1:9" ht="15">
      <c r="A2082" s="79" t="s">
        <v>3886</v>
      </c>
      <c r="B2082" s="79" t="s">
        <v>3887</v>
      </c>
      <c r="C2082" s="79">
        <v>603991097</v>
      </c>
      <c r="D2082" s="79">
        <v>0</v>
      </c>
      <c r="E2082" s="79" t="s">
        <v>1124</v>
      </c>
      <c r="F2082" s="79" t="s">
        <v>2539</v>
      </c>
      <c r="G2082" s="79" t="s">
        <v>1131</v>
      </c>
      <c r="H2082" s="79" t="s">
        <v>1132</v>
      </c>
      <c r="I2082" s="79"/>
    </row>
    <row r="2083" spans="1:9" ht="15">
      <c r="A2083" s="79" t="s">
        <v>3886</v>
      </c>
      <c r="B2083" s="79" t="s">
        <v>3887</v>
      </c>
      <c r="C2083" s="79">
        <v>603991097</v>
      </c>
      <c r="D2083" s="79">
        <v>0</v>
      </c>
      <c r="E2083" s="79" t="s">
        <v>1124</v>
      </c>
      <c r="F2083" s="79" t="s">
        <v>2539</v>
      </c>
      <c r="G2083" s="79" t="s">
        <v>2578</v>
      </c>
      <c r="H2083" s="79"/>
      <c r="I2083" s="79"/>
    </row>
    <row r="2084" spans="1:9" ht="15">
      <c r="A2084" s="79" t="s">
        <v>3888</v>
      </c>
      <c r="B2084" s="79" t="s">
        <v>3889</v>
      </c>
      <c r="C2084" s="79">
        <v>603991697</v>
      </c>
      <c r="D2084" s="79">
        <v>0</v>
      </c>
      <c r="E2084" s="79" t="s">
        <v>1124</v>
      </c>
      <c r="F2084" s="79" t="s">
        <v>2539</v>
      </c>
      <c r="G2084" s="79" t="s">
        <v>2546</v>
      </c>
      <c r="H2084" s="79" t="s">
        <v>2547</v>
      </c>
      <c r="I2084" s="79"/>
    </row>
    <row r="2085" spans="1:9" ht="15">
      <c r="A2085" s="79" t="s">
        <v>3888</v>
      </c>
      <c r="B2085" s="79" t="s">
        <v>3889</v>
      </c>
      <c r="C2085" s="79">
        <v>603991697</v>
      </c>
      <c r="D2085" s="79">
        <v>0</v>
      </c>
      <c r="E2085" s="79" t="s">
        <v>1124</v>
      </c>
      <c r="F2085" s="79" t="s">
        <v>2539</v>
      </c>
      <c r="G2085" s="79" t="s">
        <v>2581</v>
      </c>
      <c r="H2085" s="79"/>
      <c r="I2085" s="79"/>
    </row>
    <row r="2086" spans="1:9" ht="15">
      <c r="A2086" s="79" t="s">
        <v>3890</v>
      </c>
      <c r="B2086" s="79" t="s">
        <v>3891</v>
      </c>
      <c r="C2086" s="79">
        <v>604034297</v>
      </c>
      <c r="D2086" s="79">
        <v>0</v>
      </c>
      <c r="E2086" s="79" t="s">
        <v>1124</v>
      </c>
      <c r="F2086" s="79" t="s">
        <v>2539</v>
      </c>
      <c r="G2086" s="79" t="s">
        <v>1130</v>
      </c>
      <c r="H2086" s="79"/>
      <c r="I2086" s="79"/>
    </row>
    <row r="2087" spans="1:9" ht="15">
      <c r="A2087" s="79" t="s">
        <v>3890</v>
      </c>
      <c r="B2087" s="79" t="s">
        <v>3891</v>
      </c>
      <c r="C2087" s="79">
        <v>604034297</v>
      </c>
      <c r="D2087" s="79">
        <v>0</v>
      </c>
      <c r="E2087" s="79" t="s">
        <v>1124</v>
      </c>
      <c r="F2087" s="79" t="s">
        <v>2539</v>
      </c>
      <c r="G2087" s="79" t="s">
        <v>1131</v>
      </c>
      <c r="H2087" s="79" t="s">
        <v>1132</v>
      </c>
      <c r="I2087" s="79"/>
    </row>
    <row r="2088" spans="1:9" ht="15">
      <c r="A2088" s="79" t="s">
        <v>3890</v>
      </c>
      <c r="B2088" s="79" t="s">
        <v>3891</v>
      </c>
      <c r="C2088" s="79">
        <v>604034297</v>
      </c>
      <c r="D2088" s="79">
        <v>0</v>
      </c>
      <c r="E2088" s="79" t="s">
        <v>1124</v>
      </c>
      <c r="F2088" s="79" t="s">
        <v>2539</v>
      </c>
      <c r="G2088" s="79" t="s">
        <v>2578</v>
      </c>
      <c r="H2088" s="79"/>
      <c r="I2088" s="79"/>
    </row>
    <row r="2089" spans="1:9" ht="15">
      <c r="A2089" s="79" t="s">
        <v>3892</v>
      </c>
      <c r="B2089" s="79" t="s">
        <v>3893</v>
      </c>
      <c r="C2089" s="79">
        <v>604034897</v>
      </c>
      <c r="D2089" s="79">
        <v>0</v>
      </c>
      <c r="E2089" s="79" t="s">
        <v>1124</v>
      </c>
      <c r="F2089" s="79" t="s">
        <v>2539</v>
      </c>
      <c r="G2089" s="79" t="s">
        <v>2546</v>
      </c>
      <c r="H2089" s="79" t="s">
        <v>2547</v>
      </c>
      <c r="I2089" s="79"/>
    </row>
    <row r="2090" spans="1:9" ht="15">
      <c r="A2090" s="79" t="s">
        <v>3892</v>
      </c>
      <c r="B2090" s="79" t="s">
        <v>3893</v>
      </c>
      <c r="C2090" s="79">
        <v>604034897</v>
      </c>
      <c r="D2090" s="79">
        <v>0</v>
      </c>
      <c r="E2090" s="79" t="s">
        <v>1124</v>
      </c>
      <c r="F2090" s="79" t="s">
        <v>2539</v>
      </c>
      <c r="G2090" s="79" t="s">
        <v>2581</v>
      </c>
      <c r="H2090" s="79"/>
      <c r="I2090" s="79"/>
    </row>
    <row r="2091" spans="1:9" ht="15">
      <c r="A2091" s="79" t="s">
        <v>3894</v>
      </c>
      <c r="B2091" s="79" t="s">
        <v>3895</v>
      </c>
      <c r="C2091" s="79">
        <v>604077497</v>
      </c>
      <c r="D2091" s="79">
        <v>0</v>
      </c>
      <c r="E2091" s="79" t="s">
        <v>1124</v>
      </c>
      <c r="F2091" s="79" t="s">
        <v>2539</v>
      </c>
      <c r="G2091" s="79" t="s">
        <v>1130</v>
      </c>
      <c r="H2091" s="79"/>
      <c r="I2091" s="79"/>
    </row>
    <row r="2092" spans="1:9" ht="15">
      <c r="A2092" s="79" t="s">
        <v>3894</v>
      </c>
      <c r="B2092" s="79" t="s">
        <v>3895</v>
      </c>
      <c r="C2092" s="79">
        <v>604077497</v>
      </c>
      <c r="D2092" s="79">
        <v>0</v>
      </c>
      <c r="E2092" s="79" t="s">
        <v>1124</v>
      </c>
      <c r="F2092" s="79" t="s">
        <v>2539</v>
      </c>
      <c r="G2092" s="79" t="s">
        <v>2109</v>
      </c>
      <c r="H2092" s="79"/>
      <c r="I2092" s="79"/>
    </row>
    <row r="2093" spans="1:9" ht="15">
      <c r="A2093" s="79" t="s">
        <v>3896</v>
      </c>
      <c r="B2093" s="79" t="s">
        <v>3897</v>
      </c>
      <c r="C2093" s="79">
        <v>604077500</v>
      </c>
      <c r="D2093" s="79">
        <v>0</v>
      </c>
      <c r="E2093" s="79" t="s">
        <v>1124</v>
      </c>
      <c r="F2093" s="79" t="s">
        <v>2539</v>
      </c>
      <c r="G2093" s="79" t="s">
        <v>1130</v>
      </c>
      <c r="H2093" s="79"/>
      <c r="I2093" s="79"/>
    </row>
    <row r="2094" spans="1:9" ht="15">
      <c r="A2094" s="79" t="s">
        <v>3896</v>
      </c>
      <c r="B2094" s="79" t="s">
        <v>3897</v>
      </c>
      <c r="C2094" s="79">
        <v>604077500</v>
      </c>
      <c r="D2094" s="79">
        <v>0</v>
      </c>
      <c r="E2094" s="79" t="s">
        <v>1124</v>
      </c>
      <c r="F2094" s="79" t="s">
        <v>2539</v>
      </c>
      <c r="G2094" s="79" t="s">
        <v>2572</v>
      </c>
      <c r="H2094" s="79" t="s">
        <v>2573</v>
      </c>
      <c r="I2094" s="79"/>
    </row>
    <row r="2095" spans="1:9" ht="15">
      <c r="A2095" s="79" t="s">
        <v>3896</v>
      </c>
      <c r="B2095" s="79" t="s">
        <v>3897</v>
      </c>
      <c r="C2095" s="79">
        <v>604077500</v>
      </c>
      <c r="D2095" s="79">
        <v>0</v>
      </c>
      <c r="E2095" s="79" t="s">
        <v>1124</v>
      </c>
      <c r="F2095" s="79" t="s">
        <v>2539</v>
      </c>
      <c r="G2095" s="79" t="s">
        <v>2568</v>
      </c>
      <c r="H2095" s="79"/>
      <c r="I2095" s="79"/>
    </row>
    <row r="2096" spans="1:9" ht="15">
      <c r="A2096" s="79" t="s">
        <v>3898</v>
      </c>
      <c r="B2096" s="79" t="s">
        <v>3899</v>
      </c>
      <c r="C2096" s="79">
        <v>604077860</v>
      </c>
      <c r="D2096" s="79">
        <v>0</v>
      </c>
      <c r="E2096" s="79" t="s">
        <v>1124</v>
      </c>
      <c r="F2096" s="79" t="s">
        <v>2539</v>
      </c>
      <c r="G2096" s="79" t="s">
        <v>2576</v>
      </c>
      <c r="H2096" s="79"/>
      <c r="I2096" s="79"/>
    </row>
    <row r="2097" spans="1:9" ht="15">
      <c r="A2097" s="79" t="s">
        <v>3898</v>
      </c>
      <c r="B2097" s="79" t="s">
        <v>3899</v>
      </c>
      <c r="C2097" s="79">
        <v>604077860</v>
      </c>
      <c r="D2097" s="79">
        <v>0</v>
      </c>
      <c r="E2097" s="79" t="s">
        <v>1124</v>
      </c>
      <c r="F2097" s="79" t="s">
        <v>2539</v>
      </c>
      <c r="G2097" s="79" t="s">
        <v>2577</v>
      </c>
      <c r="H2097" s="79"/>
      <c r="I2097" s="79"/>
    </row>
    <row r="2098" spans="1:9" ht="15">
      <c r="A2098" s="79" t="s">
        <v>3898</v>
      </c>
      <c r="B2098" s="79" t="s">
        <v>3899</v>
      </c>
      <c r="C2098" s="79">
        <v>604077860</v>
      </c>
      <c r="D2098" s="79">
        <v>0</v>
      </c>
      <c r="E2098" s="79" t="s">
        <v>1124</v>
      </c>
      <c r="F2098" s="79" t="s">
        <v>2539</v>
      </c>
      <c r="G2098" s="79" t="s">
        <v>1131</v>
      </c>
      <c r="H2098" s="79" t="s">
        <v>1132</v>
      </c>
      <c r="I2098" s="79"/>
    </row>
    <row r="2099" spans="1:9" ht="15">
      <c r="A2099" s="79" t="s">
        <v>3898</v>
      </c>
      <c r="B2099" s="79" t="s">
        <v>3899</v>
      </c>
      <c r="C2099" s="79">
        <v>604077860</v>
      </c>
      <c r="D2099" s="79">
        <v>0</v>
      </c>
      <c r="E2099" s="79" t="s">
        <v>1124</v>
      </c>
      <c r="F2099" s="79" t="s">
        <v>2539</v>
      </c>
      <c r="G2099" s="79" t="s">
        <v>2578</v>
      </c>
      <c r="H2099" s="79"/>
      <c r="I2099" s="79"/>
    </row>
    <row r="2100" spans="1:9" ht="15">
      <c r="A2100" s="79" t="s">
        <v>3900</v>
      </c>
      <c r="B2100" s="79" t="s">
        <v>3901</v>
      </c>
      <c r="C2100" s="79">
        <v>604078460</v>
      </c>
      <c r="D2100" s="79">
        <v>0</v>
      </c>
      <c r="E2100" s="79" t="s">
        <v>1124</v>
      </c>
      <c r="F2100" s="79" t="s">
        <v>2539</v>
      </c>
      <c r="G2100" s="79" t="s">
        <v>2546</v>
      </c>
      <c r="H2100" s="79" t="s">
        <v>2547</v>
      </c>
      <c r="I2100" s="79"/>
    </row>
    <row r="2101" spans="1:9" ht="15">
      <c r="A2101" s="79" t="s">
        <v>3900</v>
      </c>
      <c r="B2101" s="79" t="s">
        <v>3901</v>
      </c>
      <c r="C2101" s="79">
        <v>604078460</v>
      </c>
      <c r="D2101" s="79">
        <v>0</v>
      </c>
      <c r="E2101" s="79" t="s">
        <v>1124</v>
      </c>
      <c r="F2101" s="79" t="s">
        <v>2539</v>
      </c>
      <c r="G2101" s="79" t="s">
        <v>2581</v>
      </c>
      <c r="H2101" s="79"/>
      <c r="I2101" s="79"/>
    </row>
    <row r="2102" spans="1:9" ht="15">
      <c r="A2102" s="79" t="s">
        <v>3902</v>
      </c>
      <c r="B2102" s="79" t="s">
        <v>3903</v>
      </c>
      <c r="C2102" s="79">
        <v>604121060</v>
      </c>
      <c r="D2102" s="79">
        <v>0</v>
      </c>
      <c r="E2102" s="79" t="s">
        <v>1124</v>
      </c>
      <c r="F2102" s="79" t="s">
        <v>2539</v>
      </c>
      <c r="G2102" s="79" t="s">
        <v>1130</v>
      </c>
      <c r="H2102" s="79"/>
      <c r="I2102" s="79"/>
    </row>
    <row r="2103" spans="1:9" ht="15">
      <c r="A2103" s="79" t="s">
        <v>3902</v>
      </c>
      <c r="B2103" s="79" t="s">
        <v>3903</v>
      </c>
      <c r="C2103" s="79">
        <v>604121060</v>
      </c>
      <c r="D2103" s="79">
        <v>0</v>
      </c>
      <c r="E2103" s="79" t="s">
        <v>1124</v>
      </c>
      <c r="F2103" s="79" t="s">
        <v>2539</v>
      </c>
      <c r="G2103" s="79" t="s">
        <v>1131</v>
      </c>
      <c r="H2103" s="79" t="s">
        <v>1132</v>
      </c>
      <c r="I2103" s="79"/>
    </row>
    <row r="2104" spans="1:9" ht="15">
      <c r="A2104" s="79" t="s">
        <v>3902</v>
      </c>
      <c r="B2104" s="79" t="s">
        <v>3903</v>
      </c>
      <c r="C2104" s="79">
        <v>604121060</v>
      </c>
      <c r="D2104" s="79">
        <v>0</v>
      </c>
      <c r="E2104" s="79" t="s">
        <v>1124</v>
      </c>
      <c r="F2104" s="79" t="s">
        <v>2539</v>
      </c>
      <c r="G2104" s="79" t="s">
        <v>2578</v>
      </c>
      <c r="H2104" s="79"/>
      <c r="I2104" s="79"/>
    </row>
    <row r="2105" spans="1:9" ht="15">
      <c r="A2105" s="79" t="s">
        <v>3904</v>
      </c>
      <c r="B2105" s="79" t="s">
        <v>3905</v>
      </c>
      <c r="C2105" s="79">
        <v>604121660</v>
      </c>
      <c r="D2105" s="79">
        <v>0</v>
      </c>
      <c r="E2105" s="79" t="s">
        <v>1124</v>
      </c>
      <c r="F2105" s="79" t="s">
        <v>2539</v>
      </c>
      <c r="G2105" s="79" t="s">
        <v>2546</v>
      </c>
      <c r="H2105" s="79" t="s">
        <v>2547</v>
      </c>
      <c r="I2105" s="79"/>
    </row>
    <row r="2106" spans="1:9" ht="15">
      <c r="A2106" s="79" t="s">
        <v>3904</v>
      </c>
      <c r="B2106" s="79" t="s">
        <v>3905</v>
      </c>
      <c r="C2106" s="79">
        <v>604121660</v>
      </c>
      <c r="D2106" s="79">
        <v>0</v>
      </c>
      <c r="E2106" s="79" t="s">
        <v>1124</v>
      </c>
      <c r="F2106" s="79" t="s">
        <v>2539</v>
      </c>
      <c r="G2106" s="79" t="s">
        <v>2581</v>
      </c>
      <c r="H2106" s="79"/>
      <c r="I2106" s="79"/>
    </row>
    <row r="2107" spans="1:9" ht="15">
      <c r="A2107" s="79" t="s">
        <v>3906</v>
      </c>
      <c r="B2107" s="79" t="s">
        <v>3907</v>
      </c>
      <c r="C2107" s="79">
        <v>604164260</v>
      </c>
      <c r="D2107" s="79">
        <v>0</v>
      </c>
      <c r="E2107" s="79" t="s">
        <v>1124</v>
      </c>
      <c r="F2107" s="79" t="s">
        <v>2539</v>
      </c>
      <c r="G2107" s="79" t="s">
        <v>1130</v>
      </c>
      <c r="H2107" s="79"/>
      <c r="I2107" s="79"/>
    </row>
    <row r="2108" spans="1:9" ht="15">
      <c r="A2108" s="79" t="s">
        <v>3906</v>
      </c>
      <c r="B2108" s="79" t="s">
        <v>3907</v>
      </c>
      <c r="C2108" s="79">
        <v>604164260</v>
      </c>
      <c r="D2108" s="79">
        <v>0</v>
      </c>
      <c r="E2108" s="79" t="s">
        <v>1124</v>
      </c>
      <c r="F2108" s="79" t="s">
        <v>2539</v>
      </c>
      <c r="G2108" s="79" t="s">
        <v>1131</v>
      </c>
      <c r="H2108" s="79" t="s">
        <v>1132</v>
      </c>
      <c r="I2108" s="79"/>
    </row>
    <row r="2109" spans="1:9" ht="15">
      <c r="A2109" s="79" t="s">
        <v>3906</v>
      </c>
      <c r="B2109" s="79" t="s">
        <v>3907</v>
      </c>
      <c r="C2109" s="79">
        <v>604164260</v>
      </c>
      <c r="D2109" s="79">
        <v>0</v>
      </c>
      <c r="E2109" s="79" t="s">
        <v>1124</v>
      </c>
      <c r="F2109" s="79" t="s">
        <v>2539</v>
      </c>
      <c r="G2109" s="79" t="s">
        <v>2578</v>
      </c>
      <c r="H2109" s="79"/>
      <c r="I2109" s="79"/>
    </row>
    <row r="2110" spans="1:9" ht="15">
      <c r="A2110" s="79" t="s">
        <v>3908</v>
      </c>
      <c r="B2110" s="79" t="s">
        <v>3909</v>
      </c>
      <c r="C2110" s="79">
        <v>604164860</v>
      </c>
      <c r="D2110" s="79">
        <v>0</v>
      </c>
      <c r="E2110" s="79" t="s">
        <v>1124</v>
      </c>
      <c r="F2110" s="79" t="s">
        <v>2539</v>
      </c>
      <c r="G2110" s="79" t="s">
        <v>2546</v>
      </c>
      <c r="H2110" s="79" t="s">
        <v>2547</v>
      </c>
      <c r="I2110" s="79"/>
    </row>
    <row r="2111" spans="1:9" ht="15">
      <c r="A2111" s="79" t="s">
        <v>3908</v>
      </c>
      <c r="B2111" s="79" t="s">
        <v>3909</v>
      </c>
      <c r="C2111" s="79">
        <v>604164860</v>
      </c>
      <c r="D2111" s="79">
        <v>0</v>
      </c>
      <c r="E2111" s="79" t="s">
        <v>1124</v>
      </c>
      <c r="F2111" s="79" t="s">
        <v>2539</v>
      </c>
      <c r="G2111" s="79" t="s">
        <v>2581</v>
      </c>
      <c r="H2111" s="79"/>
      <c r="I2111" s="79"/>
    </row>
    <row r="2112" spans="1:9" ht="15">
      <c r="A2112" s="79" t="s">
        <v>3910</v>
      </c>
      <c r="B2112" s="79" t="s">
        <v>3911</v>
      </c>
      <c r="C2112" s="79">
        <v>604207460</v>
      </c>
      <c r="D2112" s="79">
        <v>0</v>
      </c>
      <c r="E2112" s="79" t="s">
        <v>1124</v>
      </c>
      <c r="F2112" s="79" t="s">
        <v>2539</v>
      </c>
      <c r="G2112" s="79" t="s">
        <v>1130</v>
      </c>
      <c r="H2112" s="79"/>
      <c r="I2112" s="79"/>
    </row>
    <row r="2113" spans="1:9" ht="15">
      <c r="A2113" s="79" t="s">
        <v>3910</v>
      </c>
      <c r="B2113" s="79" t="s">
        <v>3911</v>
      </c>
      <c r="C2113" s="79">
        <v>604207460</v>
      </c>
      <c r="D2113" s="79">
        <v>0</v>
      </c>
      <c r="E2113" s="79" t="s">
        <v>1124</v>
      </c>
      <c r="F2113" s="79" t="s">
        <v>2539</v>
      </c>
      <c r="G2113" s="79" t="s">
        <v>1131</v>
      </c>
      <c r="H2113" s="79" t="s">
        <v>1132</v>
      </c>
      <c r="I2113" s="79"/>
    </row>
    <row r="2114" spans="1:9" ht="15">
      <c r="A2114" s="79" t="s">
        <v>3910</v>
      </c>
      <c r="B2114" s="79" t="s">
        <v>3911</v>
      </c>
      <c r="C2114" s="79">
        <v>604207460</v>
      </c>
      <c r="D2114" s="79">
        <v>0</v>
      </c>
      <c r="E2114" s="79" t="s">
        <v>1124</v>
      </c>
      <c r="F2114" s="79" t="s">
        <v>2539</v>
      </c>
      <c r="G2114" s="79" t="s">
        <v>2578</v>
      </c>
      <c r="H2114" s="79"/>
      <c r="I2114" s="79"/>
    </row>
    <row r="2115" spans="1:9" ht="15">
      <c r="A2115" s="79" t="s">
        <v>3912</v>
      </c>
      <c r="B2115" s="79" t="s">
        <v>3913</v>
      </c>
      <c r="C2115" s="79">
        <v>604208060</v>
      </c>
      <c r="D2115" s="79">
        <v>0</v>
      </c>
      <c r="E2115" s="79" t="s">
        <v>1124</v>
      </c>
      <c r="F2115" s="79" t="s">
        <v>2539</v>
      </c>
      <c r="G2115" s="79" t="s">
        <v>2546</v>
      </c>
      <c r="H2115" s="79" t="s">
        <v>2547</v>
      </c>
      <c r="I2115" s="79"/>
    </row>
    <row r="2116" spans="1:9" ht="15">
      <c r="A2116" s="79" t="s">
        <v>3912</v>
      </c>
      <c r="B2116" s="79" t="s">
        <v>3913</v>
      </c>
      <c r="C2116" s="79">
        <v>604208060</v>
      </c>
      <c r="D2116" s="79">
        <v>0</v>
      </c>
      <c r="E2116" s="79" t="s">
        <v>1124</v>
      </c>
      <c r="F2116" s="79" t="s">
        <v>2539</v>
      </c>
      <c r="G2116" s="79" t="s">
        <v>2581</v>
      </c>
      <c r="H2116" s="79"/>
      <c r="I2116" s="79"/>
    </row>
    <row r="2117" spans="1:9" ht="15">
      <c r="A2117" s="79" t="s">
        <v>3914</v>
      </c>
      <c r="B2117" s="79" t="s">
        <v>3915</v>
      </c>
      <c r="C2117" s="79">
        <v>604250660</v>
      </c>
      <c r="D2117" s="79">
        <v>0</v>
      </c>
      <c r="E2117" s="79" t="s">
        <v>1124</v>
      </c>
      <c r="F2117" s="79" t="s">
        <v>2539</v>
      </c>
      <c r="G2117" s="79" t="s">
        <v>1130</v>
      </c>
      <c r="H2117" s="79"/>
      <c r="I2117" s="79"/>
    </row>
    <row r="2118" spans="1:9" ht="15">
      <c r="A2118" s="79" t="s">
        <v>3914</v>
      </c>
      <c r="B2118" s="79" t="s">
        <v>3915</v>
      </c>
      <c r="C2118" s="79">
        <v>604250660</v>
      </c>
      <c r="D2118" s="79">
        <v>0</v>
      </c>
      <c r="E2118" s="79" t="s">
        <v>1124</v>
      </c>
      <c r="F2118" s="79" t="s">
        <v>2539</v>
      </c>
      <c r="G2118" s="79" t="s">
        <v>1131</v>
      </c>
      <c r="H2118" s="79" t="s">
        <v>1132</v>
      </c>
      <c r="I2118" s="79"/>
    </row>
    <row r="2119" spans="1:9" ht="15">
      <c r="A2119" s="79" t="s">
        <v>3914</v>
      </c>
      <c r="B2119" s="79" t="s">
        <v>3915</v>
      </c>
      <c r="C2119" s="79">
        <v>604250660</v>
      </c>
      <c r="D2119" s="79">
        <v>0</v>
      </c>
      <c r="E2119" s="79" t="s">
        <v>1124</v>
      </c>
      <c r="F2119" s="79" t="s">
        <v>2539</v>
      </c>
      <c r="G2119" s="79" t="s">
        <v>2578</v>
      </c>
      <c r="H2119" s="79"/>
      <c r="I2119" s="79"/>
    </row>
    <row r="2120" spans="1:9" ht="15">
      <c r="A2120" s="79" t="s">
        <v>3916</v>
      </c>
      <c r="B2120" s="79" t="s">
        <v>3917</v>
      </c>
      <c r="C2120" s="79">
        <v>604251260</v>
      </c>
      <c r="D2120" s="79">
        <v>0</v>
      </c>
      <c r="E2120" s="79" t="s">
        <v>1124</v>
      </c>
      <c r="F2120" s="79" t="s">
        <v>2539</v>
      </c>
      <c r="G2120" s="79" t="s">
        <v>2546</v>
      </c>
      <c r="H2120" s="79" t="s">
        <v>2547</v>
      </c>
      <c r="I2120" s="79"/>
    </row>
    <row r="2121" spans="1:9" ht="15">
      <c r="A2121" s="79" t="s">
        <v>3916</v>
      </c>
      <c r="B2121" s="79" t="s">
        <v>3917</v>
      </c>
      <c r="C2121" s="79">
        <v>604251260</v>
      </c>
      <c r="D2121" s="79">
        <v>0</v>
      </c>
      <c r="E2121" s="79" t="s">
        <v>1124</v>
      </c>
      <c r="F2121" s="79" t="s">
        <v>2539</v>
      </c>
      <c r="G2121" s="79" t="s">
        <v>2581</v>
      </c>
      <c r="H2121" s="79"/>
      <c r="I2121" s="79"/>
    </row>
    <row r="2122" spans="1:9" ht="15">
      <c r="A2122" s="79" t="s">
        <v>3918</v>
      </c>
      <c r="B2122" s="79" t="s">
        <v>3919</v>
      </c>
      <c r="C2122" s="79">
        <v>604293860</v>
      </c>
      <c r="D2122" s="79">
        <v>0</v>
      </c>
      <c r="E2122" s="79" t="s">
        <v>1124</v>
      </c>
      <c r="F2122" s="79" t="s">
        <v>2539</v>
      </c>
      <c r="G2122" s="79" t="s">
        <v>1130</v>
      </c>
      <c r="H2122" s="79"/>
      <c r="I2122" s="79"/>
    </row>
    <row r="2123" spans="1:9" ht="15">
      <c r="A2123" s="79" t="s">
        <v>3918</v>
      </c>
      <c r="B2123" s="79" t="s">
        <v>3919</v>
      </c>
      <c r="C2123" s="79">
        <v>604293860</v>
      </c>
      <c r="D2123" s="79">
        <v>0</v>
      </c>
      <c r="E2123" s="79" t="s">
        <v>1124</v>
      </c>
      <c r="F2123" s="79" t="s">
        <v>2539</v>
      </c>
      <c r="G2123" s="79" t="s">
        <v>1131</v>
      </c>
      <c r="H2123" s="79" t="s">
        <v>1132</v>
      </c>
      <c r="I2123" s="79"/>
    </row>
    <row r="2124" spans="1:9" ht="15">
      <c r="A2124" s="79" t="s">
        <v>3918</v>
      </c>
      <c r="B2124" s="79" t="s">
        <v>3919</v>
      </c>
      <c r="C2124" s="79">
        <v>604293860</v>
      </c>
      <c r="D2124" s="79">
        <v>0</v>
      </c>
      <c r="E2124" s="79" t="s">
        <v>1124</v>
      </c>
      <c r="F2124" s="79" t="s">
        <v>2539</v>
      </c>
      <c r="G2124" s="79" t="s">
        <v>2578</v>
      </c>
      <c r="H2124" s="79"/>
      <c r="I2124" s="79"/>
    </row>
    <row r="2125" spans="1:9" ht="15">
      <c r="A2125" s="79" t="s">
        <v>3920</v>
      </c>
      <c r="B2125" s="79" t="s">
        <v>3921</v>
      </c>
      <c r="C2125" s="79">
        <v>604294460</v>
      </c>
      <c r="D2125" s="79">
        <v>0</v>
      </c>
      <c r="E2125" s="79" t="s">
        <v>1124</v>
      </c>
      <c r="F2125" s="79" t="s">
        <v>2539</v>
      </c>
      <c r="G2125" s="79" t="s">
        <v>2546</v>
      </c>
      <c r="H2125" s="79" t="s">
        <v>2547</v>
      </c>
      <c r="I2125" s="79"/>
    </row>
    <row r="2126" spans="1:9" ht="15">
      <c r="A2126" s="79" t="s">
        <v>3920</v>
      </c>
      <c r="B2126" s="79" t="s">
        <v>3921</v>
      </c>
      <c r="C2126" s="79">
        <v>604294460</v>
      </c>
      <c r="D2126" s="79">
        <v>0</v>
      </c>
      <c r="E2126" s="79" t="s">
        <v>1124</v>
      </c>
      <c r="F2126" s="79" t="s">
        <v>2539</v>
      </c>
      <c r="G2126" s="79" t="s">
        <v>2581</v>
      </c>
      <c r="H2126" s="79"/>
      <c r="I2126" s="79"/>
    </row>
    <row r="2127" spans="1:9" ht="15">
      <c r="A2127" s="79" t="s">
        <v>3922</v>
      </c>
      <c r="B2127" s="79" t="s">
        <v>3923</v>
      </c>
      <c r="C2127" s="79">
        <v>604337060</v>
      </c>
      <c r="D2127" s="79">
        <v>0</v>
      </c>
      <c r="E2127" s="79" t="s">
        <v>1124</v>
      </c>
      <c r="F2127" s="79" t="s">
        <v>2539</v>
      </c>
      <c r="G2127" s="79" t="s">
        <v>1130</v>
      </c>
      <c r="H2127" s="79"/>
      <c r="I2127" s="79"/>
    </row>
    <row r="2128" spans="1:9" ht="15">
      <c r="A2128" s="79" t="s">
        <v>3922</v>
      </c>
      <c r="B2128" s="79" t="s">
        <v>3923</v>
      </c>
      <c r="C2128" s="79">
        <v>604337060</v>
      </c>
      <c r="D2128" s="79">
        <v>0</v>
      </c>
      <c r="E2128" s="79" t="s">
        <v>1124</v>
      </c>
      <c r="F2128" s="79" t="s">
        <v>2539</v>
      </c>
      <c r="G2128" s="79" t="s">
        <v>1131</v>
      </c>
      <c r="H2128" s="79" t="s">
        <v>1132</v>
      </c>
      <c r="I2128" s="79"/>
    </row>
    <row r="2129" spans="1:9" ht="15">
      <c r="A2129" s="79" t="s">
        <v>3922</v>
      </c>
      <c r="B2129" s="79" t="s">
        <v>3923</v>
      </c>
      <c r="C2129" s="79">
        <v>604337060</v>
      </c>
      <c r="D2129" s="79">
        <v>0</v>
      </c>
      <c r="E2129" s="79" t="s">
        <v>1124</v>
      </c>
      <c r="F2129" s="79" t="s">
        <v>2539</v>
      </c>
      <c r="G2129" s="79" t="s">
        <v>2578</v>
      </c>
      <c r="H2129" s="79"/>
      <c r="I2129" s="79"/>
    </row>
    <row r="2130" spans="1:9" ht="15">
      <c r="A2130" s="79" t="s">
        <v>3924</v>
      </c>
      <c r="B2130" s="79" t="s">
        <v>3925</v>
      </c>
      <c r="C2130" s="79">
        <v>604337660</v>
      </c>
      <c r="D2130" s="79">
        <v>0</v>
      </c>
      <c r="E2130" s="79" t="s">
        <v>1124</v>
      </c>
      <c r="F2130" s="79" t="s">
        <v>2539</v>
      </c>
      <c r="G2130" s="79" t="s">
        <v>2546</v>
      </c>
      <c r="H2130" s="79" t="s">
        <v>2547</v>
      </c>
      <c r="I2130" s="79"/>
    </row>
    <row r="2131" spans="1:9" ht="15">
      <c r="A2131" s="79" t="s">
        <v>3924</v>
      </c>
      <c r="B2131" s="79" t="s">
        <v>3925</v>
      </c>
      <c r="C2131" s="79">
        <v>604337660</v>
      </c>
      <c r="D2131" s="79">
        <v>0</v>
      </c>
      <c r="E2131" s="79" t="s">
        <v>1124</v>
      </c>
      <c r="F2131" s="79" t="s">
        <v>2539</v>
      </c>
      <c r="G2131" s="79" t="s">
        <v>2581</v>
      </c>
      <c r="H2131" s="79"/>
      <c r="I2131" s="79"/>
    </row>
    <row r="2132" spans="1:9" ht="15">
      <c r="A2132" s="79" t="s">
        <v>3926</v>
      </c>
      <c r="B2132" s="79" t="s">
        <v>3927</v>
      </c>
      <c r="C2132" s="79">
        <v>604380260</v>
      </c>
      <c r="D2132" s="79">
        <v>0</v>
      </c>
      <c r="E2132" s="79" t="s">
        <v>1124</v>
      </c>
      <c r="F2132" s="79" t="s">
        <v>2539</v>
      </c>
      <c r="G2132" s="79" t="s">
        <v>1130</v>
      </c>
      <c r="H2132" s="79"/>
      <c r="I2132" s="79"/>
    </row>
    <row r="2133" spans="1:9" ht="15">
      <c r="A2133" s="79" t="s">
        <v>3926</v>
      </c>
      <c r="B2133" s="79" t="s">
        <v>3927</v>
      </c>
      <c r="C2133" s="79">
        <v>604380260</v>
      </c>
      <c r="D2133" s="79">
        <v>0</v>
      </c>
      <c r="E2133" s="79" t="s">
        <v>1124</v>
      </c>
      <c r="F2133" s="79" t="s">
        <v>2539</v>
      </c>
      <c r="G2133" s="79" t="s">
        <v>1131</v>
      </c>
      <c r="H2133" s="79" t="s">
        <v>1132</v>
      </c>
      <c r="I2133" s="79"/>
    </row>
    <row r="2134" spans="1:9" ht="15">
      <c r="A2134" s="79" t="s">
        <v>3926</v>
      </c>
      <c r="B2134" s="79" t="s">
        <v>3927</v>
      </c>
      <c r="C2134" s="79">
        <v>604380260</v>
      </c>
      <c r="D2134" s="79">
        <v>0</v>
      </c>
      <c r="E2134" s="79" t="s">
        <v>1124</v>
      </c>
      <c r="F2134" s="79" t="s">
        <v>2539</v>
      </c>
      <c r="G2134" s="79" t="s">
        <v>2578</v>
      </c>
      <c r="H2134" s="79"/>
      <c r="I2134" s="79"/>
    </row>
    <row r="2135" spans="1:9" ht="15">
      <c r="A2135" s="79" t="s">
        <v>3928</v>
      </c>
      <c r="B2135" s="79" t="s">
        <v>3929</v>
      </c>
      <c r="C2135" s="79">
        <v>604380860</v>
      </c>
      <c r="D2135" s="79">
        <v>0</v>
      </c>
      <c r="E2135" s="79" t="s">
        <v>1124</v>
      </c>
      <c r="F2135" s="79" t="s">
        <v>2539</v>
      </c>
      <c r="G2135" s="79" t="s">
        <v>2546</v>
      </c>
      <c r="H2135" s="79" t="s">
        <v>2547</v>
      </c>
      <c r="I2135" s="79"/>
    </row>
    <row r="2136" spans="1:9" ht="15">
      <c r="A2136" s="79" t="s">
        <v>3928</v>
      </c>
      <c r="B2136" s="79" t="s">
        <v>3929</v>
      </c>
      <c r="C2136" s="79">
        <v>604380860</v>
      </c>
      <c r="D2136" s="79">
        <v>0</v>
      </c>
      <c r="E2136" s="79" t="s">
        <v>1124</v>
      </c>
      <c r="F2136" s="79" t="s">
        <v>2539</v>
      </c>
      <c r="G2136" s="79" t="s">
        <v>2581</v>
      </c>
      <c r="H2136" s="79"/>
      <c r="I2136" s="79"/>
    </row>
    <row r="2137" spans="1:9" ht="15">
      <c r="A2137" s="79" t="s">
        <v>3930</v>
      </c>
      <c r="B2137" s="79" t="s">
        <v>3931</v>
      </c>
      <c r="C2137" s="79">
        <v>604423460</v>
      </c>
      <c r="D2137" s="79">
        <v>0</v>
      </c>
      <c r="E2137" s="79" t="s">
        <v>1124</v>
      </c>
      <c r="F2137" s="79" t="s">
        <v>2539</v>
      </c>
      <c r="G2137" s="79" t="s">
        <v>1130</v>
      </c>
      <c r="H2137" s="79"/>
      <c r="I2137" s="79"/>
    </row>
    <row r="2138" spans="1:9" ht="15">
      <c r="A2138" s="79" t="s">
        <v>3930</v>
      </c>
      <c r="B2138" s="79" t="s">
        <v>3931</v>
      </c>
      <c r="C2138" s="79">
        <v>604423460</v>
      </c>
      <c r="D2138" s="79">
        <v>0</v>
      </c>
      <c r="E2138" s="79" t="s">
        <v>1124</v>
      </c>
      <c r="F2138" s="79" t="s">
        <v>2539</v>
      </c>
      <c r="G2138" s="79" t="s">
        <v>1131</v>
      </c>
      <c r="H2138" s="79" t="s">
        <v>1132</v>
      </c>
      <c r="I2138" s="79"/>
    </row>
    <row r="2139" spans="1:9" ht="15">
      <c r="A2139" s="79" t="s">
        <v>3930</v>
      </c>
      <c r="B2139" s="79" t="s">
        <v>3931</v>
      </c>
      <c r="C2139" s="79">
        <v>604423460</v>
      </c>
      <c r="D2139" s="79">
        <v>0</v>
      </c>
      <c r="E2139" s="79" t="s">
        <v>1124</v>
      </c>
      <c r="F2139" s="79" t="s">
        <v>2539</v>
      </c>
      <c r="G2139" s="79" t="s">
        <v>2578</v>
      </c>
      <c r="H2139" s="79"/>
      <c r="I2139" s="79"/>
    </row>
    <row r="2140" spans="1:9" ht="15">
      <c r="A2140" s="79" t="s">
        <v>3932</v>
      </c>
      <c r="B2140" s="79" t="s">
        <v>3933</v>
      </c>
      <c r="C2140" s="79">
        <v>604424060</v>
      </c>
      <c r="D2140" s="79">
        <v>0</v>
      </c>
      <c r="E2140" s="79" t="s">
        <v>1124</v>
      </c>
      <c r="F2140" s="79" t="s">
        <v>2539</v>
      </c>
      <c r="G2140" s="79" t="s">
        <v>2546</v>
      </c>
      <c r="H2140" s="79" t="s">
        <v>2547</v>
      </c>
      <c r="I2140" s="79"/>
    </row>
    <row r="2141" spans="1:9" ht="15">
      <c r="A2141" s="79" t="s">
        <v>3932</v>
      </c>
      <c r="B2141" s="79" t="s">
        <v>3933</v>
      </c>
      <c r="C2141" s="79">
        <v>604424060</v>
      </c>
      <c r="D2141" s="79">
        <v>0</v>
      </c>
      <c r="E2141" s="79" t="s">
        <v>1124</v>
      </c>
      <c r="F2141" s="79" t="s">
        <v>2539</v>
      </c>
      <c r="G2141" s="79" t="s">
        <v>2581</v>
      </c>
      <c r="H2141" s="79"/>
      <c r="I2141" s="79"/>
    </row>
    <row r="2142" spans="1:9" ht="15">
      <c r="A2142" s="79" t="s">
        <v>3934</v>
      </c>
      <c r="B2142" s="79" t="s">
        <v>3935</v>
      </c>
      <c r="C2142" s="79">
        <v>604466660</v>
      </c>
      <c r="D2142" s="79">
        <v>0</v>
      </c>
      <c r="E2142" s="79" t="s">
        <v>1124</v>
      </c>
      <c r="F2142" s="79" t="s">
        <v>2539</v>
      </c>
      <c r="G2142" s="79" t="s">
        <v>1130</v>
      </c>
      <c r="H2142" s="79"/>
      <c r="I2142" s="79"/>
    </row>
    <row r="2143" spans="1:9" ht="15">
      <c r="A2143" s="79" t="s">
        <v>3934</v>
      </c>
      <c r="B2143" s="79" t="s">
        <v>3935</v>
      </c>
      <c r="C2143" s="79">
        <v>604466660</v>
      </c>
      <c r="D2143" s="79">
        <v>0</v>
      </c>
      <c r="E2143" s="79" t="s">
        <v>1124</v>
      </c>
      <c r="F2143" s="79" t="s">
        <v>2539</v>
      </c>
      <c r="G2143" s="79" t="s">
        <v>1131</v>
      </c>
      <c r="H2143" s="79" t="s">
        <v>1132</v>
      </c>
      <c r="I2143" s="79"/>
    </row>
    <row r="2144" spans="1:9" ht="15">
      <c r="A2144" s="79" t="s">
        <v>3934</v>
      </c>
      <c r="B2144" s="79" t="s">
        <v>3935</v>
      </c>
      <c r="C2144" s="79">
        <v>604466660</v>
      </c>
      <c r="D2144" s="79">
        <v>0</v>
      </c>
      <c r="E2144" s="79" t="s">
        <v>1124</v>
      </c>
      <c r="F2144" s="79" t="s">
        <v>2539</v>
      </c>
      <c r="G2144" s="79" t="s">
        <v>2578</v>
      </c>
      <c r="H2144" s="79"/>
      <c r="I2144" s="79"/>
    </row>
    <row r="2145" spans="1:9" ht="15">
      <c r="A2145" s="79" t="s">
        <v>3936</v>
      </c>
      <c r="B2145" s="79" t="s">
        <v>3937</v>
      </c>
      <c r="C2145" s="79">
        <v>604467260</v>
      </c>
      <c r="D2145" s="79">
        <v>0</v>
      </c>
      <c r="E2145" s="79" t="s">
        <v>1124</v>
      </c>
      <c r="F2145" s="79" t="s">
        <v>2539</v>
      </c>
      <c r="G2145" s="79" t="s">
        <v>2546</v>
      </c>
      <c r="H2145" s="79" t="s">
        <v>2547</v>
      </c>
      <c r="I2145" s="79"/>
    </row>
    <row r="2146" spans="1:9" ht="15">
      <c r="A2146" s="79" t="s">
        <v>3936</v>
      </c>
      <c r="B2146" s="79" t="s">
        <v>3937</v>
      </c>
      <c r="C2146" s="79">
        <v>604467260</v>
      </c>
      <c r="D2146" s="79">
        <v>0</v>
      </c>
      <c r="E2146" s="79" t="s">
        <v>1124</v>
      </c>
      <c r="F2146" s="79" t="s">
        <v>2539</v>
      </c>
      <c r="G2146" s="79" t="s">
        <v>2581</v>
      </c>
      <c r="H2146" s="79"/>
      <c r="I2146" s="79"/>
    </row>
    <row r="2147" spans="1:9" ht="15">
      <c r="A2147" s="79" t="s">
        <v>3938</v>
      </c>
      <c r="B2147" s="79" t="s">
        <v>3939</v>
      </c>
      <c r="C2147" s="79">
        <v>604509860</v>
      </c>
      <c r="D2147" s="79">
        <v>0</v>
      </c>
      <c r="E2147" s="79" t="s">
        <v>1124</v>
      </c>
      <c r="F2147" s="79" t="s">
        <v>2539</v>
      </c>
      <c r="G2147" s="79" t="s">
        <v>1130</v>
      </c>
      <c r="H2147" s="79"/>
      <c r="I2147" s="79"/>
    </row>
    <row r="2148" spans="1:9" ht="15">
      <c r="A2148" s="79" t="s">
        <v>3938</v>
      </c>
      <c r="B2148" s="79" t="s">
        <v>3939</v>
      </c>
      <c r="C2148" s="79">
        <v>604509860</v>
      </c>
      <c r="D2148" s="79">
        <v>0</v>
      </c>
      <c r="E2148" s="79" t="s">
        <v>1124</v>
      </c>
      <c r="F2148" s="79" t="s">
        <v>2539</v>
      </c>
      <c r="G2148" s="79" t="s">
        <v>1131</v>
      </c>
      <c r="H2148" s="79" t="s">
        <v>1132</v>
      </c>
      <c r="I2148" s="79"/>
    </row>
    <row r="2149" spans="1:9" ht="15">
      <c r="A2149" s="79" t="s">
        <v>3938</v>
      </c>
      <c r="B2149" s="79" t="s">
        <v>3939</v>
      </c>
      <c r="C2149" s="79">
        <v>604509860</v>
      </c>
      <c r="D2149" s="79">
        <v>0</v>
      </c>
      <c r="E2149" s="79" t="s">
        <v>1124</v>
      </c>
      <c r="F2149" s="79" t="s">
        <v>2539</v>
      </c>
      <c r="G2149" s="79" t="s">
        <v>2578</v>
      </c>
      <c r="H2149" s="79"/>
      <c r="I2149" s="79"/>
    </row>
    <row r="2150" spans="1:9" ht="15">
      <c r="A2150" s="79" t="s">
        <v>3940</v>
      </c>
      <c r="B2150" s="79" t="s">
        <v>3941</v>
      </c>
      <c r="C2150" s="79">
        <v>604510460</v>
      </c>
      <c r="D2150" s="79">
        <v>0</v>
      </c>
      <c r="E2150" s="79" t="s">
        <v>1124</v>
      </c>
      <c r="F2150" s="79" t="s">
        <v>2539</v>
      </c>
      <c r="G2150" s="79" t="s">
        <v>2546</v>
      </c>
      <c r="H2150" s="79" t="s">
        <v>2547</v>
      </c>
      <c r="I2150" s="79"/>
    </row>
    <row r="2151" spans="1:9" ht="15">
      <c r="A2151" s="79" t="s">
        <v>3940</v>
      </c>
      <c r="B2151" s="79" t="s">
        <v>3941</v>
      </c>
      <c r="C2151" s="79">
        <v>604510460</v>
      </c>
      <c r="D2151" s="79">
        <v>0</v>
      </c>
      <c r="E2151" s="79" t="s">
        <v>1124</v>
      </c>
      <c r="F2151" s="79" t="s">
        <v>2539</v>
      </c>
      <c r="G2151" s="79" t="s">
        <v>2581</v>
      </c>
      <c r="H2151" s="79"/>
      <c r="I2151" s="79"/>
    </row>
    <row r="2152" spans="1:9" ht="15">
      <c r="A2152" s="79" t="s">
        <v>3942</v>
      </c>
      <c r="B2152" s="79" t="s">
        <v>3943</v>
      </c>
      <c r="C2152" s="79">
        <v>604553060</v>
      </c>
      <c r="D2152" s="79">
        <v>0</v>
      </c>
      <c r="E2152" s="79" t="s">
        <v>1124</v>
      </c>
      <c r="F2152" s="79" t="s">
        <v>2539</v>
      </c>
      <c r="G2152" s="79" t="s">
        <v>1130</v>
      </c>
      <c r="H2152" s="79"/>
      <c r="I2152" s="79"/>
    </row>
    <row r="2153" spans="1:9" ht="15">
      <c r="A2153" s="79" t="s">
        <v>3942</v>
      </c>
      <c r="B2153" s="79" t="s">
        <v>3943</v>
      </c>
      <c r="C2153" s="79">
        <v>604553060</v>
      </c>
      <c r="D2153" s="79">
        <v>0</v>
      </c>
      <c r="E2153" s="79" t="s">
        <v>1124</v>
      </c>
      <c r="F2153" s="79" t="s">
        <v>2539</v>
      </c>
      <c r="G2153" s="79" t="s">
        <v>1131</v>
      </c>
      <c r="H2153" s="79" t="s">
        <v>1132</v>
      </c>
      <c r="I2153" s="79"/>
    </row>
    <row r="2154" spans="1:9" ht="15">
      <c r="A2154" s="79" t="s">
        <v>3942</v>
      </c>
      <c r="B2154" s="79" t="s">
        <v>3943</v>
      </c>
      <c r="C2154" s="79">
        <v>604553060</v>
      </c>
      <c r="D2154" s="79">
        <v>0</v>
      </c>
      <c r="E2154" s="79" t="s">
        <v>1124</v>
      </c>
      <c r="F2154" s="79" t="s">
        <v>2539</v>
      </c>
      <c r="G2154" s="79" t="s">
        <v>2578</v>
      </c>
      <c r="H2154" s="79"/>
      <c r="I2154" s="79"/>
    </row>
    <row r="2155" spans="1:9" ht="15">
      <c r="A2155" s="79" t="s">
        <v>3944</v>
      </c>
      <c r="B2155" s="79" t="s">
        <v>3945</v>
      </c>
      <c r="C2155" s="79">
        <v>604553660</v>
      </c>
      <c r="D2155" s="79">
        <v>0</v>
      </c>
      <c r="E2155" s="79" t="s">
        <v>1124</v>
      </c>
      <c r="F2155" s="79" t="s">
        <v>2539</v>
      </c>
      <c r="G2155" s="79" t="s">
        <v>2546</v>
      </c>
      <c r="H2155" s="79" t="s">
        <v>2547</v>
      </c>
      <c r="I2155" s="79"/>
    </row>
    <row r="2156" spans="1:9" ht="15">
      <c r="A2156" s="79" t="s">
        <v>3944</v>
      </c>
      <c r="B2156" s="79" t="s">
        <v>3945</v>
      </c>
      <c r="C2156" s="79">
        <v>604553660</v>
      </c>
      <c r="D2156" s="79">
        <v>0</v>
      </c>
      <c r="E2156" s="79" t="s">
        <v>1124</v>
      </c>
      <c r="F2156" s="79" t="s">
        <v>2539</v>
      </c>
      <c r="G2156" s="79" t="s">
        <v>2581</v>
      </c>
      <c r="H2156" s="79"/>
      <c r="I2156" s="79"/>
    </row>
    <row r="2157" spans="1:9" ht="15">
      <c r="A2157" s="79" t="s">
        <v>3946</v>
      </c>
      <c r="B2157" s="79" t="s">
        <v>3947</v>
      </c>
      <c r="C2157" s="79">
        <v>604596260</v>
      </c>
      <c r="D2157" s="79">
        <v>0</v>
      </c>
      <c r="E2157" s="79" t="s">
        <v>1124</v>
      </c>
      <c r="F2157" s="79" t="s">
        <v>2539</v>
      </c>
      <c r="G2157" s="79" t="s">
        <v>1130</v>
      </c>
      <c r="H2157" s="79"/>
      <c r="I2157" s="79"/>
    </row>
    <row r="2158" spans="1:9" ht="15">
      <c r="A2158" s="79" t="s">
        <v>3946</v>
      </c>
      <c r="B2158" s="79" t="s">
        <v>3947</v>
      </c>
      <c r="C2158" s="79">
        <v>604596260</v>
      </c>
      <c r="D2158" s="79">
        <v>0</v>
      </c>
      <c r="E2158" s="79" t="s">
        <v>1124</v>
      </c>
      <c r="F2158" s="79" t="s">
        <v>2539</v>
      </c>
      <c r="G2158" s="79" t="s">
        <v>1131</v>
      </c>
      <c r="H2158" s="79" t="s">
        <v>1132</v>
      </c>
      <c r="I2158" s="79"/>
    </row>
    <row r="2159" spans="1:9" ht="15">
      <c r="A2159" s="79" t="s">
        <v>3946</v>
      </c>
      <c r="B2159" s="79" t="s">
        <v>3947</v>
      </c>
      <c r="C2159" s="79">
        <v>604596260</v>
      </c>
      <c r="D2159" s="79">
        <v>0</v>
      </c>
      <c r="E2159" s="79" t="s">
        <v>1124</v>
      </c>
      <c r="F2159" s="79" t="s">
        <v>2539</v>
      </c>
      <c r="G2159" s="79" t="s">
        <v>2578</v>
      </c>
      <c r="H2159" s="79"/>
      <c r="I2159" s="79"/>
    </row>
    <row r="2160" spans="1:9" ht="15">
      <c r="A2160" s="79" t="s">
        <v>3948</v>
      </c>
      <c r="B2160" s="79" t="s">
        <v>3949</v>
      </c>
      <c r="C2160" s="79">
        <v>604596860</v>
      </c>
      <c r="D2160" s="79">
        <v>0</v>
      </c>
      <c r="E2160" s="79" t="s">
        <v>1124</v>
      </c>
      <c r="F2160" s="79" t="s">
        <v>2539</v>
      </c>
      <c r="G2160" s="79" t="s">
        <v>2546</v>
      </c>
      <c r="H2160" s="79" t="s">
        <v>2547</v>
      </c>
      <c r="I2160" s="79"/>
    </row>
    <row r="2161" spans="1:9" ht="15">
      <c r="A2161" s="79" t="s">
        <v>3948</v>
      </c>
      <c r="B2161" s="79" t="s">
        <v>3949</v>
      </c>
      <c r="C2161" s="79">
        <v>604596860</v>
      </c>
      <c r="D2161" s="79">
        <v>0</v>
      </c>
      <c r="E2161" s="79" t="s">
        <v>1124</v>
      </c>
      <c r="F2161" s="79" t="s">
        <v>2539</v>
      </c>
      <c r="G2161" s="79" t="s">
        <v>2581</v>
      </c>
      <c r="H2161" s="79"/>
      <c r="I2161" s="79"/>
    </row>
    <row r="2162" spans="1:9" ht="15">
      <c r="A2162" s="79" t="s">
        <v>3950</v>
      </c>
      <c r="B2162" s="79" t="s">
        <v>3951</v>
      </c>
      <c r="C2162" s="79">
        <v>604639460</v>
      </c>
      <c r="D2162" s="79">
        <v>0</v>
      </c>
      <c r="E2162" s="79" t="s">
        <v>1124</v>
      </c>
      <c r="F2162" s="79" t="s">
        <v>2539</v>
      </c>
      <c r="G2162" s="79" t="s">
        <v>1130</v>
      </c>
      <c r="H2162" s="79"/>
      <c r="I2162" s="79"/>
    </row>
    <row r="2163" spans="1:9" ht="15">
      <c r="A2163" s="79" t="s">
        <v>3950</v>
      </c>
      <c r="B2163" s="79" t="s">
        <v>3951</v>
      </c>
      <c r="C2163" s="79">
        <v>604639460</v>
      </c>
      <c r="D2163" s="79">
        <v>0</v>
      </c>
      <c r="E2163" s="79" t="s">
        <v>1124</v>
      </c>
      <c r="F2163" s="79" t="s">
        <v>2539</v>
      </c>
      <c r="G2163" s="79" t="s">
        <v>1131</v>
      </c>
      <c r="H2163" s="79" t="s">
        <v>1132</v>
      </c>
      <c r="I2163" s="79"/>
    </row>
    <row r="2164" spans="1:9" ht="15">
      <c r="A2164" s="79" t="s">
        <v>3950</v>
      </c>
      <c r="B2164" s="79" t="s">
        <v>3951</v>
      </c>
      <c r="C2164" s="79">
        <v>604639460</v>
      </c>
      <c r="D2164" s="79">
        <v>0</v>
      </c>
      <c r="E2164" s="79" t="s">
        <v>1124</v>
      </c>
      <c r="F2164" s="79" t="s">
        <v>2539</v>
      </c>
      <c r="G2164" s="79" t="s">
        <v>2578</v>
      </c>
      <c r="H2164" s="79"/>
      <c r="I2164" s="79"/>
    </row>
    <row r="2165" spans="1:9" ht="15">
      <c r="A2165" s="79" t="s">
        <v>3952</v>
      </c>
      <c r="B2165" s="79" t="s">
        <v>3953</v>
      </c>
      <c r="C2165" s="79">
        <v>604640060</v>
      </c>
      <c r="D2165" s="79">
        <v>0</v>
      </c>
      <c r="E2165" s="79" t="s">
        <v>1124</v>
      </c>
      <c r="F2165" s="79" t="s">
        <v>2539</v>
      </c>
      <c r="G2165" s="79" t="s">
        <v>2546</v>
      </c>
      <c r="H2165" s="79" t="s">
        <v>2547</v>
      </c>
      <c r="I2165" s="79"/>
    </row>
    <row r="2166" spans="1:9" ht="15">
      <c r="A2166" s="79" t="s">
        <v>3952</v>
      </c>
      <c r="B2166" s="79" t="s">
        <v>3953</v>
      </c>
      <c r="C2166" s="79">
        <v>604640060</v>
      </c>
      <c r="D2166" s="79">
        <v>0</v>
      </c>
      <c r="E2166" s="79" t="s">
        <v>1124</v>
      </c>
      <c r="F2166" s="79" t="s">
        <v>2539</v>
      </c>
      <c r="G2166" s="79" t="s">
        <v>2581</v>
      </c>
      <c r="H2166" s="79"/>
      <c r="I2166" s="79"/>
    </row>
    <row r="2167" spans="1:9" ht="15">
      <c r="A2167" s="79" t="s">
        <v>3954</v>
      </c>
      <c r="B2167" s="79" t="s">
        <v>3955</v>
      </c>
      <c r="C2167" s="79">
        <v>604682660</v>
      </c>
      <c r="D2167" s="79">
        <v>0</v>
      </c>
      <c r="E2167" s="79" t="s">
        <v>1124</v>
      </c>
      <c r="F2167" s="79" t="s">
        <v>2539</v>
      </c>
      <c r="G2167" s="79" t="s">
        <v>1130</v>
      </c>
      <c r="H2167" s="79"/>
      <c r="I2167" s="79"/>
    </row>
    <row r="2168" spans="1:9" ht="15">
      <c r="A2168" s="79" t="s">
        <v>3954</v>
      </c>
      <c r="B2168" s="79" t="s">
        <v>3955</v>
      </c>
      <c r="C2168" s="79">
        <v>604682660</v>
      </c>
      <c r="D2168" s="79">
        <v>0</v>
      </c>
      <c r="E2168" s="79" t="s">
        <v>1124</v>
      </c>
      <c r="F2168" s="79" t="s">
        <v>2539</v>
      </c>
      <c r="G2168" s="79" t="s">
        <v>1131</v>
      </c>
      <c r="H2168" s="79" t="s">
        <v>1132</v>
      </c>
      <c r="I2168" s="79"/>
    </row>
    <row r="2169" spans="1:9" ht="15">
      <c r="A2169" s="79" t="s">
        <v>3954</v>
      </c>
      <c r="B2169" s="79" t="s">
        <v>3955</v>
      </c>
      <c r="C2169" s="79">
        <v>604682660</v>
      </c>
      <c r="D2169" s="79">
        <v>0</v>
      </c>
      <c r="E2169" s="79" t="s">
        <v>1124</v>
      </c>
      <c r="F2169" s="79" t="s">
        <v>2539</v>
      </c>
      <c r="G2169" s="79" t="s">
        <v>2578</v>
      </c>
      <c r="H2169" s="79"/>
      <c r="I2169" s="79"/>
    </row>
    <row r="2170" spans="1:9" ht="15">
      <c r="A2170" s="79" t="s">
        <v>3956</v>
      </c>
      <c r="B2170" s="79" t="s">
        <v>3957</v>
      </c>
      <c r="C2170" s="79">
        <v>604683260</v>
      </c>
      <c r="D2170" s="79">
        <v>0</v>
      </c>
      <c r="E2170" s="79" t="s">
        <v>1124</v>
      </c>
      <c r="F2170" s="79" t="s">
        <v>2539</v>
      </c>
      <c r="G2170" s="79" t="s">
        <v>2546</v>
      </c>
      <c r="H2170" s="79" t="s">
        <v>2547</v>
      </c>
      <c r="I2170" s="79"/>
    </row>
    <row r="2171" spans="1:9" ht="15">
      <c r="A2171" s="79" t="s">
        <v>3956</v>
      </c>
      <c r="B2171" s="79" t="s">
        <v>3957</v>
      </c>
      <c r="C2171" s="79">
        <v>604683260</v>
      </c>
      <c r="D2171" s="79">
        <v>0</v>
      </c>
      <c r="E2171" s="79" t="s">
        <v>1124</v>
      </c>
      <c r="F2171" s="79" t="s">
        <v>2539</v>
      </c>
      <c r="G2171" s="79" t="s">
        <v>2581</v>
      </c>
      <c r="H2171" s="79"/>
      <c r="I2171" s="79"/>
    </row>
    <row r="2172" spans="1:9" ht="15">
      <c r="A2172" s="79" t="s">
        <v>3958</v>
      </c>
      <c r="B2172" s="79" t="s">
        <v>3959</v>
      </c>
      <c r="C2172" s="79">
        <v>604725860</v>
      </c>
      <c r="D2172" s="79">
        <v>0</v>
      </c>
      <c r="E2172" s="79" t="s">
        <v>1124</v>
      </c>
      <c r="F2172" s="79" t="s">
        <v>2539</v>
      </c>
      <c r="G2172" s="79" t="s">
        <v>1130</v>
      </c>
      <c r="H2172" s="79"/>
      <c r="I2172" s="79"/>
    </row>
    <row r="2173" spans="1:9" ht="15">
      <c r="A2173" s="79" t="s">
        <v>3958</v>
      </c>
      <c r="B2173" s="79" t="s">
        <v>3959</v>
      </c>
      <c r="C2173" s="79">
        <v>604725860</v>
      </c>
      <c r="D2173" s="79">
        <v>0</v>
      </c>
      <c r="E2173" s="79" t="s">
        <v>1124</v>
      </c>
      <c r="F2173" s="79" t="s">
        <v>2539</v>
      </c>
      <c r="G2173" s="79" t="s">
        <v>1131</v>
      </c>
      <c r="H2173" s="79" t="s">
        <v>1132</v>
      </c>
      <c r="I2173" s="79"/>
    </row>
    <row r="2174" spans="1:9" ht="15">
      <c r="A2174" s="79" t="s">
        <v>3958</v>
      </c>
      <c r="B2174" s="79" t="s">
        <v>3959</v>
      </c>
      <c r="C2174" s="79">
        <v>604725860</v>
      </c>
      <c r="D2174" s="79">
        <v>0</v>
      </c>
      <c r="E2174" s="79" t="s">
        <v>1124</v>
      </c>
      <c r="F2174" s="79" t="s">
        <v>2539</v>
      </c>
      <c r="G2174" s="79" t="s">
        <v>2578</v>
      </c>
      <c r="H2174" s="79"/>
      <c r="I2174" s="79"/>
    </row>
    <row r="2175" spans="1:9" ht="15">
      <c r="A2175" s="79" t="s">
        <v>3960</v>
      </c>
      <c r="B2175" s="79" t="s">
        <v>3961</v>
      </c>
      <c r="C2175" s="79">
        <v>604726460</v>
      </c>
      <c r="D2175" s="79">
        <v>0</v>
      </c>
      <c r="E2175" s="79" t="s">
        <v>1124</v>
      </c>
      <c r="F2175" s="79" t="s">
        <v>2539</v>
      </c>
      <c r="G2175" s="79" t="s">
        <v>2546</v>
      </c>
      <c r="H2175" s="79" t="s">
        <v>2547</v>
      </c>
      <c r="I2175" s="79"/>
    </row>
    <row r="2176" spans="1:9" ht="15">
      <c r="A2176" s="79" t="s">
        <v>3960</v>
      </c>
      <c r="B2176" s="79" t="s">
        <v>3961</v>
      </c>
      <c r="C2176" s="79">
        <v>604726460</v>
      </c>
      <c r="D2176" s="79">
        <v>0</v>
      </c>
      <c r="E2176" s="79" t="s">
        <v>1124</v>
      </c>
      <c r="F2176" s="79" t="s">
        <v>2539</v>
      </c>
      <c r="G2176" s="79" t="s">
        <v>2581</v>
      </c>
      <c r="H2176" s="79"/>
      <c r="I2176" s="79"/>
    </row>
    <row r="2177" spans="1:9" ht="15">
      <c r="A2177" s="79" t="s">
        <v>3962</v>
      </c>
      <c r="B2177" s="79" t="s">
        <v>3963</v>
      </c>
      <c r="C2177" s="79">
        <v>604769060</v>
      </c>
      <c r="D2177" s="79">
        <v>0</v>
      </c>
      <c r="E2177" s="79" t="s">
        <v>1124</v>
      </c>
      <c r="F2177" s="79" t="s">
        <v>2539</v>
      </c>
      <c r="G2177" s="79" t="s">
        <v>1130</v>
      </c>
      <c r="H2177" s="79"/>
      <c r="I2177" s="79"/>
    </row>
    <row r="2178" spans="1:9" ht="15">
      <c r="A2178" s="79" t="s">
        <v>3962</v>
      </c>
      <c r="B2178" s="79" t="s">
        <v>3963</v>
      </c>
      <c r="C2178" s="79">
        <v>604769060</v>
      </c>
      <c r="D2178" s="79">
        <v>0</v>
      </c>
      <c r="E2178" s="79" t="s">
        <v>1124</v>
      </c>
      <c r="F2178" s="79" t="s">
        <v>2539</v>
      </c>
      <c r="G2178" s="79" t="s">
        <v>1131</v>
      </c>
      <c r="H2178" s="79" t="s">
        <v>1132</v>
      </c>
      <c r="I2178" s="79"/>
    </row>
    <row r="2179" spans="1:9" ht="15">
      <c r="A2179" s="79" t="s">
        <v>3962</v>
      </c>
      <c r="B2179" s="79" t="s">
        <v>3963</v>
      </c>
      <c r="C2179" s="79">
        <v>604769060</v>
      </c>
      <c r="D2179" s="79">
        <v>0</v>
      </c>
      <c r="E2179" s="79" t="s">
        <v>1124</v>
      </c>
      <c r="F2179" s="79" t="s">
        <v>2539</v>
      </c>
      <c r="G2179" s="79" t="s">
        <v>2578</v>
      </c>
      <c r="H2179" s="79"/>
      <c r="I2179" s="79"/>
    </row>
    <row r="2180" spans="1:9" ht="15">
      <c r="A2180" s="79" t="s">
        <v>3964</v>
      </c>
      <c r="B2180" s="79" t="s">
        <v>3965</v>
      </c>
      <c r="C2180" s="79">
        <v>604769660</v>
      </c>
      <c r="D2180" s="79">
        <v>0</v>
      </c>
      <c r="E2180" s="79" t="s">
        <v>1124</v>
      </c>
      <c r="F2180" s="79" t="s">
        <v>2539</v>
      </c>
      <c r="G2180" s="79" t="s">
        <v>2546</v>
      </c>
      <c r="H2180" s="79" t="s">
        <v>2547</v>
      </c>
      <c r="I2180" s="79"/>
    </row>
    <row r="2181" spans="1:9" ht="15">
      <c r="A2181" s="79" t="s">
        <v>3964</v>
      </c>
      <c r="B2181" s="79" t="s">
        <v>3965</v>
      </c>
      <c r="C2181" s="79">
        <v>604769660</v>
      </c>
      <c r="D2181" s="79">
        <v>0</v>
      </c>
      <c r="E2181" s="79" t="s">
        <v>1124</v>
      </c>
      <c r="F2181" s="79" t="s">
        <v>2539</v>
      </c>
      <c r="G2181" s="79" t="s">
        <v>2581</v>
      </c>
      <c r="H2181" s="79"/>
      <c r="I2181" s="79"/>
    </row>
    <row r="2182" spans="1:9" ht="15">
      <c r="A2182" s="79" t="s">
        <v>3966</v>
      </c>
      <c r="B2182" s="79" t="s">
        <v>3967</v>
      </c>
      <c r="C2182" s="79">
        <v>604812260</v>
      </c>
      <c r="D2182" s="79">
        <v>0</v>
      </c>
      <c r="E2182" s="79" t="s">
        <v>1124</v>
      </c>
      <c r="F2182" s="79" t="s">
        <v>2539</v>
      </c>
      <c r="G2182" s="79" t="s">
        <v>1130</v>
      </c>
      <c r="H2182" s="79"/>
      <c r="I2182" s="79"/>
    </row>
    <row r="2183" spans="1:9" ht="15">
      <c r="A2183" s="79" t="s">
        <v>3966</v>
      </c>
      <c r="B2183" s="79" t="s">
        <v>3967</v>
      </c>
      <c r="C2183" s="79">
        <v>604812260</v>
      </c>
      <c r="D2183" s="79">
        <v>0</v>
      </c>
      <c r="E2183" s="79" t="s">
        <v>1124</v>
      </c>
      <c r="F2183" s="79" t="s">
        <v>2539</v>
      </c>
      <c r="G2183" s="79" t="s">
        <v>1131</v>
      </c>
      <c r="H2183" s="79" t="s">
        <v>1132</v>
      </c>
      <c r="I2183" s="79"/>
    </row>
    <row r="2184" spans="1:9" ht="15">
      <c r="A2184" s="79" t="s">
        <v>3966</v>
      </c>
      <c r="B2184" s="79" t="s">
        <v>3967</v>
      </c>
      <c r="C2184" s="79">
        <v>604812260</v>
      </c>
      <c r="D2184" s="79">
        <v>0</v>
      </c>
      <c r="E2184" s="79" t="s">
        <v>1124</v>
      </c>
      <c r="F2184" s="79" t="s">
        <v>2539</v>
      </c>
      <c r="G2184" s="79" t="s">
        <v>2578</v>
      </c>
      <c r="H2184" s="79"/>
      <c r="I2184" s="79"/>
    </row>
    <row r="2185" spans="1:9" ht="15">
      <c r="A2185" s="79" t="s">
        <v>3968</v>
      </c>
      <c r="B2185" s="79" t="s">
        <v>3969</v>
      </c>
      <c r="C2185" s="79">
        <v>604812860</v>
      </c>
      <c r="D2185" s="79">
        <v>0</v>
      </c>
      <c r="E2185" s="79" t="s">
        <v>1124</v>
      </c>
      <c r="F2185" s="79" t="s">
        <v>2539</v>
      </c>
      <c r="G2185" s="79" t="s">
        <v>2546</v>
      </c>
      <c r="H2185" s="79" t="s">
        <v>2547</v>
      </c>
      <c r="I2185" s="79"/>
    </row>
    <row r="2186" spans="1:9" ht="15">
      <c r="A2186" s="79" t="s">
        <v>3968</v>
      </c>
      <c r="B2186" s="79" t="s">
        <v>3969</v>
      </c>
      <c r="C2186" s="79">
        <v>604812860</v>
      </c>
      <c r="D2186" s="79">
        <v>0</v>
      </c>
      <c r="E2186" s="79" t="s">
        <v>1124</v>
      </c>
      <c r="F2186" s="79" t="s">
        <v>2539</v>
      </c>
      <c r="G2186" s="79" t="s">
        <v>2581</v>
      </c>
      <c r="H2186" s="79"/>
      <c r="I2186" s="79"/>
    </row>
    <row r="2187" spans="1:9" ht="15">
      <c r="A2187" s="79" t="s">
        <v>3970</v>
      </c>
      <c r="B2187" s="79" t="s">
        <v>3971</v>
      </c>
      <c r="C2187" s="79">
        <v>604855460</v>
      </c>
      <c r="D2187" s="79">
        <v>0</v>
      </c>
      <c r="E2187" s="79" t="s">
        <v>1124</v>
      </c>
      <c r="F2187" s="79" t="s">
        <v>2539</v>
      </c>
      <c r="G2187" s="79" t="s">
        <v>1130</v>
      </c>
      <c r="H2187" s="79"/>
      <c r="I2187" s="79"/>
    </row>
    <row r="2188" spans="1:9" ht="15">
      <c r="A2188" s="79" t="s">
        <v>3970</v>
      </c>
      <c r="B2188" s="79" t="s">
        <v>3971</v>
      </c>
      <c r="C2188" s="79">
        <v>604855460</v>
      </c>
      <c r="D2188" s="79">
        <v>0</v>
      </c>
      <c r="E2188" s="79" t="s">
        <v>1124</v>
      </c>
      <c r="F2188" s="79" t="s">
        <v>2539</v>
      </c>
      <c r="G2188" s="79" t="s">
        <v>1131</v>
      </c>
      <c r="H2188" s="79" t="s">
        <v>1132</v>
      </c>
      <c r="I2188" s="79"/>
    </row>
    <row r="2189" spans="1:9" ht="15">
      <c r="A2189" s="79" t="s">
        <v>3970</v>
      </c>
      <c r="B2189" s="79" t="s">
        <v>3971</v>
      </c>
      <c r="C2189" s="79">
        <v>604855460</v>
      </c>
      <c r="D2189" s="79">
        <v>0</v>
      </c>
      <c r="E2189" s="79" t="s">
        <v>1124</v>
      </c>
      <c r="F2189" s="79" t="s">
        <v>2539</v>
      </c>
      <c r="G2189" s="79" t="s">
        <v>2578</v>
      </c>
      <c r="H2189" s="79"/>
      <c r="I2189" s="79"/>
    </row>
    <row r="2190" spans="1:9" ht="15">
      <c r="A2190" s="79" t="s">
        <v>3972</v>
      </c>
      <c r="B2190" s="79" t="s">
        <v>3973</v>
      </c>
      <c r="C2190" s="79">
        <v>604856060</v>
      </c>
      <c r="D2190" s="79">
        <v>0</v>
      </c>
      <c r="E2190" s="79" t="s">
        <v>1124</v>
      </c>
      <c r="F2190" s="79" t="s">
        <v>2539</v>
      </c>
      <c r="G2190" s="79" t="s">
        <v>2546</v>
      </c>
      <c r="H2190" s="79" t="s">
        <v>2547</v>
      </c>
      <c r="I2190" s="79"/>
    </row>
    <row r="2191" spans="1:9" ht="15">
      <c r="A2191" s="79" t="s">
        <v>3972</v>
      </c>
      <c r="B2191" s="79" t="s">
        <v>3973</v>
      </c>
      <c r="C2191" s="79">
        <v>604856060</v>
      </c>
      <c r="D2191" s="79">
        <v>0</v>
      </c>
      <c r="E2191" s="79" t="s">
        <v>1124</v>
      </c>
      <c r="F2191" s="79" t="s">
        <v>2539</v>
      </c>
      <c r="G2191" s="79" t="s">
        <v>2581</v>
      </c>
      <c r="H2191" s="79"/>
      <c r="I2191" s="79"/>
    </row>
    <row r="2192" spans="1:9" ht="15">
      <c r="A2192" s="79" t="s">
        <v>3974</v>
      </c>
      <c r="B2192" s="79" t="s">
        <v>3975</v>
      </c>
      <c r="C2192" s="79">
        <v>604898660</v>
      </c>
      <c r="D2192" s="79">
        <v>0</v>
      </c>
      <c r="E2192" s="79" t="s">
        <v>1124</v>
      </c>
      <c r="F2192" s="79" t="s">
        <v>2539</v>
      </c>
      <c r="G2192" s="79" t="s">
        <v>1130</v>
      </c>
      <c r="H2192" s="79"/>
      <c r="I2192" s="79"/>
    </row>
    <row r="2193" spans="1:9" ht="15">
      <c r="A2193" s="79" t="s">
        <v>3974</v>
      </c>
      <c r="B2193" s="79" t="s">
        <v>3975</v>
      </c>
      <c r="C2193" s="79">
        <v>604898660</v>
      </c>
      <c r="D2193" s="79">
        <v>0</v>
      </c>
      <c r="E2193" s="79" t="s">
        <v>1124</v>
      </c>
      <c r="F2193" s="79" t="s">
        <v>2539</v>
      </c>
      <c r="G2193" s="79" t="s">
        <v>1131</v>
      </c>
      <c r="H2193" s="79" t="s">
        <v>1132</v>
      </c>
      <c r="I2193" s="79"/>
    </row>
    <row r="2194" spans="1:9" ht="15">
      <c r="A2194" s="79" t="s">
        <v>3974</v>
      </c>
      <c r="B2194" s="79" t="s">
        <v>3975</v>
      </c>
      <c r="C2194" s="79">
        <v>604898660</v>
      </c>
      <c r="D2194" s="79">
        <v>0</v>
      </c>
      <c r="E2194" s="79" t="s">
        <v>1124</v>
      </c>
      <c r="F2194" s="79" t="s">
        <v>2539</v>
      </c>
      <c r="G2194" s="79" t="s">
        <v>2578</v>
      </c>
      <c r="H2194" s="79"/>
      <c r="I2194" s="79"/>
    </row>
    <row r="2195" spans="1:9" ht="15">
      <c r="A2195" s="79" t="s">
        <v>3976</v>
      </c>
      <c r="B2195" s="79" t="s">
        <v>3977</v>
      </c>
      <c r="C2195" s="79">
        <v>604899260</v>
      </c>
      <c r="D2195" s="79">
        <v>0</v>
      </c>
      <c r="E2195" s="79" t="s">
        <v>1124</v>
      </c>
      <c r="F2195" s="79" t="s">
        <v>2539</v>
      </c>
      <c r="G2195" s="79" t="s">
        <v>2546</v>
      </c>
      <c r="H2195" s="79" t="s">
        <v>2547</v>
      </c>
      <c r="I2195" s="79"/>
    </row>
    <row r="2196" spans="1:9" ht="15">
      <c r="A2196" s="79" t="s">
        <v>3976</v>
      </c>
      <c r="B2196" s="79" t="s">
        <v>3977</v>
      </c>
      <c r="C2196" s="79">
        <v>604899260</v>
      </c>
      <c r="D2196" s="79">
        <v>0</v>
      </c>
      <c r="E2196" s="79" t="s">
        <v>1124</v>
      </c>
      <c r="F2196" s="79" t="s">
        <v>2539</v>
      </c>
      <c r="G2196" s="79" t="s">
        <v>2581</v>
      </c>
      <c r="H2196" s="79"/>
      <c r="I2196" s="79"/>
    </row>
    <row r="2197" spans="1:9" ht="15">
      <c r="A2197" s="79" t="s">
        <v>3978</v>
      </c>
      <c r="B2197" s="79" t="s">
        <v>3979</v>
      </c>
      <c r="C2197" s="79">
        <v>604941860</v>
      </c>
      <c r="D2197" s="79">
        <v>0</v>
      </c>
      <c r="E2197" s="79" t="s">
        <v>1124</v>
      </c>
      <c r="F2197" s="79" t="s">
        <v>2539</v>
      </c>
      <c r="G2197" s="79" t="s">
        <v>1130</v>
      </c>
      <c r="H2197" s="79"/>
      <c r="I2197" s="79"/>
    </row>
    <row r="2198" spans="1:9" ht="15">
      <c r="A2198" s="79" t="s">
        <v>3978</v>
      </c>
      <c r="B2198" s="79" t="s">
        <v>3979</v>
      </c>
      <c r="C2198" s="79">
        <v>604941860</v>
      </c>
      <c r="D2198" s="79">
        <v>0</v>
      </c>
      <c r="E2198" s="79" t="s">
        <v>1124</v>
      </c>
      <c r="F2198" s="79" t="s">
        <v>2539</v>
      </c>
      <c r="G2198" s="79" t="s">
        <v>1131</v>
      </c>
      <c r="H2198" s="79" t="s">
        <v>1132</v>
      </c>
      <c r="I2198" s="79"/>
    </row>
    <row r="2199" spans="1:9" ht="15">
      <c r="A2199" s="79" t="s">
        <v>3978</v>
      </c>
      <c r="B2199" s="79" t="s">
        <v>3979</v>
      </c>
      <c r="C2199" s="79">
        <v>604941860</v>
      </c>
      <c r="D2199" s="79">
        <v>0</v>
      </c>
      <c r="E2199" s="79" t="s">
        <v>1124</v>
      </c>
      <c r="F2199" s="79" t="s">
        <v>2539</v>
      </c>
      <c r="G2199" s="79" t="s">
        <v>2578</v>
      </c>
      <c r="H2199" s="79"/>
      <c r="I2199" s="79"/>
    </row>
    <row r="2200" spans="1:9" ht="15">
      <c r="A2200" s="79" t="s">
        <v>3980</v>
      </c>
      <c r="B2200" s="79" t="s">
        <v>3981</v>
      </c>
      <c r="C2200" s="79">
        <v>604942460</v>
      </c>
      <c r="D2200" s="79">
        <v>0</v>
      </c>
      <c r="E2200" s="79" t="s">
        <v>1124</v>
      </c>
      <c r="F2200" s="79" t="s">
        <v>2539</v>
      </c>
      <c r="G2200" s="79" t="s">
        <v>2546</v>
      </c>
      <c r="H2200" s="79" t="s">
        <v>2547</v>
      </c>
      <c r="I2200" s="79"/>
    </row>
    <row r="2201" spans="1:9" ht="15">
      <c r="A2201" s="79" t="s">
        <v>3980</v>
      </c>
      <c r="B2201" s="79" t="s">
        <v>3981</v>
      </c>
      <c r="C2201" s="79">
        <v>604942460</v>
      </c>
      <c r="D2201" s="79">
        <v>0</v>
      </c>
      <c r="E2201" s="79" t="s">
        <v>1124</v>
      </c>
      <c r="F2201" s="79" t="s">
        <v>2539</v>
      </c>
      <c r="G2201" s="79" t="s">
        <v>2581</v>
      </c>
      <c r="H2201" s="79"/>
      <c r="I2201" s="79"/>
    </row>
    <row r="2202" spans="1:9" ht="15">
      <c r="A2202" s="79" t="s">
        <v>3982</v>
      </c>
      <c r="B2202" s="79" t="s">
        <v>3983</v>
      </c>
      <c r="C2202" s="79">
        <v>604985060</v>
      </c>
      <c r="D2202" s="79">
        <v>0</v>
      </c>
      <c r="E2202" s="79" t="s">
        <v>1124</v>
      </c>
      <c r="F2202" s="79" t="s">
        <v>2539</v>
      </c>
      <c r="G2202" s="79" t="s">
        <v>1130</v>
      </c>
      <c r="H2202" s="79"/>
      <c r="I2202" s="79"/>
    </row>
    <row r="2203" spans="1:9" ht="15">
      <c r="A2203" s="79" t="s">
        <v>3982</v>
      </c>
      <c r="B2203" s="79" t="s">
        <v>3983</v>
      </c>
      <c r="C2203" s="79">
        <v>604985060</v>
      </c>
      <c r="D2203" s="79">
        <v>0</v>
      </c>
      <c r="E2203" s="79" t="s">
        <v>1124</v>
      </c>
      <c r="F2203" s="79" t="s">
        <v>2539</v>
      </c>
      <c r="G2203" s="79" t="s">
        <v>1131</v>
      </c>
      <c r="H2203" s="79" t="s">
        <v>1132</v>
      </c>
      <c r="I2203" s="79"/>
    </row>
    <row r="2204" spans="1:9" ht="15">
      <c r="A2204" s="79" t="s">
        <v>3982</v>
      </c>
      <c r="B2204" s="79" t="s">
        <v>3983</v>
      </c>
      <c r="C2204" s="79">
        <v>604985060</v>
      </c>
      <c r="D2204" s="79">
        <v>0</v>
      </c>
      <c r="E2204" s="79" t="s">
        <v>1124</v>
      </c>
      <c r="F2204" s="79" t="s">
        <v>2539</v>
      </c>
      <c r="G2204" s="79" t="s">
        <v>2578</v>
      </c>
      <c r="H2204" s="79"/>
      <c r="I2204" s="79"/>
    </row>
    <row r="2205" spans="1:9" ht="15">
      <c r="A2205" s="79" t="s">
        <v>3984</v>
      </c>
      <c r="B2205" s="79" t="s">
        <v>3985</v>
      </c>
      <c r="C2205" s="79">
        <v>604985660</v>
      </c>
      <c r="D2205" s="79">
        <v>0</v>
      </c>
      <c r="E2205" s="79" t="s">
        <v>1124</v>
      </c>
      <c r="F2205" s="79" t="s">
        <v>2539</v>
      </c>
      <c r="G2205" s="79" t="s">
        <v>2546</v>
      </c>
      <c r="H2205" s="79" t="s">
        <v>2547</v>
      </c>
      <c r="I2205" s="79"/>
    </row>
    <row r="2206" spans="1:9" ht="15">
      <c r="A2206" s="79" t="s">
        <v>3984</v>
      </c>
      <c r="B2206" s="79" t="s">
        <v>3985</v>
      </c>
      <c r="C2206" s="79">
        <v>604985660</v>
      </c>
      <c r="D2206" s="79">
        <v>0</v>
      </c>
      <c r="E2206" s="79" t="s">
        <v>1124</v>
      </c>
      <c r="F2206" s="79" t="s">
        <v>2539</v>
      </c>
      <c r="G2206" s="79" t="s">
        <v>2581</v>
      </c>
      <c r="H2206" s="79"/>
      <c r="I2206" s="79"/>
    </row>
    <row r="2207" spans="1:9" ht="15">
      <c r="A2207" s="79" t="s">
        <v>3986</v>
      </c>
      <c r="B2207" s="79" t="s">
        <v>3987</v>
      </c>
      <c r="C2207" s="79">
        <v>605028260</v>
      </c>
      <c r="D2207" s="79">
        <v>0</v>
      </c>
      <c r="E2207" s="79" t="s">
        <v>1124</v>
      </c>
      <c r="F2207" s="79" t="s">
        <v>2539</v>
      </c>
      <c r="G2207" s="79" t="s">
        <v>1130</v>
      </c>
      <c r="H2207" s="79"/>
      <c r="I2207" s="79"/>
    </row>
    <row r="2208" spans="1:9" ht="15">
      <c r="A2208" s="79" t="s">
        <v>3986</v>
      </c>
      <c r="B2208" s="79" t="s">
        <v>3987</v>
      </c>
      <c r="C2208" s="79">
        <v>605028260</v>
      </c>
      <c r="D2208" s="79">
        <v>0</v>
      </c>
      <c r="E2208" s="79" t="s">
        <v>1124</v>
      </c>
      <c r="F2208" s="79" t="s">
        <v>2539</v>
      </c>
      <c r="G2208" s="79" t="s">
        <v>1131</v>
      </c>
      <c r="H2208" s="79" t="s">
        <v>1132</v>
      </c>
      <c r="I2208" s="79"/>
    </row>
    <row r="2209" spans="1:9" ht="15">
      <c r="A2209" s="79" t="s">
        <v>3986</v>
      </c>
      <c r="B2209" s="79" t="s">
        <v>3987</v>
      </c>
      <c r="C2209" s="79">
        <v>605028260</v>
      </c>
      <c r="D2209" s="79">
        <v>0</v>
      </c>
      <c r="E2209" s="79" t="s">
        <v>1124</v>
      </c>
      <c r="F2209" s="79" t="s">
        <v>2539</v>
      </c>
      <c r="G2209" s="79" t="s">
        <v>2578</v>
      </c>
      <c r="H2209" s="79"/>
      <c r="I2209" s="79"/>
    </row>
    <row r="2210" spans="1:9" ht="15">
      <c r="A2210" s="79" t="s">
        <v>3988</v>
      </c>
      <c r="B2210" s="79" t="s">
        <v>3989</v>
      </c>
      <c r="C2210" s="79">
        <v>605028860</v>
      </c>
      <c r="D2210" s="79">
        <v>0</v>
      </c>
      <c r="E2210" s="79" t="s">
        <v>1124</v>
      </c>
      <c r="F2210" s="79" t="s">
        <v>2539</v>
      </c>
      <c r="G2210" s="79" t="s">
        <v>2546</v>
      </c>
      <c r="H2210" s="79" t="s">
        <v>2547</v>
      </c>
      <c r="I2210" s="79"/>
    </row>
    <row r="2211" spans="1:9" ht="15">
      <c r="A2211" s="79" t="s">
        <v>3988</v>
      </c>
      <c r="B2211" s="79" t="s">
        <v>3989</v>
      </c>
      <c r="C2211" s="79">
        <v>605028860</v>
      </c>
      <c r="D2211" s="79">
        <v>0</v>
      </c>
      <c r="E2211" s="79" t="s">
        <v>1124</v>
      </c>
      <c r="F2211" s="79" t="s">
        <v>2539</v>
      </c>
      <c r="G2211" s="79" t="s">
        <v>2581</v>
      </c>
      <c r="H2211" s="79"/>
      <c r="I2211" s="79"/>
    </row>
    <row r="2212" spans="1:9" ht="15">
      <c r="A2212" s="79" t="s">
        <v>3990</v>
      </c>
      <c r="B2212" s="79" t="s">
        <v>3991</v>
      </c>
      <c r="C2212" s="79">
        <v>605071460</v>
      </c>
      <c r="D2212" s="79">
        <v>0</v>
      </c>
      <c r="E2212" s="79" t="s">
        <v>1124</v>
      </c>
      <c r="F2212" s="79" t="s">
        <v>2539</v>
      </c>
      <c r="G2212" s="79" t="s">
        <v>1130</v>
      </c>
      <c r="H2212" s="79"/>
      <c r="I2212" s="79"/>
    </row>
    <row r="2213" spans="1:9" ht="15">
      <c r="A2213" s="79" t="s">
        <v>3990</v>
      </c>
      <c r="B2213" s="79" t="s">
        <v>3991</v>
      </c>
      <c r="C2213" s="79">
        <v>605071460</v>
      </c>
      <c r="D2213" s="79">
        <v>0</v>
      </c>
      <c r="E2213" s="79" t="s">
        <v>1124</v>
      </c>
      <c r="F2213" s="79" t="s">
        <v>2539</v>
      </c>
      <c r="G2213" s="79" t="s">
        <v>1131</v>
      </c>
      <c r="H2213" s="79" t="s">
        <v>1132</v>
      </c>
      <c r="I2213" s="79"/>
    </row>
    <row r="2214" spans="1:9" ht="15">
      <c r="A2214" s="79" t="s">
        <v>3990</v>
      </c>
      <c r="B2214" s="79" t="s">
        <v>3991</v>
      </c>
      <c r="C2214" s="79">
        <v>605071460</v>
      </c>
      <c r="D2214" s="79">
        <v>0</v>
      </c>
      <c r="E2214" s="79" t="s">
        <v>1124</v>
      </c>
      <c r="F2214" s="79" t="s">
        <v>2539</v>
      </c>
      <c r="G2214" s="79" t="s">
        <v>2578</v>
      </c>
      <c r="H2214" s="79"/>
      <c r="I2214" s="79"/>
    </row>
    <row r="2215" spans="1:9" ht="15">
      <c r="A2215" s="79" t="s">
        <v>3992</v>
      </c>
      <c r="B2215" s="79" t="s">
        <v>3993</v>
      </c>
      <c r="C2215" s="79">
        <v>605072060</v>
      </c>
      <c r="D2215" s="79">
        <v>0</v>
      </c>
      <c r="E2215" s="79" t="s">
        <v>1124</v>
      </c>
      <c r="F2215" s="79" t="s">
        <v>2539</v>
      </c>
      <c r="G2215" s="79" t="s">
        <v>2546</v>
      </c>
      <c r="H2215" s="79" t="s">
        <v>2547</v>
      </c>
      <c r="I2215" s="79"/>
    </row>
    <row r="2216" spans="1:9" ht="15">
      <c r="A2216" s="79" t="s">
        <v>3992</v>
      </c>
      <c r="B2216" s="79" t="s">
        <v>3993</v>
      </c>
      <c r="C2216" s="79">
        <v>605072060</v>
      </c>
      <c r="D2216" s="79">
        <v>0</v>
      </c>
      <c r="E2216" s="79" t="s">
        <v>1124</v>
      </c>
      <c r="F2216" s="79" t="s">
        <v>2539</v>
      </c>
      <c r="G2216" s="79" t="s">
        <v>2581</v>
      </c>
      <c r="H2216" s="79"/>
      <c r="I2216" s="79"/>
    </row>
    <row r="2217" spans="1:9" ht="15">
      <c r="A2217" s="81" t="s">
        <v>3994</v>
      </c>
      <c r="B2217" s="81" t="s">
        <v>3995</v>
      </c>
      <c r="C2217" s="81">
        <v>605076716</v>
      </c>
      <c r="D2217" s="81">
        <v>0</v>
      </c>
      <c r="E2217" s="81" t="s">
        <v>1124</v>
      </c>
      <c r="F2217" s="81" t="s">
        <v>3996</v>
      </c>
      <c r="G2217" s="81" t="s">
        <v>2100</v>
      </c>
      <c r="H2217" s="81"/>
      <c r="I2217" s="81" t="s">
        <v>3997</v>
      </c>
    </row>
    <row r="2218" spans="1:9" ht="15">
      <c r="A2218" s="79" t="s">
        <v>3994</v>
      </c>
      <c r="B2218" s="79" t="s">
        <v>3995</v>
      </c>
      <c r="C2218" s="79">
        <v>605076716</v>
      </c>
      <c r="D2218" s="79">
        <v>0</v>
      </c>
      <c r="E2218" s="79" t="s">
        <v>1124</v>
      </c>
      <c r="F2218" s="79" t="s">
        <v>2102</v>
      </c>
      <c r="G2218" s="79" t="s">
        <v>2103</v>
      </c>
      <c r="H2218" s="79"/>
      <c r="I2218" s="79"/>
    </row>
    <row r="2219" spans="1:9" ht="15">
      <c r="A2219" s="79" t="s">
        <v>3994</v>
      </c>
      <c r="B2219" s="79" t="s">
        <v>3995</v>
      </c>
      <c r="C2219" s="79">
        <v>605076716</v>
      </c>
      <c r="D2219" s="79">
        <v>0</v>
      </c>
      <c r="E2219" s="79" t="s">
        <v>1124</v>
      </c>
      <c r="F2219" s="79" t="s">
        <v>2102</v>
      </c>
      <c r="G2219" s="79" t="s">
        <v>2104</v>
      </c>
      <c r="H2219" s="79"/>
      <c r="I2219" s="79"/>
    </row>
    <row r="2220" spans="1:9" ht="15">
      <c r="A2220" s="79" t="s">
        <v>3998</v>
      </c>
      <c r="B2220" s="79" t="s">
        <v>3999</v>
      </c>
      <c r="C2220" s="79">
        <v>605076717</v>
      </c>
      <c r="D2220" s="79">
        <v>0</v>
      </c>
      <c r="E2220" s="79" t="s">
        <v>1124</v>
      </c>
      <c r="F2220" s="79" t="s">
        <v>2102</v>
      </c>
      <c r="G2220" s="79" t="s">
        <v>2107</v>
      </c>
      <c r="H2220" s="79"/>
      <c r="I2220" s="79"/>
    </row>
    <row r="2221" spans="1:9" ht="15">
      <c r="A2221" s="79" t="s">
        <v>3998</v>
      </c>
      <c r="B2221" s="79" t="s">
        <v>3999</v>
      </c>
      <c r="C2221" s="79">
        <v>605076717</v>
      </c>
      <c r="D2221" s="79">
        <v>0</v>
      </c>
      <c r="E2221" s="79" t="s">
        <v>1124</v>
      </c>
      <c r="F2221" s="79" t="s">
        <v>2102</v>
      </c>
      <c r="G2221" s="79" t="s">
        <v>2108</v>
      </c>
      <c r="H2221" s="79"/>
      <c r="I2221" s="79"/>
    </row>
    <row r="2222" spans="1:9" ht="15">
      <c r="A2222" s="79" t="s">
        <v>3998</v>
      </c>
      <c r="B2222" s="79" t="s">
        <v>3999</v>
      </c>
      <c r="C2222" s="79">
        <v>605076717</v>
      </c>
      <c r="D2222" s="79">
        <v>0</v>
      </c>
      <c r="E2222" s="79" t="s">
        <v>1124</v>
      </c>
      <c r="F2222" s="79" t="s">
        <v>2102</v>
      </c>
      <c r="G2222" s="79" t="s">
        <v>2109</v>
      </c>
      <c r="H2222" s="79"/>
      <c r="I2222" s="79"/>
    </row>
    <row r="2223" spans="1:9" ht="15">
      <c r="A2223" s="79" t="s">
        <v>4000</v>
      </c>
      <c r="B2223" s="79" t="s">
        <v>4001</v>
      </c>
      <c r="C2223" s="79">
        <v>605076720</v>
      </c>
      <c r="D2223" s="79">
        <v>0</v>
      </c>
      <c r="E2223" s="79" t="s">
        <v>1124</v>
      </c>
      <c r="F2223" s="79" t="s">
        <v>2102</v>
      </c>
      <c r="G2223" s="79" t="s">
        <v>2112</v>
      </c>
      <c r="H2223" s="79"/>
      <c r="I2223" s="79"/>
    </row>
    <row r="2224" spans="1:9" ht="15">
      <c r="A2224" s="79" t="s">
        <v>4000</v>
      </c>
      <c r="B2224" s="79" t="s">
        <v>4001</v>
      </c>
      <c r="C2224" s="79">
        <v>605076720</v>
      </c>
      <c r="D2224" s="79">
        <v>0</v>
      </c>
      <c r="E2224" s="79" t="s">
        <v>1124</v>
      </c>
      <c r="F2224" s="79" t="s">
        <v>2102</v>
      </c>
      <c r="G2224" s="79" t="s">
        <v>2113</v>
      </c>
      <c r="H2224" s="79"/>
      <c r="I2224" s="79"/>
    </row>
    <row r="2225" spans="1:9" ht="15">
      <c r="A2225" s="79" t="s">
        <v>4000</v>
      </c>
      <c r="B2225" s="79" t="s">
        <v>4001</v>
      </c>
      <c r="C2225" s="79">
        <v>605076720</v>
      </c>
      <c r="D2225" s="79">
        <v>0</v>
      </c>
      <c r="E2225" s="79" t="s">
        <v>1124</v>
      </c>
      <c r="F2225" s="79" t="s">
        <v>2102</v>
      </c>
      <c r="G2225" s="79" t="s">
        <v>2109</v>
      </c>
      <c r="H2225" s="79"/>
      <c r="I2225" s="79"/>
    </row>
    <row r="2226" spans="1:9" ht="15">
      <c r="A2226" s="79" t="s">
        <v>4002</v>
      </c>
      <c r="B2226" s="79" t="s">
        <v>4003</v>
      </c>
      <c r="C2226" s="79">
        <v>605076723</v>
      </c>
      <c r="D2226" s="79">
        <v>0</v>
      </c>
      <c r="E2226" s="79" t="s">
        <v>1124</v>
      </c>
      <c r="F2226" s="79" t="s">
        <v>2102</v>
      </c>
      <c r="G2226" s="79" t="s">
        <v>2116</v>
      </c>
      <c r="H2226" s="79"/>
      <c r="I2226" s="79"/>
    </row>
    <row r="2227" spans="1:9" ht="15">
      <c r="A2227" s="79" t="s">
        <v>4002</v>
      </c>
      <c r="B2227" s="79" t="s">
        <v>4003</v>
      </c>
      <c r="C2227" s="79">
        <v>605076723</v>
      </c>
      <c r="D2227" s="79">
        <v>0</v>
      </c>
      <c r="E2227" s="79" t="s">
        <v>1124</v>
      </c>
      <c r="F2227" s="79" t="s">
        <v>2102</v>
      </c>
      <c r="G2227" s="79" t="s">
        <v>2117</v>
      </c>
      <c r="H2227" s="79"/>
      <c r="I2227" s="79"/>
    </row>
    <row r="2228" spans="1:9" ht="15">
      <c r="A2228" s="79" t="s">
        <v>4002</v>
      </c>
      <c r="B2228" s="79" t="s">
        <v>4003</v>
      </c>
      <c r="C2228" s="79">
        <v>605076723</v>
      </c>
      <c r="D2228" s="79">
        <v>0</v>
      </c>
      <c r="E2228" s="79" t="s">
        <v>1124</v>
      </c>
      <c r="F2228" s="79" t="s">
        <v>2102</v>
      </c>
      <c r="G2228" s="79" t="s">
        <v>2109</v>
      </c>
      <c r="H2228" s="79"/>
      <c r="I2228" s="79"/>
    </row>
    <row r="2229" spans="1:9" ht="15">
      <c r="A2229" s="79" t="s">
        <v>4004</v>
      </c>
      <c r="B2229" s="79" t="s">
        <v>4005</v>
      </c>
      <c r="C2229" s="79">
        <v>605076726</v>
      </c>
      <c r="D2229" s="79">
        <v>0</v>
      </c>
      <c r="E2229" s="79" t="s">
        <v>1124</v>
      </c>
      <c r="F2229" s="79" t="s">
        <v>2102</v>
      </c>
      <c r="G2229" s="79" t="s">
        <v>2120</v>
      </c>
      <c r="H2229" s="79"/>
      <c r="I2229" s="79"/>
    </row>
    <row r="2230" spans="1:9" ht="15">
      <c r="A2230" s="79" t="s">
        <v>4004</v>
      </c>
      <c r="B2230" s="79" t="s">
        <v>4005</v>
      </c>
      <c r="C2230" s="79">
        <v>605076726</v>
      </c>
      <c r="D2230" s="79">
        <v>0</v>
      </c>
      <c r="E2230" s="79" t="s">
        <v>1124</v>
      </c>
      <c r="F2230" s="79" t="s">
        <v>2102</v>
      </c>
      <c r="G2230" s="79" t="s">
        <v>2121</v>
      </c>
      <c r="H2230" s="79"/>
      <c r="I2230" s="79"/>
    </row>
    <row r="2231" spans="1:9" ht="15">
      <c r="A2231" s="79" t="s">
        <v>4004</v>
      </c>
      <c r="B2231" s="79" t="s">
        <v>4005</v>
      </c>
      <c r="C2231" s="79">
        <v>605076726</v>
      </c>
      <c r="D2231" s="79">
        <v>0</v>
      </c>
      <c r="E2231" s="79" t="s">
        <v>1124</v>
      </c>
      <c r="F2231" s="79" t="s">
        <v>2102</v>
      </c>
      <c r="G2231" s="79" t="s">
        <v>2109</v>
      </c>
      <c r="H2231" s="79"/>
      <c r="I2231" s="79"/>
    </row>
    <row r="2232" spans="1:9" ht="15">
      <c r="A2232" s="79" t="s">
        <v>4006</v>
      </c>
      <c r="B2232" s="79" t="s">
        <v>4007</v>
      </c>
      <c r="C2232" s="79">
        <v>605076729</v>
      </c>
      <c r="D2232" s="79">
        <v>0</v>
      </c>
      <c r="E2232" s="79" t="s">
        <v>1124</v>
      </c>
      <c r="F2232" s="79" t="s">
        <v>2102</v>
      </c>
      <c r="G2232" s="79" t="s">
        <v>2124</v>
      </c>
      <c r="H2232" s="79"/>
      <c r="I2232" s="79"/>
    </row>
    <row r="2233" spans="1:9" ht="15">
      <c r="A2233" s="79" t="s">
        <v>4006</v>
      </c>
      <c r="B2233" s="79" t="s">
        <v>4007</v>
      </c>
      <c r="C2233" s="79">
        <v>605076729</v>
      </c>
      <c r="D2233" s="79">
        <v>0</v>
      </c>
      <c r="E2233" s="79" t="s">
        <v>1124</v>
      </c>
      <c r="F2233" s="79" t="s">
        <v>2102</v>
      </c>
      <c r="G2233" s="79" t="s">
        <v>2125</v>
      </c>
      <c r="H2233" s="79"/>
      <c r="I2233" s="79"/>
    </row>
    <row r="2234" spans="1:9" ht="15">
      <c r="A2234" s="79" t="s">
        <v>4006</v>
      </c>
      <c r="B2234" s="79" t="s">
        <v>4007</v>
      </c>
      <c r="C2234" s="79">
        <v>605076729</v>
      </c>
      <c r="D2234" s="79">
        <v>0</v>
      </c>
      <c r="E2234" s="79" t="s">
        <v>1124</v>
      </c>
      <c r="F2234" s="79" t="s">
        <v>2102</v>
      </c>
      <c r="G2234" s="79" t="s">
        <v>2109</v>
      </c>
      <c r="H2234" s="79"/>
      <c r="I2234" s="79"/>
    </row>
    <row r="2235" spans="1:9" ht="15">
      <c r="A2235" s="79" t="s">
        <v>4008</v>
      </c>
      <c r="B2235" s="79" t="s">
        <v>4009</v>
      </c>
      <c r="C2235" s="79">
        <v>605076732</v>
      </c>
      <c r="D2235" s="79">
        <v>0</v>
      </c>
      <c r="E2235" s="79" t="s">
        <v>1124</v>
      </c>
      <c r="F2235" s="79" t="s">
        <v>2102</v>
      </c>
      <c r="G2235" s="79" t="s">
        <v>2128</v>
      </c>
      <c r="H2235" s="79"/>
      <c r="I2235" s="79"/>
    </row>
    <row r="2236" spans="1:9" ht="15">
      <c r="A2236" s="79" t="s">
        <v>4008</v>
      </c>
      <c r="B2236" s="79" t="s">
        <v>4009</v>
      </c>
      <c r="C2236" s="79">
        <v>605076732</v>
      </c>
      <c r="D2236" s="79">
        <v>0</v>
      </c>
      <c r="E2236" s="79" t="s">
        <v>1124</v>
      </c>
      <c r="F2236" s="79" t="s">
        <v>2102</v>
      </c>
      <c r="G2236" s="79" t="s">
        <v>2129</v>
      </c>
      <c r="H2236" s="79"/>
      <c r="I2236" s="79"/>
    </row>
    <row r="2237" spans="1:9" ht="15">
      <c r="A2237" s="79" t="s">
        <v>4008</v>
      </c>
      <c r="B2237" s="79" t="s">
        <v>4009</v>
      </c>
      <c r="C2237" s="79">
        <v>605076732</v>
      </c>
      <c r="D2237" s="79">
        <v>0</v>
      </c>
      <c r="E2237" s="79" t="s">
        <v>1124</v>
      </c>
      <c r="F2237" s="79" t="s">
        <v>2102</v>
      </c>
      <c r="G2237" s="79" t="s">
        <v>2109</v>
      </c>
      <c r="H2237" s="79"/>
      <c r="I2237" s="79"/>
    </row>
    <row r="2238" spans="1:9" ht="15">
      <c r="A2238" s="79" t="s">
        <v>4010</v>
      </c>
      <c r="B2238" s="79" t="s">
        <v>4011</v>
      </c>
      <c r="C2238" s="79">
        <v>605076735</v>
      </c>
      <c r="D2238" s="79">
        <v>0</v>
      </c>
      <c r="E2238" s="79" t="s">
        <v>1124</v>
      </c>
      <c r="F2238" s="79" t="s">
        <v>2102</v>
      </c>
      <c r="G2238" s="79" t="s">
        <v>2132</v>
      </c>
      <c r="H2238" s="79"/>
      <c r="I2238" s="79"/>
    </row>
    <row r="2239" spans="1:9" ht="15">
      <c r="A2239" s="79" t="s">
        <v>4010</v>
      </c>
      <c r="B2239" s="79" t="s">
        <v>4011</v>
      </c>
      <c r="C2239" s="79">
        <v>605076735</v>
      </c>
      <c r="D2239" s="79">
        <v>0</v>
      </c>
      <c r="E2239" s="79" t="s">
        <v>1124</v>
      </c>
      <c r="F2239" s="79" t="s">
        <v>2102</v>
      </c>
      <c r="G2239" s="79" t="s">
        <v>2133</v>
      </c>
      <c r="H2239" s="79"/>
      <c r="I2239" s="79"/>
    </row>
    <row r="2240" spans="1:9" ht="15">
      <c r="A2240" s="79" t="s">
        <v>4010</v>
      </c>
      <c r="B2240" s="79" t="s">
        <v>4011</v>
      </c>
      <c r="C2240" s="79">
        <v>605076735</v>
      </c>
      <c r="D2240" s="79">
        <v>0</v>
      </c>
      <c r="E2240" s="79" t="s">
        <v>1124</v>
      </c>
      <c r="F2240" s="79" t="s">
        <v>2102</v>
      </c>
      <c r="G2240" s="79" t="s">
        <v>2109</v>
      </c>
      <c r="H2240" s="79"/>
      <c r="I2240" s="79"/>
    </row>
    <row r="2241" spans="1:9" ht="15">
      <c r="A2241" s="79" t="s">
        <v>4012</v>
      </c>
      <c r="B2241" s="79" t="s">
        <v>4013</v>
      </c>
      <c r="C2241" s="79">
        <v>605076738</v>
      </c>
      <c r="D2241" s="79">
        <v>0</v>
      </c>
      <c r="E2241" s="79" t="s">
        <v>1124</v>
      </c>
      <c r="F2241" s="79" t="s">
        <v>2102</v>
      </c>
      <c r="G2241" s="79" t="s">
        <v>2136</v>
      </c>
      <c r="H2241" s="79"/>
      <c r="I2241" s="79"/>
    </row>
    <row r="2242" spans="1:9" ht="15">
      <c r="A2242" s="79" t="s">
        <v>4012</v>
      </c>
      <c r="B2242" s="79" t="s">
        <v>4013</v>
      </c>
      <c r="C2242" s="79">
        <v>605076738</v>
      </c>
      <c r="D2242" s="79">
        <v>0</v>
      </c>
      <c r="E2242" s="79" t="s">
        <v>1124</v>
      </c>
      <c r="F2242" s="79" t="s">
        <v>2102</v>
      </c>
      <c r="G2242" s="79" t="s">
        <v>2137</v>
      </c>
      <c r="H2242" s="79"/>
      <c r="I2242" s="79"/>
    </row>
    <row r="2243" spans="1:9" ht="15">
      <c r="A2243" s="79" t="s">
        <v>4012</v>
      </c>
      <c r="B2243" s="79" t="s">
        <v>4013</v>
      </c>
      <c r="C2243" s="79">
        <v>605076738</v>
      </c>
      <c r="D2243" s="79">
        <v>0</v>
      </c>
      <c r="E2243" s="79" t="s">
        <v>1124</v>
      </c>
      <c r="F2243" s="79" t="s">
        <v>2102</v>
      </c>
      <c r="G2243" s="79" t="s">
        <v>2109</v>
      </c>
      <c r="H2243" s="79"/>
      <c r="I2243" s="79"/>
    </row>
    <row r="2244" spans="1:9" ht="15">
      <c r="A2244" s="79" t="s">
        <v>4014</v>
      </c>
      <c r="B2244" s="79" t="s">
        <v>4015</v>
      </c>
      <c r="C2244" s="79">
        <v>605076741</v>
      </c>
      <c r="D2244" s="79">
        <v>0</v>
      </c>
      <c r="E2244" s="79" t="s">
        <v>1124</v>
      </c>
      <c r="F2244" s="79" t="s">
        <v>2102</v>
      </c>
      <c r="G2244" s="79" t="s">
        <v>2140</v>
      </c>
      <c r="H2244" s="79"/>
      <c r="I2244" s="79"/>
    </row>
    <row r="2245" spans="1:9" ht="15">
      <c r="A2245" s="79" t="s">
        <v>4014</v>
      </c>
      <c r="B2245" s="79" t="s">
        <v>4015</v>
      </c>
      <c r="C2245" s="79">
        <v>605076741</v>
      </c>
      <c r="D2245" s="79">
        <v>0</v>
      </c>
      <c r="E2245" s="79" t="s">
        <v>1124</v>
      </c>
      <c r="F2245" s="79" t="s">
        <v>2102</v>
      </c>
      <c r="G2245" s="79" t="s">
        <v>2141</v>
      </c>
      <c r="H2245" s="79"/>
      <c r="I2245" s="79"/>
    </row>
    <row r="2246" spans="1:9" ht="15">
      <c r="A2246" s="79" t="s">
        <v>4014</v>
      </c>
      <c r="B2246" s="79" t="s">
        <v>4015</v>
      </c>
      <c r="C2246" s="79">
        <v>605076741</v>
      </c>
      <c r="D2246" s="79">
        <v>0</v>
      </c>
      <c r="E2246" s="79" t="s">
        <v>1124</v>
      </c>
      <c r="F2246" s="79" t="s">
        <v>2102</v>
      </c>
      <c r="G2246" s="79" t="s">
        <v>2109</v>
      </c>
      <c r="H2246" s="79"/>
      <c r="I2246" s="79"/>
    </row>
    <row r="2247" spans="1:9" ht="15">
      <c r="A2247" s="79" t="s">
        <v>4016</v>
      </c>
      <c r="B2247" s="79" t="s">
        <v>4017</v>
      </c>
      <c r="C2247" s="79">
        <v>605076744</v>
      </c>
      <c r="D2247" s="79">
        <v>0</v>
      </c>
      <c r="E2247" s="79" t="s">
        <v>1124</v>
      </c>
      <c r="F2247" s="79" t="s">
        <v>2102</v>
      </c>
      <c r="G2247" s="79" t="s">
        <v>2144</v>
      </c>
      <c r="H2247" s="79"/>
      <c r="I2247" s="79"/>
    </row>
    <row r="2248" spans="1:9" ht="15">
      <c r="A2248" s="79" t="s">
        <v>4016</v>
      </c>
      <c r="B2248" s="79" t="s">
        <v>4017</v>
      </c>
      <c r="C2248" s="79">
        <v>605076744</v>
      </c>
      <c r="D2248" s="79">
        <v>0</v>
      </c>
      <c r="E2248" s="79" t="s">
        <v>1124</v>
      </c>
      <c r="F2248" s="79" t="s">
        <v>2102</v>
      </c>
      <c r="G2248" s="79" t="s">
        <v>2145</v>
      </c>
      <c r="H2248" s="79"/>
      <c r="I2248" s="79"/>
    </row>
    <row r="2249" spans="1:9" ht="15">
      <c r="A2249" s="79" t="s">
        <v>4016</v>
      </c>
      <c r="B2249" s="79" t="s">
        <v>4017</v>
      </c>
      <c r="C2249" s="79">
        <v>605076744</v>
      </c>
      <c r="D2249" s="79">
        <v>0</v>
      </c>
      <c r="E2249" s="79" t="s">
        <v>1124</v>
      </c>
      <c r="F2249" s="79" t="s">
        <v>2102</v>
      </c>
      <c r="G2249" s="79" t="s">
        <v>2109</v>
      </c>
      <c r="H2249" s="79"/>
      <c r="I2249" s="79"/>
    </row>
    <row r="2250" spans="1:9" ht="15">
      <c r="A2250" s="79" t="s">
        <v>4018</v>
      </c>
      <c r="B2250" s="79" t="s">
        <v>4019</v>
      </c>
      <c r="C2250" s="79">
        <v>605076747</v>
      </c>
      <c r="D2250" s="79">
        <v>0</v>
      </c>
      <c r="E2250" s="79" t="s">
        <v>1124</v>
      </c>
      <c r="F2250" s="79" t="s">
        <v>2102</v>
      </c>
      <c r="G2250" s="79" t="s">
        <v>2148</v>
      </c>
      <c r="H2250" s="79"/>
      <c r="I2250" s="79"/>
    </row>
    <row r="2251" spans="1:9" ht="15">
      <c r="A2251" s="79" t="s">
        <v>4018</v>
      </c>
      <c r="B2251" s="79" t="s">
        <v>4019</v>
      </c>
      <c r="C2251" s="79">
        <v>605076747</v>
      </c>
      <c r="D2251" s="79">
        <v>0</v>
      </c>
      <c r="E2251" s="79" t="s">
        <v>1124</v>
      </c>
      <c r="F2251" s="79" t="s">
        <v>2102</v>
      </c>
      <c r="G2251" s="79" t="s">
        <v>2149</v>
      </c>
      <c r="H2251" s="79"/>
      <c r="I2251" s="79"/>
    </row>
    <row r="2252" spans="1:9" ht="15">
      <c r="A2252" s="79" t="s">
        <v>4018</v>
      </c>
      <c r="B2252" s="79" t="s">
        <v>4019</v>
      </c>
      <c r="C2252" s="79">
        <v>605076747</v>
      </c>
      <c r="D2252" s="79">
        <v>0</v>
      </c>
      <c r="E2252" s="79" t="s">
        <v>1124</v>
      </c>
      <c r="F2252" s="79" t="s">
        <v>2102</v>
      </c>
      <c r="G2252" s="79" t="s">
        <v>2109</v>
      </c>
      <c r="H2252" s="79"/>
      <c r="I2252" s="79"/>
    </row>
    <row r="2253" spans="1:9" ht="15">
      <c r="A2253" s="79" t="s">
        <v>4020</v>
      </c>
      <c r="B2253" s="79" t="s">
        <v>4021</v>
      </c>
      <c r="C2253" s="79">
        <v>605076750</v>
      </c>
      <c r="D2253" s="79">
        <v>0</v>
      </c>
      <c r="E2253" s="79" t="s">
        <v>1124</v>
      </c>
      <c r="F2253" s="79" t="s">
        <v>2102</v>
      </c>
      <c r="G2253" s="79" t="s">
        <v>2152</v>
      </c>
      <c r="H2253" s="79"/>
      <c r="I2253" s="79"/>
    </row>
    <row r="2254" spans="1:9" ht="15">
      <c r="A2254" s="79" t="s">
        <v>4020</v>
      </c>
      <c r="B2254" s="79" t="s">
        <v>4021</v>
      </c>
      <c r="C2254" s="79">
        <v>605076750</v>
      </c>
      <c r="D2254" s="79">
        <v>0</v>
      </c>
      <c r="E2254" s="79" t="s">
        <v>1124</v>
      </c>
      <c r="F2254" s="79" t="s">
        <v>2102</v>
      </c>
      <c r="G2254" s="79" t="s">
        <v>2109</v>
      </c>
      <c r="H2254" s="79"/>
      <c r="I2254" s="79"/>
    </row>
    <row r="2255" spans="1:9" ht="15">
      <c r="A2255" s="79" t="s">
        <v>4022</v>
      </c>
      <c r="B2255" s="79" t="s">
        <v>4023</v>
      </c>
      <c r="C2255" s="79">
        <v>605076753</v>
      </c>
      <c r="D2255" s="79">
        <v>0</v>
      </c>
      <c r="E2255" s="79" t="s">
        <v>1124</v>
      </c>
      <c r="F2255" s="79" t="s">
        <v>2102</v>
      </c>
      <c r="G2255" s="79" t="s">
        <v>2155</v>
      </c>
      <c r="H2255" s="79"/>
      <c r="I2255" s="79"/>
    </row>
    <row r="2256" spans="1:9" ht="15">
      <c r="A2256" s="79" t="s">
        <v>4022</v>
      </c>
      <c r="B2256" s="79" t="s">
        <v>4023</v>
      </c>
      <c r="C2256" s="79">
        <v>605076753</v>
      </c>
      <c r="D2256" s="79">
        <v>0</v>
      </c>
      <c r="E2256" s="79" t="s">
        <v>1124</v>
      </c>
      <c r="F2256" s="79" t="s">
        <v>2102</v>
      </c>
      <c r="G2256" s="79" t="s">
        <v>2109</v>
      </c>
      <c r="H2256" s="79"/>
      <c r="I2256" s="79"/>
    </row>
    <row r="2257" spans="1:9" ht="15">
      <c r="A2257" s="79" t="s">
        <v>4024</v>
      </c>
      <c r="B2257" s="79" t="s">
        <v>4025</v>
      </c>
      <c r="C2257" s="79">
        <v>605076756</v>
      </c>
      <c r="D2257" s="79">
        <v>0</v>
      </c>
      <c r="E2257" s="79" t="s">
        <v>1124</v>
      </c>
      <c r="F2257" s="79" t="s">
        <v>2102</v>
      </c>
      <c r="G2257" s="79" t="s">
        <v>2158</v>
      </c>
      <c r="H2257" s="79"/>
      <c r="I2257" s="79"/>
    </row>
    <row r="2258" spans="1:9" ht="15">
      <c r="A2258" s="79" t="s">
        <v>4024</v>
      </c>
      <c r="B2258" s="79" t="s">
        <v>4025</v>
      </c>
      <c r="C2258" s="79">
        <v>605076756</v>
      </c>
      <c r="D2258" s="79">
        <v>0</v>
      </c>
      <c r="E2258" s="79" t="s">
        <v>1124</v>
      </c>
      <c r="F2258" s="79" t="s">
        <v>2102</v>
      </c>
      <c r="G2258" s="79" t="s">
        <v>2159</v>
      </c>
      <c r="H2258" s="79"/>
      <c r="I2258" s="79"/>
    </row>
    <row r="2259" spans="1:9" ht="15">
      <c r="A2259" s="79" t="s">
        <v>4024</v>
      </c>
      <c r="B2259" s="79" t="s">
        <v>4025</v>
      </c>
      <c r="C2259" s="79">
        <v>605076756</v>
      </c>
      <c r="D2259" s="79">
        <v>0</v>
      </c>
      <c r="E2259" s="79" t="s">
        <v>1124</v>
      </c>
      <c r="F2259" s="79" t="s">
        <v>2102</v>
      </c>
      <c r="G2259" s="79" t="s">
        <v>2160</v>
      </c>
      <c r="H2259" s="79"/>
      <c r="I2259" s="79"/>
    </row>
    <row r="2260" spans="1:9" ht="15">
      <c r="A2260" s="79" t="s">
        <v>4024</v>
      </c>
      <c r="B2260" s="79" t="s">
        <v>4025</v>
      </c>
      <c r="C2260" s="79">
        <v>605076756</v>
      </c>
      <c r="D2260" s="79">
        <v>0</v>
      </c>
      <c r="E2260" s="79" t="s">
        <v>1124</v>
      </c>
      <c r="F2260" s="79" t="s">
        <v>2102</v>
      </c>
      <c r="G2260" s="79" t="s">
        <v>2161</v>
      </c>
      <c r="H2260" s="79"/>
      <c r="I2260" s="79"/>
    </row>
    <row r="2261" spans="1:9" ht="15">
      <c r="A2261" s="79" t="s">
        <v>4024</v>
      </c>
      <c r="B2261" s="79" t="s">
        <v>4025</v>
      </c>
      <c r="C2261" s="79">
        <v>605076756</v>
      </c>
      <c r="D2261" s="79">
        <v>0</v>
      </c>
      <c r="E2261" s="79" t="s">
        <v>1124</v>
      </c>
      <c r="F2261" s="79" t="s">
        <v>2102</v>
      </c>
      <c r="G2261" s="79" t="s">
        <v>2162</v>
      </c>
      <c r="H2261" s="79"/>
      <c r="I2261" s="79"/>
    </row>
    <row r="2262" spans="1:9" ht="15">
      <c r="A2262" s="79" t="s">
        <v>4024</v>
      </c>
      <c r="B2262" s="79" t="s">
        <v>4025</v>
      </c>
      <c r="C2262" s="79">
        <v>605076756</v>
      </c>
      <c r="D2262" s="79">
        <v>0</v>
      </c>
      <c r="E2262" s="79" t="s">
        <v>1124</v>
      </c>
      <c r="F2262" s="79" t="s">
        <v>2102</v>
      </c>
      <c r="G2262" s="79" t="s">
        <v>1294</v>
      </c>
      <c r="H2262" s="79"/>
      <c r="I2262" s="79"/>
    </row>
    <row r="2263" spans="1:9" ht="15">
      <c r="A2263" s="81" t="s">
        <v>4026</v>
      </c>
      <c r="B2263" s="81" t="s">
        <v>4027</v>
      </c>
      <c r="C2263" s="81">
        <v>605076786</v>
      </c>
      <c r="D2263" s="81">
        <v>7</v>
      </c>
      <c r="E2263" s="81" t="s">
        <v>373</v>
      </c>
      <c r="F2263" s="81" t="s">
        <v>3996</v>
      </c>
      <c r="G2263" s="81" t="s">
        <v>2165</v>
      </c>
      <c r="H2263" s="81" t="s">
        <v>2166</v>
      </c>
      <c r="I2263" s="81" t="s">
        <v>3997</v>
      </c>
    </row>
    <row r="2264" spans="1:9" ht="15">
      <c r="A2264" s="81" t="s">
        <v>4028</v>
      </c>
      <c r="B2264" s="81" t="s">
        <v>4029</v>
      </c>
      <c r="C2264" s="81">
        <v>605076791</v>
      </c>
      <c r="D2264" s="81">
        <v>1</v>
      </c>
      <c r="E2264" s="81" t="s">
        <v>373</v>
      </c>
      <c r="F2264" s="81" t="s">
        <v>3996</v>
      </c>
      <c r="G2264" s="81" t="s">
        <v>389</v>
      </c>
      <c r="H2264" s="81"/>
      <c r="I2264" s="81" t="s">
        <v>3997</v>
      </c>
    </row>
    <row r="2265" spans="1:9" ht="15">
      <c r="A2265" s="81" t="s">
        <v>4030</v>
      </c>
      <c r="B2265" s="81" t="s">
        <v>4031</v>
      </c>
      <c r="C2265" s="81">
        <v>605076795</v>
      </c>
      <c r="D2265" s="81">
        <v>1</v>
      </c>
      <c r="E2265" s="81" t="s">
        <v>373</v>
      </c>
      <c r="F2265" s="81" t="s">
        <v>3996</v>
      </c>
      <c r="G2265" s="81" t="s">
        <v>389</v>
      </c>
      <c r="H2265" s="81"/>
      <c r="I2265" s="81" t="s">
        <v>3997</v>
      </c>
    </row>
    <row r="2266" spans="1:9" ht="15">
      <c r="A2266" s="81" t="s">
        <v>4032</v>
      </c>
      <c r="B2266" s="81" t="s">
        <v>4033</v>
      </c>
      <c r="C2266" s="81">
        <v>605076800</v>
      </c>
      <c r="D2266" s="81">
        <v>1</v>
      </c>
      <c r="E2266" s="81" t="s">
        <v>373</v>
      </c>
      <c r="F2266" s="81" t="s">
        <v>3996</v>
      </c>
      <c r="G2266" s="81" t="s">
        <v>395</v>
      </c>
      <c r="H2266" s="81"/>
      <c r="I2266" s="81" t="s">
        <v>3997</v>
      </c>
    </row>
    <row r="2267" spans="1:9" ht="15">
      <c r="A2267" s="81" t="s">
        <v>4034</v>
      </c>
      <c r="B2267" s="81" t="s">
        <v>4035</v>
      </c>
      <c r="C2267" s="81">
        <v>605076804</v>
      </c>
      <c r="D2267" s="81">
        <v>1</v>
      </c>
      <c r="E2267" s="81" t="s">
        <v>373</v>
      </c>
      <c r="F2267" s="81" t="s">
        <v>3996</v>
      </c>
      <c r="G2267" s="81" t="s">
        <v>395</v>
      </c>
      <c r="H2267" s="81"/>
      <c r="I2267" s="81" t="s">
        <v>3997</v>
      </c>
    </row>
    <row r="2268" spans="1:9" ht="15">
      <c r="A2268" s="81" t="s">
        <v>4036</v>
      </c>
      <c r="B2268" s="81" t="s">
        <v>4037</v>
      </c>
      <c r="C2268" s="81">
        <v>605076809</v>
      </c>
      <c r="D2268" s="81">
        <v>1</v>
      </c>
      <c r="E2268" s="81" t="s">
        <v>373</v>
      </c>
      <c r="F2268" s="81" t="s">
        <v>3996</v>
      </c>
      <c r="G2268" s="81" t="s">
        <v>375</v>
      </c>
      <c r="H2268" s="81"/>
      <c r="I2268" s="81" t="s">
        <v>3997</v>
      </c>
    </row>
    <row r="2269" spans="1:9" ht="15">
      <c r="A2269" s="81" t="s">
        <v>4038</v>
      </c>
      <c r="B2269" s="81" t="s">
        <v>4039</v>
      </c>
      <c r="C2269" s="81">
        <v>605076813</v>
      </c>
      <c r="D2269" s="81">
        <v>1</v>
      </c>
      <c r="E2269" s="81" t="s">
        <v>373</v>
      </c>
      <c r="F2269" s="81" t="s">
        <v>3996</v>
      </c>
      <c r="G2269" s="81" t="s">
        <v>375</v>
      </c>
      <c r="H2269" s="81"/>
      <c r="I2269" s="81" t="s">
        <v>3997</v>
      </c>
    </row>
    <row r="2270" spans="1:9" ht="15">
      <c r="A2270" s="81" t="s">
        <v>4040</v>
      </c>
      <c r="B2270" s="81" t="s">
        <v>4041</v>
      </c>
      <c r="C2270" s="81">
        <v>605076818</v>
      </c>
      <c r="D2270" s="81">
        <v>1</v>
      </c>
      <c r="E2270" s="81" t="s">
        <v>373</v>
      </c>
      <c r="F2270" s="81" t="s">
        <v>3996</v>
      </c>
      <c r="G2270" s="81" t="s">
        <v>382</v>
      </c>
      <c r="H2270" s="81"/>
      <c r="I2270" s="81" t="s">
        <v>3997</v>
      </c>
    </row>
    <row r="2271" spans="1:9" ht="15">
      <c r="A2271" s="81" t="s">
        <v>4042</v>
      </c>
      <c r="B2271" s="81" t="s">
        <v>4043</v>
      </c>
      <c r="C2271" s="81">
        <v>605076822</v>
      </c>
      <c r="D2271" s="81">
        <v>1</v>
      </c>
      <c r="E2271" s="81" t="s">
        <v>373</v>
      </c>
      <c r="F2271" s="81" t="s">
        <v>3996</v>
      </c>
      <c r="G2271" s="81" t="s">
        <v>382</v>
      </c>
      <c r="H2271" s="81"/>
      <c r="I2271" s="81" t="s">
        <v>3997</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2026-07-01T00:23:08Z</dcterms:modified>
  <dc:language>en-US</dc:language>
</cp:coreProperties>
</file>