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348C2BF7-05FD-4A5D-B4BC-F84B2D70D69C}" xr6:coauthVersionLast="47" xr6:coauthVersionMax="47" xr10:uidLastSave="{00000000-0000-0000-0000-000000000000}"/>
  <bookViews>
    <workbookView xWindow="75" yWindow="345" windowWidth="28725" windowHeight="14520" tabRatio="568"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 name="_tl_template" sheetId="20" r:id="rId20"/>
    <sheet name="_tl21-328-00-00" sheetId="60" r:id="rId21"/>
  </sheets>
  <functionGroups builtInGroupCount="19"/>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30" i="3" l="1"/>
  <c r="AM12" i="3"/>
  <c r="AN13" i="3"/>
  <c r="AN28" i="3"/>
  <c r="AN27" i="3"/>
  <c r="AN24" i="3"/>
  <c r="AN23" i="3"/>
  <c r="AN22" i="3"/>
  <c r="AN20" i="3"/>
  <c r="AN18" i="3"/>
  <c r="AN16" i="3"/>
  <c r="AN15" i="3"/>
  <c r="AN12" i="3"/>
  <c r="AN11" i="3"/>
  <c r="AN31" i="3"/>
  <c r="AN30" i="3"/>
  <c r="AN29" i="3"/>
  <c r="AN26" i="3"/>
  <c r="AN25" i="3"/>
  <c r="AN21" i="3"/>
  <c r="AN19" i="3"/>
  <c r="AN17" i="3"/>
  <c r="AN14" i="3"/>
  <c r="AN10" i="3"/>
  <c r="AM31" i="3"/>
  <c r="AM28" i="3"/>
  <c r="AM25" i="3"/>
  <c r="AM24" i="3"/>
  <c r="AM23" i="3"/>
  <c r="AM22" i="3"/>
  <c r="AM18" i="3"/>
  <c r="AM16" i="3"/>
  <c r="AM15" i="3"/>
  <c r="AM14" i="3"/>
  <c r="AM13" i="3"/>
  <c r="AM30" i="3"/>
  <c r="AM29" i="3"/>
  <c r="AM27" i="3"/>
  <c r="AM26" i="3"/>
  <c r="AM21" i="3"/>
  <c r="AM20" i="3"/>
  <c r="AM19" i="3"/>
  <c r="AM17" i="3"/>
  <c r="AM11" i="3"/>
  <c r="AL31" i="3"/>
  <c r="AL27" i="3"/>
  <c r="AL26" i="3"/>
  <c r="AL25" i="3"/>
  <c r="AL24" i="3"/>
  <c r="AL21" i="3"/>
  <c r="AL20" i="3"/>
  <c r="AL17" i="3"/>
  <c r="AL16" i="3"/>
  <c r="AL15" i="3"/>
  <c r="AL14" i="3"/>
  <c r="AL30" i="3"/>
  <c r="AL29" i="3"/>
  <c r="AL28" i="3"/>
  <c r="AL23" i="3"/>
  <c r="AL22" i="3"/>
  <c r="AL19" i="3"/>
  <c r="AL18" i="3"/>
  <c r="AL13" i="3"/>
  <c r="AL12" i="3"/>
  <c r="AL11" i="3"/>
  <c r="AL10" i="3"/>
  <c r="AK31" i="3"/>
  <c r="AJ31" i="3"/>
  <c r="AI31" i="3"/>
  <c r="AI28" i="3"/>
  <c r="AK28" i="3"/>
  <c r="AK27" i="3"/>
  <c r="AJ27" i="3"/>
  <c r="AI27" i="3"/>
  <c r="AJ26" i="3"/>
  <c r="AK25" i="3"/>
  <c r="AJ25" i="3"/>
  <c r="AI25" i="3"/>
  <c r="AK22" i="3"/>
  <c r="AI22" i="3"/>
  <c r="AJ21" i="3"/>
  <c r="AK20" i="3"/>
  <c r="AJ20" i="3"/>
  <c r="AI20" i="3"/>
  <c r="AK18" i="3"/>
  <c r="AI18" i="3"/>
  <c r="AJ17" i="3"/>
  <c r="AK14" i="3"/>
  <c r="AJ14" i="3"/>
  <c r="AI14" i="3"/>
  <c r="AK30" i="3"/>
  <c r="AJ30" i="3"/>
  <c r="AK29" i="3"/>
  <c r="AJ29" i="3"/>
  <c r="AI29" i="3"/>
  <c r="AJ28" i="3"/>
  <c r="AK26" i="3"/>
  <c r="AI26" i="3"/>
  <c r="AK24" i="3"/>
  <c r="AJ24" i="3"/>
  <c r="AI24" i="3"/>
  <c r="AK23" i="3"/>
  <c r="AJ23" i="3"/>
  <c r="AI23" i="3"/>
  <c r="AJ22" i="3"/>
  <c r="AK21" i="3"/>
  <c r="AI21" i="3"/>
  <c r="AK19" i="3"/>
  <c r="AJ19" i="3"/>
  <c r="AI19" i="3"/>
  <c r="AJ18" i="3"/>
  <c r="AK17" i="3"/>
  <c r="AI17" i="3"/>
  <c r="AK16" i="3"/>
  <c r="AJ16" i="3"/>
  <c r="AI16" i="3"/>
  <c r="AK15" i="3"/>
  <c r="AJ15" i="3"/>
  <c r="AI15" i="3"/>
  <c r="AK13" i="3"/>
  <c r="AJ13" i="3"/>
  <c r="AI13" i="3"/>
  <c r="AK12" i="3"/>
  <c r="AJ12" i="3"/>
  <c r="AI12" i="3"/>
  <c r="AK11" i="3"/>
  <c r="AJ11" i="3"/>
  <c r="AI11" i="3"/>
  <c r="AK10" i="3"/>
  <c r="AJ10" i="3"/>
  <c r="AI10" i="3"/>
  <c r="C14" i="60"/>
  <c r="C16" i="60"/>
  <c r="C17" i="60"/>
  <c r="C11" i="60"/>
  <c r="C12" i="60"/>
  <c r="C13" i="60"/>
  <c r="D14" i="60"/>
  <c r="D17" i="60"/>
  <c r="D12" i="60"/>
  <c r="C15" i="60"/>
  <c r="D13" i="60"/>
  <c r="D15" i="60"/>
  <c r="D16" i="60"/>
  <c r="D11" i="60"/>
  <c r="AT31" i="3" l="1"/>
  <c r="AT30" i="3"/>
  <c r="AH30" i="3" s="1"/>
  <c r="AG30" i="3" s="1"/>
  <c r="AT29" i="3"/>
  <c r="AH29" i="3" s="1"/>
  <c r="AG29" i="3" s="1"/>
  <c r="AT28" i="3"/>
  <c r="AT27" i="3"/>
  <c r="AH27" i="3" s="1"/>
  <c r="AG27" i="3" s="1"/>
  <c r="AT26" i="3"/>
  <c r="AH26" i="3" s="1"/>
  <c r="AG26" i="3" s="1"/>
  <c r="AT25" i="3"/>
  <c r="AH25" i="3" s="1"/>
  <c r="AG25" i="3" s="1"/>
  <c r="AT24" i="3"/>
  <c r="AH24" i="3" s="1"/>
  <c r="AG24" i="3" s="1"/>
  <c r="AT23" i="3"/>
  <c r="AT22" i="3"/>
  <c r="AT21" i="3"/>
  <c r="AH21" i="3" s="1"/>
  <c r="AG21" i="3" s="1"/>
  <c r="AT20" i="3"/>
  <c r="AH20" i="3" s="1"/>
  <c r="AG20" i="3" s="1"/>
  <c r="AT19" i="3"/>
  <c r="AH19" i="3" s="1"/>
  <c r="AG19" i="3" s="1"/>
  <c r="AT18" i="3"/>
  <c r="AH18" i="3" s="1"/>
  <c r="AG18" i="3" s="1"/>
  <c r="AT17" i="3"/>
  <c r="AH17" i="3" s="1"/>
  <c r="AG17" i="3" s="1"/>
  <c r="AT16" i="3"/>
  <c r="AT15" i="3"/>
  <c r="AT14" i="3"/>
  <c r="AH14" i="3" s="1"/>
  <c r="AG14" i="3" s="1"/>
  <c r="AT13" i="3"/>
  <c r="AH13" i="3" s="1"/>
  <c r="AG13" i="3" s="1"/>
  <c r="AT11" i="3"/>
  <c r="AT10" i="3"/>
  <c r="AT12" i="3"/>
  <c r="AH12" i="3" s="1"/>
  <c r="AG12" i="3" s="1"/>
  <c r="AH22" i="3"/>
  <c r="AG22" i="3" s="1"/>
  <c r="AH11" i="3"/>
  <c r="AG11" i="3" s="1"/>
  <c r="Y10" i="3"/>
  <c r="AM10" i="3" l="1"/>
  <c r="AH10" i="3" s="1"/>
  <c r="AG10" i="3" s="1"/>
  <c r="AH31" i="3"/>
  <c r="AG31" i="3" s="1"/>
  <c r="AH23" i="3"/>
  <c r="AG23" i="3" s="1"/>
  <c r="AH16" i="3"/>
  <c r="AG16" i="3" s="1"/>
  <c r="AH15" i="3"/>
  <c r="AG15" i="3" s="1"/>
  <c r="Z2" i="19"/>
  <c r="G391" i="3"/>
  <c r="G390" i="3"/>
  <c r="G389" i="3"/>
  <c r="G388" i="3"/>
  <c r="G387" i="3"/>
  <c r="Z1" i="19"/>
  <c r="W387" i="3" l="1"/>
  <c r="Q276" i="3"/>
  <c r="T387" i="3"/>
  <c r="R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U15" i="19"/>
  <c r="U16" i="19"/>
  <c r="U17" i="19"/>
  <c r="U18" i="19"/>
  <c r="U19" i="19"/>
  <c r="U20" i="19"/>
  <c r="AK20" i="19" s="1"/>
  <c r="U21" i="19"/>
  <c r="U22" i="19"/>
  <c r="U23" i="19"/>
  <c r="U24" i="19"/>
  <c r="AK24" i="19" s="1"/>
  <c r="U25" i="19"/>
  <c r="U26" i="19"/>
  <c r="U27" i="19"/>
  <c r="U28" i="19"/>
  <c r="AK28" i="19" s="1"/>
  <c r="U29" i="19"/>
  <c r="U30" i="19"/>
  <c r="U31" i="19"/>
  <c r="U32" i="19"/>
  <c r="AK32" i="19" s="1"/>
  <c r="U33" i="19"/>
  <c r="U34" i="19"/>
  <c r="U35" i="19"/>
  <c r="U36" i="19"/>
  <c r="AL36" i="19" s="1"/>
  <c r="U37" i="19"/>
  <c r="U38" i="19"/>
  <c r="U39" i="19"/>
  <c r="U40" i="19"/>
  <c r="AK40" i="19" s="1"/>
  <c r="U41" i="19"/>
  <c r="U42" i="19"/>
  <c r="U43" i="19"/>
  <c r="U44" i="19"/>
  <c r="U45" i="19"/>
  <c r="BG45" i="19" s="1"/>
  <c r="U46" i="19"/>
  <c r="U47" i="19"/>
  <c r="U48" i="19"/>
  <c r="AM48" i="19" s="1"/>
  <c r="U49" i="19"/>
  <c r="U50" i="19"/>
  <c r="U51" i="19"/>
  <c r="U52" i="19"/>
  <c r="U53" i="19"/>
  <c r="U54" i="19"/>
  <c r="U55" i="19"/>
  <c r="U56" i="19"/>
  <c r="AJ56" i="19" s="1"/>
  <c r="U57" i="19"/>
  <c r="U58" i="19"/>
  <c r="U59" i="19"/>
  <c r="U60" i="19"/>
  <c r="U61" i="19"/>
  <c r="U62" i="19"/>
  <c r="U63" i="19"/>
  <c r="U64" i="19"/>
  <c r="U65" i="19"/>
  <c r="U66" i="19"/>
  <c r="U67" i="19"/>
  <c r="U68" i="19"/>
  <c r="U69" i="19"/>
  <c r="AZ69" i="19" s="1"/>
  <c r="U70" i="19"/>
  <c r="U71" i="19"/>
  <c r="U72" i="19"/>
  <c r="AK72" i="19" s="1"/>
  <c r="U73" i="19"/>
  <c r="U74" i="19"/>
  <c r="U75" i="19"/>
  <c r="U76" i="19"/>
  <c r="AK76" i="19" s="1"/>
  <c r="U77" i="19"/>
  <c r="U78" i="19"/>
  <c r="U79" i="19"/>
  <c r="U80" i="19"/>
  <c r="AK80" i="19" s="1"/>
  <c r="U81" i="19"/>
  <c r="AO81" i="19" s="1"/>
  <c r="U82" i="19"/>
  <c r="U83" i="19"/>
  <c r="U84" i="19"/>
  <c r="U85" i="19"/>
  <c r="U86" i="19"/>
  <c r="U87" i="19"/>
  <c r="U88" i="19"/>
  <c r="AK88" i="19" s="1"/>
  <c r="U89" i="19"/>
  <c r="AZ89" i="19" s="1"/>
  <c r="U90" i="19"/>
  <c r="U91" i="19"/>
  <c r="U92" i="19"/>
  <c r="AK92" i="19" s="1"/>
  <c r="U93" i="19"/>
  <c r="U94" i="19"/>
  <c r="U95" i="19"/>
  <c r="U96" i="19"/>
  <c r="AK96" i="19" s="1"/>
  <c r="U97" i="19"/>
  <c r="AO97" i="19" s="1"/>
  <c r="U98" i="19"/>
  <c r="U99" i="19"/>
  <c r="U100" i="19"/>
  <c r="U101" i="19"/>
  <c r="U102" i="19"/>
  <c r="U103" i="19"/>
  <c r="U104" i="19"/>
  <c r="U105" i="19"/>
  <c r="BA105" i="19" s="1"/>
  <c r="U106" i="19"/>
  <c r="U107" i="19"/>
  <c r="U108" i="19"/>
  <c r="BA108" i="19" s="1"/>
  <c r="U109" i="19"/>
  <c r="U110" i="19"/>
  <c r="U111" i="19"/>
  <c r="U112" i="19"/>
  <c r="U113" i="19"/>
  <c r="U114" i="19"/>
  <c r="U115" i="19"/>
  <c r="U116" i="19"/>
  <c r="U117" i="19"/>
  <c r="U118" i="19"/>
  <c r="U119" i="19"/>
  <c r="U120" i="19"/>
  <c r="AZ120" i="19" s="1"/>
  <c r="U121" i="19"/>
  <c r="AJ121" i="19" s="1"/>
  <c r="U122" i="19"/>
  <c r="V14" i="19"/>
  <c r="V15" i="19"/>
  <c r="AH15" i="19" s="1"/>
  <c r="V16" i="19"/>
  <c r="BE16" i="19" s="1"/>
  <c r="V17" i="19"/>
  <c r="V18" i="19"/>
  <c r="V19" i="19"/>
  <c r="V20" i="19"/>
  <c r="V21" i="19"/>
  <c r="V22" i="19"/>
  <c r="V23" i="19"/>
  <c r="V24" i="19"/>
  <c r="V25" i="19"/>
  <c r="V26" i="19"/>
  <c r="V27" i="19"/>
  <c r="V28" i="19"/>
  <c r="V29" i="19"/>
  <c r="V30" i="19"/>
  <c r="V31" i="19"/>
  <c r="AF31" i="19" s="1"/>
  <c r="V32" i="19"/>
  <c r="V33" i="19"/>
  <c r="V34" i="19"/>
  <c r="V35" i="19"/>
  <c r="V36" i="19"/>
  <c r="V37" i="19"/>
  <c r="V38" i="19"/>
  <c r="V39" i="19"/>
  <c r="V40" i="19"/>
  <c r="V41" i="19"/>
  <c r="V42" i="19"/>
  <c r="V43" i="19"/>
  <c r="V44" i="19"/>
  <c r="V45" i="19"/>
  <c r="V46" i="19"/>
  <c r="V47" i="19"/>
  <c r="V48" i="19"/>
  <c r="AI48" i="19" s="1"/>
  <c r="V49" i="19"/>
  <c r="V50" i="19"/>
  <c r="V51" i="19"/>
  <c r="V52" i="19"/>
  <c r="V53" i="19"/>
  <c r="V54" i="19"/>
  <c r="V55" i="19"/>
  <c r="V56" i="19"/>
  <c r="V57" i="19"/>
  <c r="V58" i="19"/>
  <c r="V59" i="19"/>
  <c r="V60" i="19"/>
  <c r="AV60" i="19" s="1"/>
  <c r="V61" i="19"/>
  <c r="V62" i="19"/>
  <c r="V63" i="19"/>
  <c r="V64" i="19"/>
  <c r="V65" i="19"/>
  <c r="V66" i="19"/>
  <c r="V67" i="19"/>
  <c r="V68" i="19"/>
  <c r="V69" i="19"/>
  <c r="V70" i="19"/>
  <c r="V71" i="19"/>
  <c r="V72" i="19"/>
  <c r="V73" i="19"/>
  <c r="V74" i="19"/>
  <c r="V75" i="19"/>
  <c r="V76" i="19"/>
  <c r="V77" i="19"/>
  <c r="V78" i="19"/>
  <c r="V79" i="19"/>
  <c r="V80" i="19"/>
  <c r="V81" i="19"/>
  <c r="V82" i="19"/>
  <c r="V83" i="19"/>
  <c r="AG83" i="19" s="1"/>
  <c r="V84" i="19"/>
  <c r="AX84" i="19" s="1"/>
  <c r="V85" i="19"/>
  <c r="V86" i="19"/>
  <c r="V87" i="19"/>
  <c r="V88" i="19"/>
  <c r="V89" i="19"/>
  <c r="V90" i="19"/>
  <c r="V91" i="19"/>
  <c r="V92" i="19"/>
  <c r="V93" i="19"/>
  <c r="V94" i="19"/>
  <c r="V95" i="19"/>
  <c r="AL95" i="19" s="1"/>
  <c r="V96" i="19"/>
  <c r="AE96" i="19" s="1"/>
  <c r="V97" i="19"/>
  <c r="V98" i="19"/>
  <c r="V99" i="19"/>
  <c r="BG99" i="19" s="1"/>
  <c r="V100" i="19"/>
  <c r="AF100" i="19" s="1"/>
  <c r="V101" i="19"/>
  <c r="V102" i="19"/>
  <c r="V103" i="19"/>
  <c r="AG103" i="19" s="1"/>
  <c r="V104" i="19"/>
  <c r="V105" i="19"/>
  <c r="V106" i="19"/>
  <c r="V107" i="19"/>
  <c r="V108" i="19"/>
  <c r="V109" i="19"/>
  <c r="V110" i="19"/>
  <c r="V111" i="19"/>
  <c r="V112" i="19"/>
  <c r="V113" i="19"/>
  <c r="V114" i="19"/>
  <c r="V115" i="19"/>
  <c r="AD115" i="19" s="1"/>
  <c r="V116" i="19"/>
  <c r="AX116" i="19" s="1"/>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X46" i="19"/>
  <c r="X47" i="19"/>
  <c r="X48" i="19"/>
  <c r="X49" i="19"/>
  <c r="X50" i="19"/>
  <c r="X51" i="19"/>
  <c r="X52" i="19"/>
  <c r="X53" i="19"/>
  <c r="X54" i="19"/>
  <c r="X55" i="19"/>
  <c r="X56" i="19"/>
  <c r="X57" i="19"/>
  <c r="X58" i="19"/>
  <c r="X59" i="19"/>
  <c r="X60" i="19"/>
  <c r="X61" i="19"/>
  <c r="X62" i="19"/>
  <c r="X63" i="19"/>
  <c r="X64" i="19"/>
  <c r="X65" i="19"/>
  <c r="X66" i="19"/>
  <c r="X67" i="19"/>
  <c r="X68" i="19"/>
  <c r="X69" i="19"/>
  <c r="X70" i="19"/>
  <c r="X71" i="19"/>
  <c r="X72" i="19"/>
  <c r="X73" i="19"/>
  <c r="X74" i="19"/>
  <c r="X75" i="19"/>
  <c r="X76" i="19"/>
  <c r="X77" i="19"/>
  <c r="X78" i="19"/>
  <c r="X79" i="19"/>
  <c r="X80" i="19"/>
  <c r="X81" i="19"/>
  <c r="X82" i="19"/>
  <c r="X83" i="19"/>
  <c r="X84" i="19"/>
  <c r="X85" i="19"/>
  <c r="X86" i="19"/>
  <c r="X87" i="19"/>
  <c r="X88" i="19"/>
  <c r="X89" i="19"/>
  <c r="X90" i="19"/>
  <c r="X91" i="19"/>
  <c r="X92" i="19"/>
  <c r="X93" i="19"/>
  <c r="X94" i="19"/>
  <c r="X95" i="19"/>
  <c r="X96" i="19"/>
  <c r="X97" i="19"/>
  <c r="X98" i="19"/>
  <c r="X99" i="19"/>
  <c r="X100" i="19"/>
  <c r="X101" i="19"/>
  <c r="X102" i="19"/>
  <c r="X103" i="19"/>
  <c r="X104" i="19"/>
  <c r="X105" i="19"/>
  <c r="X106" i="19"/>
  <c r="X107" i="19"/>
  <c r="X108" i="19"/>
  <c r="X109" i="19"/>
  <c r="X110" i="19"/>
  <c r="X111" i="19"/>
  <c r="X112" i="19"/>
  <c r="X113" i="19"/>
  <c r="X114" i="19"/>
  <c r="X115" i="19"/>
  <c r="X118" i="19"/>
  <c r="X119" i="19"/>
  <c r="X120" i="19"/>
  <c r="X121" i="19"/>
  <c r="X122" i="19"/>
  <c r="Y14" i="19"/>
  <c r="Y15" i="19"/>
  <c r="Y16" i="19"/>
  <c r="Y17" i="19"/>
  <c r="Y18" i="19"/>
  <c r="Z18" i="19" s="1"/>
  <c r="Y30" i="19"/>
  <c r="Y45" i="19"/>
  <c r="Y46" i="19"/>
  <c r="Y47" i="19"/>
  <c r="Z47" i="19" s="1"/>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Y84" i="19"/>
  <c r="Z84" i="19" s="1"/>
  <c r="Y85" i="19"/>
  <c r="Y86" i="19"/>
  <c r="Z86" i="19" s="1"/>
  <c r="Y87" i="19"/>
  <c r="Z87" i="19" s="1"/>
  <c r="Y88" i="19"/>
  <c r="Z88" i="19" s="1"/>
  <c r="Y89" i="19"/>
  <c r="Z89" i="19" s="1"/>
  <c r="Y90" i="19"/>
  <c r="Y91" i="19"/>
  <c r="Y92" i="19"/>
  <c r="Y93" i="19"/>
  <c r="Y94" i="19"/>
  <c r="Y95" i="19"/>
  <c r="Y96" i="19"/>
  <c r="Y97" i="19"/>
  <c r="Y98" i="19"/>
  <c r="Y99" i="19"/>
  <c r="Y100" i="19"/>
  <c r="Y101" i="19"/>
  <c r="Y102" i="19"/>
  <c r="Y103" i="19"/>
  <c r="Z103" i="19" s="1"/>
  <c r="Y104" i="19"/>
  <c r="Y105" i="19"/>
  <c r="Y106" i="19"/>
  <c r="Y107" i="19"/>
  <c r="Y108" i="19"/>
  <c r="Y109" i="19"/>
  <c r="Y110" i="19"/>
  <c r="Y111" i="19"/>
  <c r="Y112" i="19"/>
  <c r="Y113" i="19"/>
  <c r="Y114" i="19"/>
  <c r="Y115" i="19"/>
  <c r="Z115" i="19" s="1"/>
  <c r="AF115" i="19" s="1"/>
  <c r="Y116" i="19"/>
  <c r="Z116" i="19" s="1"/>
  <c r="Y117" i="19"/>
  <c r="Z117" i="19" s="1"/>
  <c r="Y118" i="19"/>
  <c r="Z118" i="19" s="1"/>
  <c r="Y119" i="19"/>
  <c r="Z119" i="19" s="1"/>
  <c r="Y120" i="19"/>
  <c r="Y121" i="19"/>
  <c r="Y122" i="19"/>
  <c r="Z14" i="19"/>
  <c r="AG14" i="19" s="1"/>
  <c r="Z15" i="19"/>
  <c r="Z16" i="19"/>
  <c r="AP16" i="19" s="1"/>
  <c r="Z17" i="19"/>
  <c r="AF17" i="19" s="1"/>
  <c r="Z30" i="19"/>
  <c r="AG30" i="19" s="1"/>
  <c r="Z31" i="19"/>
  <c r="AG31" i="19" s="1"/>
  <c r="Z45" i="19"/>
  <c r="AF45" i="19" s="1"/>
  <c r="Z46" i="19"/>
  <c r="AG46" i="19" s="1"/>
  <c r="Z48" i="19"/>
  <c r="Z60" i="19"/>
  <c r="Z61" i="19"/>
  <c r="Z81" i="19"/>
  <c r="Z82" i="19"/>
  <c r="AG82" i="19" s="1"/>
  <c r="Z85" i="19"/>
  <c r="AF85" i="19" s="1"/>
  <c r="Z97" i="19"/>
  <c r="AP97" i="19" s="1"/>
  <c r="Z98" i="19"/>
  <c r="AG98" i="19" s="1"/>
  <c r="Z99" i="19"/>
  <c r="Z100" i="19"/>
  <c r="Z101" i="19"/>
  <c r="AP101" i="19" s="1"/>
  <c r="Z102" i="19"/>
  <c r="AG102" i="19" s="1"/>
  <c r="Z121" i="19"/>
  <c r="Z122" i="19"/>
  <c r="AA14" i="19"/>
  <c r="AD14" i="19" s="1"/>
  <c r="AA15" i="19"/>
  <c r="AA16" i="19"/>
  <c r="AE16" i="19" s="1"/>
  <c r="AA17" i="19"/>
  <c r="AD17" i="19" s="1"/>
  <c r="AA18" i="19"/>
  <c r="AD18" i="19" s="1"/>
  <c r="AA19" i="19"/>
  <c r="AA20" i="19"/>
  <c r="AE20" i="19" s="1"/>
  <c r="AA21" i="19"/>
  <c r="AD21" i="19" s="1"/>
  <c r="AA22" i="19"/>
  <c r="AD22" i="19" s="1"/>
  <c r="AA23" i="19"/>
  <c r="AA24" i="19"/>
  <c r="AE24" i="19" s="1"/>
  <c r="AA25" i="19"/>
  <c r="AD25" i="19" s="1"/>
  <c r="AA26" i="19"/>
  <c r="AD26" i="19" s="1"/>
  <c r="AA27" i="19"/>
  <c r="AA28" i="19"/>
  <c r="AE28" i="19" s="1"/>
  <c r="AA29" i="19"/>
  <c r="AD29" i="19" s="1"/>
  <c r="AA30" i="19"/>
  <c r="AD30" i="19" s="1"/>
  <c r="AA31" i="19"/>
  <c r="AA32" i="19"/>
  <c r="AE32" i="19" s="1"/>
  <c r="AA33" i="19"/>
  <c r="AD33" i="19" s="1"/>
  <c r="AA34" i="19"/>
  <c r="AD34" i="19" s="1"/>
  <c r="AA35" i="19"/>
  <c r="AA36" i="19"/>
  <c r="AE36" i="19" s="1"/>
  <c r="AA37" i="19"/>
  <c r="AD37" i="19" s="1"/>
  <c r="AA38" i="19"/>
  <c r="AD38" i="19" s="1"/>
  <c r="AA39" i="19"/>
  <c r="AA40" i="19"/>
  <c r="AA41" i="19"/>
  <c r="AA42" i="19"/>
  <c r="AA43" i="19"/>
  <c r="AA44" i="19"/>
  <c r="AA45" i="19"/>
  <c r="AD45" i="19" s="1"/>
  <c r="AA46" i="19"/>
  <c r="AD46" i="19" s="1"/>
  <c r="AA47" i="19"/>
  <c r="AA48" i="19"/>
  <c r="AA49" i="19"/>
  <c r="AA50" i="19"/>
  <c r="AA51" i="19"/>
  <c r="AA52" i="19"/>
  <c r="AA53" i="19"/>
  <c r="AA54" i="19"/>
  <c r="AA55" i="19"/>
  <c r="AA56" i="19"/>
  <c r="AA57" i="19"/>
  <c r="AA58" i="19"/>
  <c r="AA59" i="19"/>
  <c r="AA60" i="19"/>
  <c r="AA61" i="19"/>
  <c r="AD61" i="19" s="1"/>
  <c r="AA62" i="19"/>
  <c r="AD62" i="19" s="1"/>
  <c r="AA63" i="19"/>
  <c r="AA64" i="19"/>
  <c r="AA65" i="19"/>
  <c r="AD65" i="19" s="1"/>
  <c r="AA66" i="19"/>
  <c r="AD66" i="19" s="1"/>
  <c r="AA67" i="19"/>
  <c r="AA68" i="19"/>
  <c r="AA69" i="19"/>
  <c r="AA70" i="19"/>
  <c r="AA71" i="19"/>
  <c r="AA72" i="19"/>
  <c r="AA73" i="19"/>
  <c r="AA74" i="19"/>
  <c r="AA75" i="19"/>
  <c r="AA76" i="19"/>
  <c r="AA77" i="19"/>
  <c r="AA78" i="19"/>
  <c r="AA79" i="19"/>
  <c r="AA80" i="19"/>
  <c r="AA81" i="19"/>
  <c r="AD81" i="19" s="1"/>
  <c r="AA82" i="19"/>
  <c r="AD82" i="19" s="1"/>
  <c r="AA83" i="19"/>
  <c r="AA84" i="19"/>
  <c r="AA85" i="19"/>
  <c r="AD85" i="19" s="1"/>
  <c r="AA86" i="19"/>
  <c r="AA87" i="19"/>
  <c r="AA88" i="19"/>
  <c r="AA89" i="19"/>
  <c r="AA90" i="19"/>
  <c r="AA91" i="19"/>
  <c r="AA92" i="19"/>
  <c r="AA93" i="19"/>
  <c r="AA94" i="19"/>
  <c r="AA95" i="19"/>
  <c r="AA96" i="19"/>
  <c r="AA97" i="19"/>
  <c r="AD97" i="19" s="1"/>
  <c r="AA98" i="19"/>
  <c r="AD98" i="19" s="1"/>
  <c r="AA99" i="19"/>
  <c r="AA100" i="19"/>
  <c r="AA101" i="19"/>
  <c r="AD101" i="19" s="1"/>
  <c r="AA102" i="19"/>
  <c r="AD102" i="19" s="1"/>
  <c r="AA103" i="19"/>
  <c r="AA104" i="19"/>
  <c r="AA105" i="19"/>
  <c r="AA106" i="19"/>
  <c r="AA107" i="19"/>
  <c r="AA108" i="19"/>
  <c r="AA109" i="19"/>
  <c r="AA110" i="19"/>
  <c r="AA111" i="19"/>
  <c r="AA112" i="19"/>
  <c r="AA113" i="19"/>
  <c r="AU113" i="19" s="1"/>
  <c r="AA114" i="19"/>
  <c r="AD114" i="19" s="1"/>
  <c r="AA115" i="19"/>
  <c r="AA116" i="19"/>
  <c r="AA117" i="19"/>
  <c r="AA118" i="19"/>
  <c r="AA119" i="19"/>
  <c r="AA120" i="19"/>
  <c r="AA121" i="19"/>
  <c r="AA122"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AC45" i="19"/>
  <c r="AC46" i="19"/>
  <c r="AC47" i="19"/>
  <c r="AC48" i="19"/>
  <c r="AC49" i="19"/>
  <c r="AC50" i="19"/>
  <c r="AC51" i="19"/>
  <c r="AC52" i="19"/>
  <c r="AC53" i="19"/>
  <c r="AC54" i="19"/>
  <c r="AC55" i="19"/>
  <c r="AC56" i="19"/>
  <c r="AC57" i="19"/>
  <c r="AC58" i="19"/>
  <c r="AC59" i="19"/>
  <c r="AC60" i="19"/>
  <c r="AC61" i="19"/>
  <c r="AC62" i="19"/>
  <c r="AC63" i="19"/>
  <c r="AC64" i="19"/>
  <c r="AC65" i="19"/>
  <c r="AC66"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8" i="19"/>
  <c r="AC119" i="19"/>
  <c r="AC120" i="19"/>
  <c r="AC121" i="19"/>
  <c r="AC122" i="19"/>
  <c r="AD15" i="19"/>
  <c r="AD16" i="19"/>
  <c r="AD19" i="19"/>
  <c r="AD20" i="19"/>
  <c r="AD23" i="19"/>
  <c r="AD24" i="19"/>
  <c r="AD27" i="19"/>
  <c r="AD28" i="19"/>
  <c r="AD31" i="19"/>
  <c r="AD32" i="19"/>
  <c r="AD35" i="19"/>
  <c r="AD36" i="19"/>
  <c r="AD39" i="19"/>
  <c r="AD40" i="19"/>
  <c r="AD47" i="19"/>
  <c r="AD48" i="19"/>
  <c r="AD60" i="19"/>
  <c r="AD63" i="19"/>
  <c r="AD64" i="19"/>
  <c r="AD67" i="19"/>
  <c r="AD68" i="19"/>
  <c r="AD83" i="19"/>
  <c r="AD84" i="19"/>
  <c r="AD95" i="19"/>
  <c r="AD96" i="19"/>
  <c r="AD99" i="19"/>
  <c r="AD100" i="19"/>
  <c r="AD103" i="19"/>
  <c r="AD104" i="19"/>
  <c r="AE15" i="19"/>
  <c r="AE19" i="19"/>
  <c r="AE23" i="19"/>
  <c r="AE27" i="19"/>
  <c r="AE31" i="19"/>
  <c r="AE35" i="19"/>
  <c r="AE39" i="19"/>
  <c r="AE47" i="19"/>
  <c r="AE60" i="19"/>
  <c r="AE63" i="19"/>
  <c r="AE64" i="19"/>
  <c r="AE67" i="19"/>
  <c r="AE83" i="19"/>
  <c r="AE84" i="19"/>
  <c r="AE95" i="19"/>
  <c r="AE99" i="19"/>
  <c r="AE100" i="19"/>
  <c r="AE103" i="19"/>
  <c r="AE114" i="19"/>
  <c r="AE115" i="19"/>
  <c r="AF14" i="19"/>
  <c r="AF30" i="19"/>
  <c r="AF46" i="19"/>
  <c r="AF61" i="19"/>
  <c r="AF81" i="19"/>
  <c r="AF82" i="19"/>
  <c r="AF99" i="19"/>
  <c r="AF116" i="19"/>
  <c r="AG15" i="19"/>
  <c r="AG16" i="19"/>
  <c r="AG17" i="19"/>
  <c r="AG61" i="19"/>
  <c r="AG81" i="19"/>
  <c r="AG97" i="19"/>
  <c r="AG99" i="19"/>
  <c r="AG115" i="19"/>
  <c r="AH46" i="19"/>
  <c r="AH99" i="19"/>
  <c r="AH115" i="19"/>
  <c r="AH116" i="19"/>
  <c r="AI45" i="19"/>
  <c r="AI81" i="19"/>
  <c r="AI82" i="19"/>
  <c r="AI101" i="19"/>
  <c r="AI102" i="19"/>
  <c r="AI115" i="19"/>
  <c r="AJ14" i="19"/>
  <c r="AJ15" i="19"/>
  <c r="AJ16" i="19"/>
  <c r="AJ18" i="19"/>
  <c r="AJ19" i="19"/>
  <c r="AJ20" i="19"/>
  <c r="AJ22" i="19"/>
  <c r="AJ23" i="19"/>
  <c r="AJ26" i="19"/>
  <c r="AJ27" i="19"/>
  <c r="AJ30" i="19"/>
  <c r="AJ31" i="19"/>
  <c r="AJ32" i="19"/>
  <c r="AJ34" i="19"/>
  <c r="AJ35" i="19"/>
  <c r="AJ36" i="19"/>
  <c r="AJ38" i="19"/>
  <c r="AJ39" i="19"/>
  <c r="AJ42" i="19"/>
  <c r="AJ43" i="19"/>
  <c r="AJ46" i="19"/>
  <c r="AJ47" i="19"/>
  <c r="AJ48" i="19"/>
  <c r="AJ50" i="19"/>
  <c r="AJ51" i="19"/>
  <c r="AJ52" i="19"/>
  <c r="AJ54" i="19"/>
  <c r="AJ55" i="19"/>
  <c r="AJ58" i="19"/>
  <c r="AJ59" i="19"/>
  <c r="AJ62" i="19"/>
  <c r="AJ63" i="19"/>
  <c r="AJ64" i="19"/>
  <c r="AJ66" i="19"/>
  <c r="AJ67" i="19"/>
  <c r="AJ68" i="19"/>
  <c r="AJ70" i="19"/>
  <c r="AJ71" i="19"/>
  <c r="AJ74" i="19"/>
  <c r="AJ75" i="19"/>
  <c r="AJ78" i="19"/>
  <c r="AJ79" i="19"/>
  <c r="AJ80" i="19"/>
  <c r="AJ82" i="19"/>
  <c r="AJ83" i="19"/>
  <c r="AJ84" i="19"/>
  <c r="AJ86" i="19"/>
  <c r="AJ87" i="19"/>
  <c r="AJ90" i="19"/>
  <c r="AJ91" i="19"/>
  <c r="AJ94" i="19"/>
  <c r="AJ95" i="19"/>
  <c r="AJ96" i="19"/>
  <c r="AJ98" i="19"/>
  <c r="AJ99" i="19"/>
  <c r="AJ100" i="19"/>
  <c r="AJ102" i="19"/>
  <c r="AJ103" i="19"/>
  <c r="AJ106" i="19"/>
  <c r="AJ107" i="19"/>
  <c r="AJ110" i="19"/>
  <c r="AJ111" i="19"/>
  <c r="AJ112" i="19"/>
  <c r="AJ114" i="19"/>
  <c r="AJ115" i="19"/>
  <c r="AJ116" i="19"/>
  <c r="AJ118" i="19"/>
  <c r="AJ119" i="19"/>
  <c r="AJ122" i="19"/>
  <c r="AK14" i="19"/>
  <c r="AK15" i="19"/>
  <c r="AK18" i="19"/>
  <c r="AK19" i="19"/>
  <c r="AK22" i="19"/>
  <c r="AK23" i="19"/>
  <c r="AK26" i="19"/>
  <c r="AK27" i="19"/>
  <c r="AK30" i="19"/>
  <c r="AK31" i="19"/>
  <c r="AK34" i="19"/>
  <c r="AK35" i="19"/>
  <c r="AK38" i="19"/>
  <c r="AK39" i="19"/>
  <c r="AK42" i="19"/>
  <c r="AK43" i="19"/>
  <c r="AK46" i="19"/>
  <c r="AK47" i="19"/>
  <c r="AK50" i="19"/>
  <c r="AK51" i="19"/>
  <c r="AK54" i="19"/>
  <c r="AK55" i="19"/>
  <c r="AK58" i="19"/>
  <c r="AK59" i="19"/>
  <c r="AK62" i="19"/>
  <c r="AK63" i="19"/>
  <c r="AK66" i="19"/>
  <c r="AK67" i="19"/>
  <c r="AK70" i="19"/>
  <c r="AK71" i="19"/>
  <c r="AK74" i="19"/>
  <c r="AK75" i="19"/>
  <c r="AK78" i="19"/>
  <c r="AK79" i="19"/>
  <c r="AK82" i="19"/>
  <c r="AK83" i="19"/>
  <c r="AK86" i="19"/>
  <c r="AK87" i="19"/>
  <c r="AK90" i="19"/>
  <c r="AK91" i="19"/>
  <c r="AK94" i="19"/>
  <c r="AK95" i="19"/>
  <c r="AK98" i="19"/>
  <c r="AK99" i="19"/>
  <c r="AK102" i="19"/>
  <c r="AK103" i="19"/>
  <c r="AK106" i="19"/>
  <c r="AK107" i="19"/>
  <c r="AK110" i="19"/>
  <c r="AK111" i="19"/>
  <c r="AK114" i="19"/>
  <c r="AK115" i="19"/>
  <c r="AK118" i="19"/>
  <c r="AK119" i="19"/>
  <c r="AK122" i="19"/>
  <c r="AL15" i="19"/>
  <c r="AL16" i="19"/>
  <c r="AL19" i="19"/>
  <c r="AL23" i="19"/>
  <c r="AL27" i="19"/>
  <c r="AL28" i="19"/>
  <c r="AL30" i="19"/>
  <c r="AL31" i="19"/>
  <c r="AL32" i="19"/>
  <c r="AL35" i="19"/>
  <c r="AL39" i="19"/>
  <c r="AL47" i="19"/>
  <c r="AL48" i="19"/>
  <c r="AL63" i="19"/>
  <c r="AL66" i="19"/>
  <c r="AL67" i="19"/>
  <c r="AL83" i="19"/>
  <c r="AL98" i="19"/>
  <c r="AL99" i="19"/>
  <c r="AL103" i="19"/>
  <c r="AL114" i="19"/>
  <c r="AM15" i="19"/>
  <c r="AM19" i="19"/>
  <c r="AM20" i="19"/>
  <c r="AM23" i="19"/>
  <c r="AM24" i="19"/>
  <c r="AM27" i="19"/>
  <c r="AM31" i="19"/>
  <c r="AM35" i="19"/>
  <c r="AM36" i="19"/>
  <c r="AM38" i="19"/>
  <c r="AM39" i="19"/>
  <c r="AM40" i="19"/>
  <c r="AM47" i="19"/>
  <c r="AM63" i="19"/>
  <c r="AM67" i="19"/>
  <c r="AM83" i="19"/>
  <c r="AM99" i="19"/>
  <c r="AM103" i="19"/>
  <c r="AM114" i="19"/>
  <c r="AN14" i="19"/>
  <c r="AN15" i="19"/>
  <c r="AN16" i="19"/>
  <c r="AN17" i="19"/>
  <c r="AN30" i="19"/>
  <c r="AN31" i="19"/>
  <c r="AN46" i="19"/>
  <c r="AN82" i="19"/>
  <c r="AN83" i="19"/>
  <c r="AN98" i="19"/>
  <c r="AN99" i="19"/>
  <c r="AN102" i="19"/>
  <c r="AN103" i="19"/>
  <c r="AN115" i="19"/>
  <c r="AO14" i="19"/>
  <c r="AO15" i="19"/>
  <c r="AO30" i="19"/>
  <c r="AO31" i="19"/>
  <c r="AO46" i="19"/>
  <c r="AO82" i="19"/>
  <c r="AO83" i="19"/>
  <c r="AO98" i="19"/>
  <c r="AO99" i="19"/>
  <c r="AO102" i="19"/>
  <c r="AO103" i="19"/>
  <c r="AO115" i="19"/>
  <c r="AP30" i="19"/>
  <c r="AP83" i="19"/>
  <c r="AP85" i="19"/>
  <c r="AP103" i="19"/>
  <c r="AQ15" i="19"/>
  <c r="AQ46" i="19"/>
  <c r="AQ99" i="19"/>
  <c r="AQ115" i="19"/>
  <c r="AR14" i="19"/>
  <c r="AR15" i="19"/>
  <c r="AR16" i="19"/>
  <c r="AR17" i="19"/>
  <c r="AR18" i="19"/>
  <c r="AR19" i="19"/>
  <c r="AR20" i="19"/>
  <c r="AR21" i="19"/>
  <c r="AR22" i="19"/>
  <c r="AR23" i="19"/>
  <c r="AR24" i="19"/>
  <c r="AR25" i="19"/>
  <c r="AR26" i="19"/>
  <c r="AR27" i="19"/>
  <c r="AR28" i="19"/>
  <c r="AR29" i="19"/>
  <c r="AR30" i="19"/>
  <c r="AR31" i="19"/>
  <c r="AR32" i="19"/>
  <c r="AR35" i="19"/>
  <c r="AR36" i="19"/>
  <c r="AR39" i="19"/>
  <c r="AR40" i="19"/>
  <c r="AR43" i="19"/>
  <c r="AR44" i="19"/>
  <c r="AR45" i="19"/>
  <c r="AR46" i="19"/>
  <c r="AR47" i="19"/>
  <c r="AR48" i="19"/>
  <c r="AR49" i="19"/>
  <c r="AR50" i="19"/>
  <c r="AR51" i="19"/>
  <c r="AR52" i="19"/>
  <c r="AR53" i="19"/>
  <c r="AR54" i="19"/>
  <c r="AR55" i="19"/>
  <c r="AR56" i="19"/>
  <c r="AR57" i="19"/>
  <c r="AR58" i="19"/>
  <c r="AR59" i="19"/>
  <c r="AR60" i="19"/>
  <c r="AR61" i="19"/>
  <c r="AR62"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9" i="19"/>
  <c r="AR100" i="19"/>
  <c r="AR104" i="19"/>
  <c r="AR105" i="19"/>
  <c r="AR106" i="19"/>
  <c r="AR107" i="19"/>
  <c r="AR108" i="19"/>
  <c r="AR109" i="19"/>
  <c r="AR110" i="19"/>
  <c r="AR111" i="19"/>
  <c r="AR112" i="19"/>
  <c r="AR113" i="19"/>
  <c r="AR114" i="19"/>
  <c r="AR115" i="19"/>
  <c r="AR116" i="19"/>
  <c r="AR120" i="19"/>
  <c r="AR121" i="19"/>
  <c r="AR122" i="19"/>
  <c r="AS14" i="19"/>
  <c r="AS15" i="19"/>
  <c r="AS16" i="19"/>
  <c r="AS17" i="19"/>
  <c r="AS18" i="19"/>
  <c r="AS19" i="19"/>
  <c r="AS20" i="19"/>
  <c r="AS21" i="19"/>
  <c r="AS22" i="19"/>
  <c r="AS23" i="19"/>
  <c r="AS24" i="19"/>
  <c r="AS25" i="19"/>
  <c r="AS26" i="19"/>
  <c r="AS27" i="19"/>
  <c r="AS28" i="19"/>
  <c r="AS29" i="19"/>
  <c r="AS30" i="19"/>
  <c r="AS31" i="19"/>
  <c r="AS32" i="19"/>
  <c r="AS35" i="19"/>
  <c r="AS36" i="19"/>
  <c r="AS39" i="19"/>
  <c r="AS40" i="19"/>
  <c r="AS43" i="19"/>
  <c r="AS44" i="19"/>
  <c r="AS45" i="19"/>
  <c r="AS46" i="19"/>
  <c r="AS47" i="19"/>
  <c r="AS48" i="19"/>
  <c r="AS49" i="19"/>
  <c r="AS50" i="19"/>
  <c r="AS51" i="19"/>
  <c r="AS52" i="19"/>
  <c r="AS53" i="19"/>
  <c r="AS54" i="19"/>
  <c r="AS55" i="19"/>
  <c r="AS56" i="19"/>
  <c r="AS57" i="19"/>
  <c r="AS58" i="19"/>
  <c r="AS59" i="19"/>
  <c r="AS60" i="19"/>
  <c r="AS61" i="19"/>
  <c r="AS62"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9" i="19"/>
  <c r="AS100" i="19"/>
  <c r="AS104" i="19"/>
  <c r="AS105" i="19"/>
  <c r="AS106" i="19"/>
  <c r="AS107" i="19"/>
  <c r="AS108" i="19"/>
  <c r="AS109" i="19"/>
  <c r="AS110" i="19"/>
  <c r="AS111" i="19"/>
  <c r="AS112" i="19"/>
  <c r="AS113" i="19"/>
  <c r="AS114" i="19"/>
  <c r="AS115" i="19"/>
  <c r="AS120" i="19"/>
  <c r="AS121" i="19"/>
  <c r="AS122" i="19"/>
  <c r="AT14" i="19"/>
  <c r="AT15" i="19"/>
  <c r="AT16" i="19"/>
  <c r="AT17" i="19"/>
  <c r="AT18" i="19"/>
  <c r="AT19" i="19"/>
  <c r="AT20" i="19"/>
  <c r="AT21" i="19"/>
  <c r="AT22" i="19"/>
  <c r="AT23" i="19"/>
  <c r="AT24" i="19"/>
  <c r="AT25" i="19"/>
  <c r="AT26" i="19"/>
  <c r="AT27" i="19"/>
  <c r="AT28" i="19"/>
  <c r="AT29" i="19"/>
  <c r="AT30" i="19"/>
  <c r="AT31" i="19"/>
  <c r="AT32" i="19"/>
  <c r="AT35" i="19"/>
  <c r="AT36" i="19"/>
  <c r="AT39" i="19"/>
  <c r="AT40" i="19"/>
  <c r="AT45" i="19"/>
  <c r="AT46" i="19"/>
  <c r="AT47" i="19"/>
  <c r="AT48" i="19"/>
  <c r="AT60" i="19"/>
  <c r="AT61" i="19"/>
  <c r="AT67" i="19"/>
  <c r="AT68" i="19"/>
  <c r="AT83" i="19"/>
  <c r="AT84" i="19"/>
  <c r="AT95" i="19"/>
  <c r="AT99" i="19"/>
  <c r="AT100" i="19"/>
  <c r="AT104" i="19"/>
  <c r="AT113" i="19"/>
  <c r="AT114" i="19"/>
  <c r="AT115" i="19"/>
  <c r="AT116" i="19"/>
  <c r="AU15" i="19"/>
  <c r="AU16" i="19"/>
  <c r="AU19" i="19"/>
  <c r="AU20" i="19"/>
  <c r="AU23" i="19"/>
  <c r="AU24" i="19"/>
  <c r="AU27" i="19"/>
  <c r="AU28" i="19"/>
  <c r="AU31" i="19"/>
  <c r="AU32" i="19"/>
  <c r="AU35" i="19"/>
  <c r="AU36" i="19"/>
  <c r="AU39" i="19"/>
  <c r="AU40" i="19"/>
  <c r="AU47" i="19"/>
  <c r="AU48" i="19"/>
  <c r="AU60" i="19"/>
  <c r="AU61" i="19"/>
  <c r="AU62" i="19"/>
  <c r="AU67" i="19"/>
  <c r="AU68" i="19"/>
  <c r="AU83" i="19"/>
  <c r="AU84" i="19"/>
  <c r="AU95" i="19"/>
  <c r="AU99" i="19"/>
  <c r="AU100" i="19"/>
  <c r="AU104" i="19"/>
  <c r="AU115" i="19"/>
  <c r="AV14" i="19"/>
  <c r="AV17" i="19"/>
  <c r="AV30" i="19"/>
  <c r="AV45" i="19"/>
  <c r="AV46" i="19"/>
  <c r="AV48" i="19"/>
  <c r="AV61" i="19"/>
  <c r="AV81" i="19"/>
  <c r="AV82" i="19"/>
  <c r="AV99" i="19"/>
  <c r="AV100" i="19"/>
  <c r="AV115" i="19"/>
  <c r="AV116" i="19"/>
  <c r="AW14" i="19"/>
  <c r="AW15" i="19"/>
  <c r="AW30" i="19"/>
  <c r="AW46" i="19"/>
  <c r="AW61" i="19"/>
  <c r="AW81" i="19"/>
  <c r="AW85" i="19"/>
  <c r="AW99" i="19"/>
  <c r="AW115" i="19"/>
  <c r="AX15" i="19"/>
  <c r="AX45" i="19"/>
  <c r="AX46" i="19"/>
  <c r="AX83" i="19"/>
  <c r="AX115" i="19"/>
  <c r="AY15" i="19"/>
  <c r="AY16" i="19"/>
  <c r="AY30" i="19"/>
  <c r="AY48" i="19"/>
  <c r="AY61" i="19"/>
  <c r="AY81" i="19"/>
  <c r="AY83" i="19"/>
  <c r="AY85" i="19"/>
  <c r="AY99" i="19"/>
  <c r="AY100" i="19"/>
  <c r="AZ14" i="19"/>
  <c r="AZ15" i="19"/>
  <c r="AZ18" i="19"/>
  <c r="AZ19" i="19"/>
  <c r="AZ22" i="19"/>
  <c r="AZ23" i="19"/>
  <c r="AZ26" i="19"/>
  <c r="AZ27" i="19"/>
  <c r="AZ30" i="19"/>
  <c r="AZ31" i="19"/>
  <c r="AZ35" i="19"/>
  <c r="AZ39" i="19"/>
  <c r="AZ43" i="19"/>
  <c r="AZ46" i="19"/>
  <c r="AZ47" i="19"/>
  <c r="AZ50" i="19"/>
  <c r="AZ51" i="19"/>
  <c r="AZ54" i="19"/>
  <c r="AZ55" i="19"/>
  <c r="AZ58" i="19"/>
  <c r="AZ59" i="19"/>
  <c r="AZ60" i="19"/>
  <c r="AZ62" i="19"/>
  <c r="AZ66" i="19"/>
  <c r="AZ67" i="19"/>
  <c r="AZ70" i="19"/>
  <c r="AZ71" i="19"/>
  <c r="AZ74" i="19"/>
  <c r="AZ75" i="19"/>
  <c r="AZ78" i="19"/>
  <c r="AZ79" i="19"/>
  <c r="AZ82" i="19"/>
  <c r="AZ83" i="19"/>
  <c r="AZ86" i="19"/>
  <c r="AZ87" i="19"/>
  <c r="AZ90" i="19"/>
  <c r="AZ91" i="19"/>
  <c r="AZ94" i="19"/>
  <c r="AZ95" i="19"/>
  <c r="AZ99" i="19"/>
  <c r="AZ100" i="19"/>
  <c r="AZ105" i="19"/>
  <c r="AZ106" i="19"/>
  <c r="AZ107" i="19"/>
  <c r="AZ110" i="19"/>
  <c r="AZ111" i="19"/>
  <c r="AZ114" i="19"/>
  <c r="AZ115" i="19"/>
  <c r="AZ122" i="19"/>
  <c r="BA14" i="19"/>
  <c r="BA15" i="19"/>
  <c r="BA18" i="19"/>
  <c r="BA19" i="19"/>
  <c r="BA22" i="19"/>
  <c r="BA23" i="19"/>
  <c r="BA26" i="19"/>
  <c r="BA27" i="19"/>
  <c r="BA30" i="19"/>
  <c r="BA31" i="19"/>
  <c r="BA35" i="19"/>
  <c r="BA39" i="19"/>
  <c r="BA43" i="19"/>
  <c r="BA46" i="19"/>
  <c r="BA47" i="19"/>
  <c r="BA50" i="19"/>
  <c r="BA51" i="19"/>
  <c r="BA54" i="19"/>
  <c r="BA55" i="19"/>
  <c r="BA57" i="19"/>
  <c r="BA58" i="19"/>
  <c r="BA59" i="19"/>
  <c r="BA62" i="19"/>
  <c r="BA66" i="19"/>
  <c r="BA67" i="19"/>
  <c r="BA68" i="19"/>
  <c r="BA70" i="19"/>
  <c r="BA71" i="19"/>
  <c r="BA72" i="19"/>
  <c r="BA74" i="19"/>
  <c r="BA75" i="19"/>
  <c r="BA76" i="19"/>
  <c r="BA78" i="19"/>
  <c r="BA79" i="19"/>
  <c r="BA80" i="19"/>
  <c r="BA82" i="19"/>
  <c r="BA83" i="19"/>
  <c r="BA84" i="19"/>
  <c r="BA86" i="19"/>
  <c r="BA87" i="19"/>
  <c r="BA88" i="19"/>
  <c r="BA90" i="19"/>
  <c r="BA91" i="19"/>
  <c r="BA92" i="19"/>
  <c r="BA94" i="19"/>
  <c r="BA95" i="19"/>
  <c r="BA96" i="19"/>
  <c r="BA99" i="19"/>
  <c r="BA106" i="19"/>
  <c r="BA107" i="19"/>
  <c r="BA110" i="19"/>
  <c r="BA111" i="19"/>
  <c r="BA114" i="19"/>
  <c r="BA115" i="19"/>
  <c r="BA122" i="19"/>
  <c r="BB15" i="19"/>
  <c r="BB16" i="19"/>
  <c r="BB19" i="19"/>
  <c r="BB20" i="19"/>
  <c r="BB23" i="19"/>
  <c r="BB24" i="19"/>
  <c r="BB27" i="19"/>
  <c r="BB28" i="19"/>
  <c r="BB31" i="19"/>
  <c r="BB32" i="19"/>
  <c r="BB35" i="19"/>
  <c r="BB39" i="19"/>
  <c r="BB47" i="19"/>
  <c r="BB60" i="19"/>
  <c r="BB67" i="19"/>
  <c r="BB68" i="19"/>
  <c r="BB83" i="19"/>
  <c r="BB84" i="19"/>
  <c r="BB99" i="19"/>
  <c r="BB104" i="19"/>
  <c r="BB113" i="19"/>
  <c r="BB114" i="19"/>
  <c r="BC15" i="19"/>
  <c r="BC16" i="19"/>
  <c r="BC18" i="19"/>
  <c r="BC19" i="19"/>
  <c r="BC20" i="19"/>
  <c r="BC23" i="19"/>
  <c r="BC24" i="19"/>
  <c r="BC27" i="19"/>
  <c r="BC28" i="19"/>
  <c r="BC31" i="19"/>
  <c r="BC32" i="19"/>
  <c r="BC35" i="19"/>
  <c r="BC39" i="19"/>
  <c r="BC40" i="19"/>
  <c r="BC45" i="19"/>
  <c r="BC46" i="19"/>
  <c r="BC47" i="19"/>
  <c r="BC48" i="19"/>
  <c r="BC60" i="19"/>
  <c r="BC62" i="19"/>
  <c r="BC67" i="19"/>
  <c r="BC83" i="19"/>
  <c r="BC99" i="19"/>
  <c r="BC104" i="19"/>
  <c r="BD14" i="19"/>
  <c r="BD15" i="19"/>
  <c r="BD30" i="19"/>
  <c r="BD46" i="19"/>
  <c r="BD83" i="19"/>
  <c r="BD99" i="19"/>
  <c r="BD100" i="19"/>
  <c r="BD115" i="19"/>
  <c r="BE14" i="19"/>
  <c r="BE15" i="19"/>
  <c r="BE17" i="19"/>
  <c r="BE30" i="19"/>
  <c r="BE31" i="19"/>
  <c r="BE46" i="19"/>
  <c r="BE82" i="19"/>
  <c r="BE83" i="19"/>
  <c r="BE115" i="19"/>
  <c r="BF82" i="19"/>
  <c r="BF83" i="19"/>
  <c r="BF115" i="19"/>
  <c r="BG14" i="19"/>
  <c r="BG15" i="19"/>
  <c r="BG46" i="19"/>
  <c r="BG60" i="19"/>
  <c r="BG83" i="19"/>
  <c r="BG84" i="19"/>
  <c r="BG115" i="19"/>
  <c r="N390" i="3" a="1"/>
  <c r="R389" i="3" a="1"/>
  <c r="R388" i="3" a="1"/>
  <c r="N389" i="3" a="1"/>
  <c r="N388" i="3" a="1"/>
  <c r="N391" i="3" a="1"/>
  <c r="Q387" i="3" a="1"/>
  <c r="R391" i="3" a="1"/>
  <c r="R390" i="3" a="1"/>
  <c r="F108" i="19" a="1"/>
  <c r="F22" i="19" a="1"/>
  <c r="F51" i="19" a="1"/>
  <c r="F61" i="19" a="1"/>
  <c r="F76" i="19" a="1"/>
  <c r="F34" i="19" a="1"/>
  <c r="F53" i="19" a="1"/>
  <c r="F67" i="19" a="1"/>
  <c r="F105" i="19" a="1"/>
  <c r="F63" i="19" a="1"/>
  <c r="F50" i="19" a="1"/>
  <c r="F113" i="19" a="1"/>
  <c r="F23" i="19" a="1"/>
  <c r="F114" i="19" a="1"/>
  <c r="F102" i="19" a="1"/>
  <c r="F46" i="19" a="1"/>
  <c r="F32" i="19" a="1"/>
  <c r="F103" i="19" a="1"/>
  <c r="F17" i="19" a="1"/>
  <c r="F30" i="19" a="1"/>
  <c r="F69" i="19" a="1"/>
  <c r="F99" i="19" a="1"/>
  <c r="F45" i="19" a="1"/>
  <c r="F120" i="19" a="1"/>
  <c r="F74" i="19" a="1"/>
  <c r="F62" i="19" a="1"/>
  <c r="F55" i="19" a="1"/>
  <c r="F81" i="19" a="1"/>
  <c r="F83" i="19" a="1"/>
  <c r="F78" i="19" a="1"/>
  <c r="F39" i="19" a="1"/>
  <c r="F57" i="19" a="1"/>
  <c r="F89" i="19" a="1"/>
  <c r="F116" i="19" a="1"/>
  <c r="F77" i="19" a="1"/>
  <c r="F70" i="19" a="1"/>
  <c r="F27" i="19" a="1"/>
  <c r="F16" i="19" a="1"/>
  <c r="F58" i="19" a="1"/>
  <c r="F41" i="19" a="1"/>
  <c r="F31" i="19" a="1"/>
  <c r="F43" i="19" a="1"/>
  <c r="F94" i="19" a="1"/>
  <c r="F90" i="19" a="1"/>
  <c r="F37" i="19" a="1"/>
  <c r="F29" i="19" a="1"/>
  <c r="F122" i="19" a="1"/>
  <c r="F59" i="19" a="1"/>
  <c r="F48" i="19" a="1"/>
  <c r="F98" i="19" a="1"/>
  <c r="F18" i="19" a="1"/>
  <c r="F21" i="19" a="1"/>
  <c r="F121" i="19" a="1"/>
  <c r="F35" i="19" a="1"/>
  <c r="F104" i="19" a="1"/>
  <c r="F92" i="19" a="1"/>
  <c r="F28" i="19" a="1"/>
  <c r="F26" i="19" a="1"/>
  <c r="F84" i="19" a="1"/>
  <c r="F68" i="19" a="1"/>
  <c r="F115" i="19" a="1"/>
  <c r="F3" i="17"/>
  <c r="F86" i="19" a="1"/>
  <c r="F64" i="19" a="1"/>
  <c r="F100" i="19" a="1"/>
  <c r="F96" i="19" a="1"/>
  <c r="F49" i="19" a="1"/>
  <c r="F80" i="19" a="1"/>
  <c r="F60" i="19" a="1"/>
  <c r="F106" i="19" a="1"/>
  <c r="F15" i="19" a="1"/>
  <c r="F72" i="19" a="1"/>
  <c r="F110" i="19" a="1"/>
  <c r="F85" i="19" a="1"/>
  <c r="F117" i="19" a="1"/>
  <c r="F93" i="19" a="1"/>
  <c r="F44" i="19" a="1"/>
  <c r="F112" i="19" a="1"/>
  <c r="F66" i="19" a="1"/>
  <c r="F20" i="19" a="1"/>
  <c r="F91" i="19" a="1"/>
  <c r="F101" i="19" a="1"/>
  <c r="F36" i="19" a="1"/>
  <c r="F33" i="19" a="1"/>
  <c r="F118" i="19" a="1"/>
  <c r="F25" i="19" a="1"/>
  <c r="F75" i="19" a="1"/>
  <c r="F40" i="19" a="1"/>
  <c r="F47" i="19" a="1"/>
  <c r="F79" i="19" a="1"/>
  <c r="F56" i="19" a="1"/>
  <c r="F38" i="19" a="1"/>
  <c r="F119" i="19" a="1"/>
  <c r="F87" i="19" a="1"/>
  <c r="F65" i="19" a="1"/>
  <c r="F19" i="19" a="1"/>
  <c r="F42" i="19" a="1"/>
  <c r="F97" i="19" a="1"/>
  <c r="F111" i="19" a="1"/>
  <c r="F24" i="19" a="1"/>
  <c r="F82" i="19" a="1"/>
  <c r="F54" i="19" a="1"/>
  <c r="F71" i="19" a="1"/>
  <c r="F73" i="19" a="1"/>
  <c r="F107" i="19" a="1"/>
  <c r="F52" i="19" a="1"/>
  <c r="F88" i="19" a="1"/>
  <c r="F14" i="19" a="1"/>
  <c r="F109" i="19" a="1"/>
  <c r="F95" i="19" a="1"/>
  <c r="BG30" i="19" l="1"/>
  <c r="BF46" i="19"/>
  <c r="BC114" i="19"/>
  <c r="BC22" i="19"/>
  <c r="BB66" i="19"/>
  <c r="AU26" i="19"/>
  <c r="AU18" i="19"/>
  <c r="AT82" i="19"/>
  <c r="AM30" i="19"/>
  <c r="AM18" i="19"/>
  <c r="AL46" i="19"/>
  <c r="AI30" i="19"/>
  <c r="AH30" i="19"/>
  <c r="AE98" i="19"/>
  <c r="AE34" i="19"/>
  <c r="AE18" i="19"/>
  <c r="BG17" i="19"/>
  <c r="BF85" i="19"/>
  <c r="BF30" i="19"/>
  <c r="BC26" i="19"/>
  <c r="BB82" i="19"/>
  <c r="BB62" i="19"/>
  <c r="BB30" i="19"/>
  <c r="BB26" i="19"/>
  <c r="BB22" i="19"/>
  <c r="BB18" i="19"/>
  <c r="BB14" i="19"/>
  <c r="AX81" i="19"/>
  <c r="AX30" i="19"/>
  <c r="AU82" i="19"/>
  <c r="AU66" i="19"/>
  <c r="AU45" i="19"/>
  <c r="AU29" i="19"/>
  <c r="AU25" i="19"/>
  <c r="AU21" i="19"/>
  <c r="AU17" i="19"/>
  <c r="AT85" i="19"/>
  <c r="AT81" i="19"/>
  <c r="AT65" i="19"/>
  <c r="AM102" i="19"/>
  <c r="AM22" i="19"/>
  <c r="AL102" i="19"/>
  <c r="AL82" i="19"/>
  <c r="AL62" i="19"/>
  <c r="AL14" i="19"/>
  <c r="AI98" i="19"/>
  <c r="AI61" i="19"/>
  <c r="AI17" i="19"/>
  <c r="AH14" i="19"/>
  <c r="AE102" i="19"/>
  <c r="AE62" i="19"/>
  <c r="BC82" i="19"/>
  <c r="BB46" i="19"/>
  <c r="AX14" i="19"/>
  <c r="AU114" i="19"/>
  <c r="AU46" i="19"/>
  <c r="AU30" i="19"/>
  <c r="AU22" i="19"/>
  <c r="AU14" i="19"/>
  <c r="AT66" i="19"/>
  <c r="AQ30" i="19"/>
  <c r="AP14" i="19"/>
  <c r="AM98" i="19"/>
  <c r="AM66" i="19"/>
  <c r="AM46" i="19"/>
  <c r="AL34" i="19"/>
  <c r="AL22" i="19"/>
  <c r="AE82" i="19"/>
  <c r="AE46" i="19"/>
  <c r="AE26" i="19"/>
  <c r="BF14" i="19"/>
  <c r="BC66" i="19"/>
  <c r="BC30" i="19"/>
  <c r="BC14" i="19"/>
  <c r="BB29" i="19"/>
  <c r="BB25" i="19"/>
  <c r="BB21" i="19"/>
  <c r="BB17" i="19"/>
  <c r="AY82" i="19"/>
  <c r="AY46" i="19"/>
  <c r="AY14" i="19"/>
  <c r="AX61" i="19"/>
  <c r="AX17" i="19"/>
  <c r="AU85" i="19"/>
  <c r="AU81" i="19"/>
  <c r="AU65" i="19"/>
  <c r="AT62" i="19"/>
  <c r="AQ14" i="19"/>
  <c r="AP46" i="19"/>
  <c r="AM101" i="19"/>
  <c r="AM82" i="19"/>
  <c r="AM62" i="19"/>
  <c r="AM34" i="19"/>
  <c r="AM26" i="19"/>
  <c r="AM14" i="19"/>
  <c r="AL38" i="19"/>
  <c r="AL26" i="19"/>
  <c r="AL18" i="19"/>
  <c r="AI97" i="19"/>
  <c r="AI46" i="19"/>
  <c r="AI14" i="19"/>
  <c r="AH82" i="19"/>
  <c r="AE66" i="19"/>
  <c r="AE38" i="19"/>
  <c r="AE30" i="19"/>
  <c r="AE22" i="19"/>
  <c r="AE14" i="19"/>
  <c r="AJ113" i="19"/>
  <c r="AK113" i="19"/>
  <c r="AJ109" i="19"/>
  <c r="AK109" i="19"/>
  <c r="AJ101" i="19"/>
  <c r="AK101" i="19"/>
  <c r="AN101" i="19"/>
  <c r="AJ93" i="19"/>
  <c r="AK93" i="19"/>
  <c r="AJ85" i="19"/>
  <c r="AK85" i="19"/>
  <c r="AL85" i="19"/>
  <c r="AM85" i="19"/>
  <c r="AJ77" i="19"/>
  <c r="AK77" i="19"/>
  <c r="AJ73" i="19"/>
  <c r="AK73" i="19"/>
  <c r="AJ65" i="19"/>
  <c r="AK65" i="19"/>
  <c r="AL65" i="19"/>
  <c r="AM65" i="19"/>
  <c r="AJ57" i="19"/>
  <c r="AK57" i="19"/>
  <c r="AZ57" i="19"/>
  <c r="AJ49" i="19"/>
  <c r="AK49" i="19"/>
  <c r="AZ49" i="19"/>
  <c r="AJ41" i="19"/>
  <c r="AK41" i="19"/>
  <c r="AJ33" i="19"/>
  <c r="AL33" i="19"/>
  <c r="AM33" i="19"/>
  <c r="AK33" i="19"/>
  <c r="AJ25" i="19"/>
  <c r="AL25" i="19"/>
  <c r="AM25" i="19"/>
  <c r="AK25" i="19"/>
  <c r="AJ17" i="19"/>
  <c r="AL17" i="19"/>
  <c r="AM17" i="19"/>
  <c r="AK17" i="19"/>
  <c r="AO17" i="19"/>
  <c r="BD81" i="19"/>
  <c r="BA113" i="19"/>
  <c r="BA25" i="19"/>
  <c r="BA17" i="19"/>
  <c r="AZ25" i="19"/>
  <c r="AZ17" i="19"/>
  <c r="AN45" i="19"/>
  <c r="AM113" i="19"/>
  <c r="AL97" i="19"/>
  <c r="AK112" i="19"/>
  <c r="AZ112" i="19"/>
  <c r="AK104" i="19"/>
  <c r="AL104" i="19"/>
  <c r="AM104" i="19"/>
  <c r="AZ104" i="19"/>
  <c r="AK84" i="19"/>
  <c r="AL84" i="19"/>
  <c r="AM84" i="19"/>
  <c r="AN84" i="19"/>
  <c r="AP84" i="19"/>
  <c r="BF84" i="19"/>
  <c r="AK68" i="19"/>
  <c r="AL68" i="19"/>
  <c r="AM68" i="19"/>
  <c r="AK60" i="19"/>
  <c r="AL60" i="19"/>
  <c r="AM60" i="19"/>
  <c r="BA60" i="19"/>
  <c r="AK52" i="19"/>
  <c r="AZ52" i="19"/>
  <c r="BA52" i="19"/>
  <c r="AK16" i="19"/>
  <c r="AO16" i="19"/>
  <c r="BE81" i="19"/>
  <c r="BC85" i="19"/>
  <c r="BC65" i="19"/>
  <c r="BB48" i="19"/>
  <c r="BB40" i="19"/>
  <c r="BA120" i="19"/>
  <c r="BA49" i="19"/>
  <c r="BA32" i="19"/>
  <c r="BA24" i="19"/>
  <c r="AZ121" i="19"/>
  <c r="AZ77" i="19"/>
  <c r="AZ32" i="19"/>
  <c r="AZ28" i="19"/>
  <c r="AZ24" i="19"/>
  <c r="AZ20" i="19"/>
  <c r="AZ16" i="19"/>
  <c r="AQ85" i="19"/>
  <c r="AP81" i="19"/>
  <c r="AO101" i="19"/>
  <c r="AM28" i="19"/>
  <c r="AL101" i="19"/>
  <c r="AL20" i="19"/>
  <c r="AK120" i="19"/>
  <c r="AJ120" i="19"/>
  <c r="AJ104" i="19"/>
  <c r="AJ88" i="19"/>
  <c r="AJ72" i="19"/>
  <c r="AJ40" i="19"/>
  <c r="AJ24" i="19"/>
  <c r="AJ117" i="19"/>
  <c r="AL117" i="19"/>
  <c r="AJ105" i="19"/>
  <c r="AK105" i="19"/>
  <c r="AJ97" i="19"/>
  <c r="AK97" i="19"/>
  <c r="AN97" i="19"/>
  <c r="AJ89" i="19"/>
  <c r="AK89" i="19"/>
  <c r="AJ81" i="19"/>
  <c r="AK81" i="19"/>
  <c r="AL81" i="19"/>
  <c r="AM81" i="19"/>
  <c r="AN81" i="19"/>
  <c r="AQ81" i="19"/>
  <c r="AJ69" i="19"/>
  <c r="AK69" i="19"/>
  <c r="AJ61" i="19"/>
  <c r="AN61" i="19"/>
  <c r="AQ61" i="19"/>
  <c r="AK61" i="19"/>
  <c r="AL61" i="19"/>
  <c r="AM61" i="19"/>
  <c r="AZ61" i="19"/>
  <c r="BB61" i="19"/>
  <c r="BC61" i="19"/>
  <c r="BD61" i="19"/>
  <c r="BE61" i="19"/>
  <c r="BF61" i="19"/>
  <c r="AJ53" i="19"/>
  <c r="AK53" i="19"/>
  <c r="AZ53" i="19"/>
  <c r="AJ45" i="19"/>
  <c r="AL45" i="19"/>
  <c r="AM45" i="19"/>
  <c r="AO45" i="19"/>
  <c r="AK45" i="19"/>
  <c r="AZ45" i="19"/>
  <c r="AJ37" i="19"/>
  <c r="AL37" i="19"/>
  <c r="AM37" i="19"/>
  <c r="AK37" i="19"/>
  <c r="AJ29" i="19"/>
  <c r="AL29" i="19"/>
  <c r="AM29" i="19"/>
  <c r="AK29" i="19"/>
  <c r="AJ21" i="19"/>
  <c r="AL21" i="19"/>
  <c r="AM21" i="19"/>
  <c r="AK21" i="19"/>
  <c r="BE45" i="19"/>
  <c r="BB45" i="19"/>
  <c r="BA121" i="19"/>
  <c r="BA109" i="19"/>
  <c r="BA61" i="19"/>
  <c r="BA45" i="19"/>
  <c r="BA29" i="19"/>
  <c r="BA21" i="19"/>
  <c r="AZ109" i="19"/>
  <c r="AZ29" i="19"/>
  <c r="AZ21" i="19"/>
  <c r="AK121" i="19"/>
  <c r="AN116" i="19"/>
  <c r="AZ116" i="19"/>
  <c r="AK108" i="19"/>
  <c r="AZ108" i="19"/>
  <c r="AK100" i="19"/>
  <c r="AN100" i="19"/>
  <c r="AL100" i="19"/>
  <c r="AM100" i="19"/>
  <c r="BA100" i="19"/>
  <c r="BB100" i="19"/>
  <c r="BC100" i="19"/>
  <c r="AK64" i="19"/>
  <c r="AL64" i="19"/>
  <c r="AM64" i="19"/>
  <c r="AK56" i="19"/>
  <c r="BA56" i="19"/>
  <c r="AK48" i="19"/>
  <c r="AZ48" i="19"/>
  <c r="BA48" i="19"/>
  <c r="AK44" i="19"/>
  <c r="AZ44" i="19"/>
  <c r="BA44" i="19"/>
  <c r="AK36" i="19"/>
  <c r="AZ36" i="19"/>
  <c r="BA36" i="19"/>
  <c r="BB36" i="19"/>
  <c r="BC36" i="19"/>
  <c r="BG81" i="19"/>
  <c r="BC81" i="19"/>
  <c r="BA112" i="19"/>
  <c r="BA104" i="19"/>
  <c r="BA28" i="19"/>
  <c r="BA20" i="19"/>
  <c r="BA16" i="19"/>
  <c r="AZ113" i="19"/>
  <c r="AZ93" i="19"/>
  <c r="AZ85" i="19"/>
  <c r="AZ81" i="19"/>
  <c r="AZ73" i="19"/>
  <c r="AZ65" i="19"/>
  <c r="BG61" i="19"/>
  <c r="BF81" i="19"/>
  <c r="BE60" i="19"/>
  <c r="BD116" i="19"/>
  <c r="BD85" i="19"/>
  <c r="BC113" i="19"/>
  <c r="BC84" i="19"/>
  <c r="BC68" i="19"/>
  <c r="BC29" i="19"/>
  <c r="BC25" i="19"/>
  <c r="BC21" i="19"/>
  <c r="BC17" i="19"/>
  <c r="BB85" i="19"/>
  <c r="BB81" i="19"/>
  <c r="BB65" i="19"/>
  <c r="BA93" i="19"/>
  <c r="BA89" i="19"/>
  <c r="BA85" i="19"/>
  <c r="BA81" i="19"/>
  <c r="BA77" i="19"/>
  <c r="BA73" i="19"/>
  <c r="BA69" i="19"/>
  <c r="BA65" i="19"/>
  <c r="BA53" i="19"/>
  <c r="BA40" i="19"/>
  <c r="AZ96" i="19"/>
  <c r="AZ92" i="19"/>
  <c r="AZ88" i="19"/>
  <c r="AZ84" i="19"/>
  <c r="AZ80" i="19"/>
  <c r="AZ76" i="19"/>
  <c r="AZ72" i="19"/>
  <c r="AZ68" i="19"/>
  <c r="AZ56" i="19"/>
  <c r="AZ40" i="19"/>
  <c r="AP61" i="19"/>
  <c r="AO100" i="19"/>
  <c r="AO84" i="19"/>
  <c r="AO61" i="19"/>
  <c r="AM97" i="19"/>
  <c r="AM32" i="19"/>
  <c r="AM16" i="19"/>
  <c r="AL113" i="19"/>
  <c r="AL40" i="19"/>
  <c r="AL24" i="19"/>
  <c r="AJ108" i="19"/>
  <c r="AJ92" i="19"/>
  <c r="AJ76" i="19"/>
  <c r="AJ60" i="19"/>
  <c r="AJ44" i="19"/>
  <c r="AJ28" i="19"/>
  <c r="BF100" i="19"/>
  <c r="BE100" i="19"/>
  <c r="AI16" i="19"/>
  <c r="AH84" i="19"/>
  <c r="AF16" i="19"/>
  <c r="AG60" i="19"/>
  <c r="BC95" i="19"/>
  <c r="BB95" i="19"/>
  <c r="AY31" i="19"/>
  <c r="AW84" i="19"/>
  <c r="AQ103" i="19"/>
  <c r="AQ84" i="19"/>
  <c r="AP116" i="19"/>
  <c r="AP99" i="19"/>
  <c r="AP15" i="19"/>
  <c r="AO48" i="19"/>
  <c r="AN48" i="19"/>
  <c r="AM96" i="19"/>
  <c r="AL116" i="19"/>
  <c r="AL96" i="19"/>
  <c r="AI103" i="19"/>
  <c r="AI99" i="19"/>
  <c r="AI83" i="19"/>
  <c r="AI60" i="19"/>
  <c r="AI31" i="19"/>
  <c r="AI15" i="19"/>
  <c r="AH103" i="19"/>
  <c r="AH83" i="19"/>
  <c r="AH16" i="19"/>
  <c r="AG84" i="19"/>
  <c r="AG48" i="19"/>
  <c r="AF15" i="19"/>
  <c r="AD116" i="19"/>
  <c r="AH48" i="19"/>
  <c r="AF103" i="19"/>
  <c r="AF83" i="19"/>
  <c r="BF48" i="19"/>
  <c r="BF16" i="19"/>
  <c r="BE48" i="19"/>
  <c r="BC96" i="19"/>
  <c r="BB96" i="19"/>
  <c r="AX100" i="19"/>
  <c r="AP100" i="19"/>
  <c r="AO60" i="19"/>
  <c r="AN60" i="19"/>
  <c r="AI100" i="19"/>
  <c r="AI84" i="19"/>
  <c r="AF84" i="19"/>
  <c r="AF60" i="19"/>
  <c r="BG100" i="19"/>
  <c r="BF99" i="19"/>
  <c r="BF15" i="19"/>
  <c r="BE99" i="19"/>
  <c r="BB116" i="19"/>
  <c r="AX99" i="19"/>
  <c r="AV84" i="19"/>
  <c r="AV16" i="19"/>
  <c r="BF116" i="19"/>
  <c r="BF31" i="19"/>
  <c r="BE84" i="19"/>
  <c r="BD84" i="19"/>
  <c r="BC115" i="19"/>
  <c r="BB115" i="19"/>
  <c r="AY115" i="19"/>
  <c r="AY84" i="19"/>
  <c r="AX60" i="19"/>
  <c r="AW100" i="19"/>
  <c r="AW83" i="19"/>
  <c r="AV83" i="19"/>
  <c r="AV31" i="19"/>
  <c r="AV15" i="19"/>
  <c r="AU96" i="19"/>
  <c r="AT96" i="19"/>
  <c r="AQ100" i="19"/>
  <c r="AQ83" i="19"/>
  <c r="AP115" i="19"/>
  <c r="AM115" i="19"/>
  <c r="AM95" i="19"/>
  <c r="AL115" i="19"/>
  <c r="AH100" i="19"/>
  <c r="AG100" i="19"/>
  <c r="AN117" i="19"/>
  <c r="AF117" i="19"/>
  <c r="AP117" i="19"/>
  <c r="AH47" i="19"/>
  <c r="AP47" i="19"/>
  <c r="AX47" i="19"/>
  <c r="BG47" i="19"/>
  <c r="BE47" i="19"/>
  <c r="AF47" i="19"/>
  <c r="AY47" i="19"/>
  <c r="BF47" i="19"/>
  <c r="AQ47" i="19"/>
  <c r="AW47" i="19"/>
  <c r="BD47" i="19"/>
  <c r="AI47" i="19"/>
  <c r="AN47" i="19"/>
  <c r="AO47" i="19"/>
  <c r="AV47" i="19"/>
  <c r="AG47" i="19"/>
  <c r="AG18" i="19"/>
  <c r="AH18" i="19"/>
  <c r="BG18" i="19"/>
  <c r="AI18" i="19"/>
  <c r="AN18" i="19"/>
  <c r="AO18" i="19"/>
  <c r="AV18" i="19"/>
  <c r="BE18" i="19"/>
  <c r="AQ18" i="19"/>
  <c r="AW18" i="19"/>
  <c r="BD18" i="19"/>
  <c r="AX18" i="19"/>
  <c r="AF18" i="19"/>
  <c r="AY18" i="19"/>
  <c r="BF18" i="19"/>
  <c r="AP18" i="19"/>
  <c r="AF102" i="19"/>
  <c r="BG82" i="19"/>
  <c r="BG31" i="19"/>
  <c r="BD60" i="19"/>
  <c r="AX82" i="19"/>
  <c r="AX48" i="19"/>
  <c r="AX31" i="19"/>
  <c r="AX16" i="19"/>
  <c r="AW60" i="19"/>
  <c r="AW45" i="19"/>
  <c r="AW17" i="19"/>
  <c r="AV85" i="19"/>
  <c r="AQ102" i="19"/>
  <c r="AQ98" i="19"/>
  <c r="AQ60" i="19"/>
  <c r="AQ45" i="19"/>
  <c r="AQ17" i="19"/>
  <c r="AP102" i="19"/>
  <c r="AP98" i="19"/>
  <c r="AP60" i="19"/>
  <c r="AP45" i="19"/>
  <c r="AP17" i="19"/>
  <c r="AO85" i="19"/>
  <c r="AN85" i="19"/>
  <c r="AI85" i="19"/>
  <c r="AH98" i="19"/>
  <c r="AH60" i="19"/>
  <c r="AH31" i="19"/>
  <c r="AG101" i="19"/>
  <c r="AG85" i="19"/>
  <c r="AG45" i="19"/>
  <c r="AF101" i="19"/>
  <c r="AF97" i="19"/>
  <c r="AF98" i="19"/>
  <c r="BG48" i="19"/>
  <c r="BG16" i="19"/>
  <c r="BE85" i="19"/>
  <c r="BD45" i="19"/>
  <c r="BD17" i="19"/>
  <c r="BG85" i="19"/>
  <c r="BF60" i="19"/>
  <c r="BF45" i="19"/>
  <c r="BF17" i="19"/>
  <c r="BD82" i="19"/>
  <c r="BD48" i="19"/>
  <c r="BD31" i="19"/>
  <c r="BD16" i="19"/>
  <c r="AY60" i="19"/>
  <c r="AY45" i="19"/>
  <c r="AY17" i="19"/>
  <c r="AX85" i="19"/>
  <c r="AW82" i="19"/>
  <c r="AW48" i="19"/>
  <c r="AW31" i="19"/>
  <c r="AW16" i="19"/>
  <c r="AQ101" i="19"/>
  <c r="AQ97" i="19"/>
  <c r="AQ82" i="19"/>
  <c r="AQ48" i="19"/>
  <c r="AQ31" i="19"/>
  <c r="AQ16" i="19"/>
  <c r="AP82" i="19"/>
  <c r="AP48" i="19"/>
  <c r="AP31" i="19"/>
  <c r="AH102" i="19"/>
  <c r="Q387" i="3"/>
  <c r="R388" i="3"/>
  <c r="S388" i="3" s="1"/>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T391" i="3" a="1"/>
  <c r="T389" i="3" a="1"/>
  <c r="N387" i="3" a="1"/>
  <c r="T390" i="3" a="1"/>
  <c r="T388" i="3" a="1"/>
  <c r="N387" i="3" l="1"/>
  <c r="O387" i="3"/>
  <c r="O391" i="3"/>
  <c r="O388" i="3"/>
  <c r="T388" i="3"/>
  <c r="V388" i="3" s="1"/>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V387" i="3" l="1"/>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J69" i="19" l="1"/>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F52" i="19" l="1"/>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L360" i="3" a="1"/>
  <c r="M357"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G10" i="14"/>
  <c r="G7" i="14"/>
  <c r="H10" i="14"/>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AG27" i="18"/>
  <c r="AF27" i="18"/>
  <c r="AE27" i="18"/>
  <c r="AH27" i="18"/>
  <c r="AW27" i="18"/>
  <c r="AX27" i="18"/>
  <c r="AV27" i="18"/>
  <c r="AU27" i="18"/>
  <c r="AP27" i="18"/>
  <c r="BE27" i="18"/>
  <c r="BD27" i="18"/>
  <c r="AO27" i="18"/>
  <c r="AM27" i="18"/>
  <c r="AN27" i="18"/>
  <c r="BC27" i="18"/>
  <c r="BF27" i="18"/>
  <c r="Q29" i="18"/>
  <c r="Y29" i="18"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Y13" i="3"/>
  <c r="V13" i="3" s="1"/>
  <c r="Y12" i="3"/>
  <c r="AF12" i="3" s="1"/>
  <c r="N12" i="3"/>
  <c r="Y11" i="3"/>
  <c r="AF11" i="3" s="1"/>
  <c r="O11" i="3"/>
  <c r="V10" i="3"/>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L67" i="3" a="1"/>
  <c r="L85" i="3" a="1"/>
  <c r="M63" i="3" a="1"/>
  <c r="M65"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L348" i="1"/>
  <c r="N347" i="1"/>
  <c r="O347" i="1" s="1"/>
  <c r="Q347" i="1" s="1"/>
  <c r="S347" i="1" s="1"/>
  <c r="AI41" i="2"/>
  <c r="X41" i="2"/>
  <c r="AH41" i="2" s="1"/>
  <c r="I398" i="1"/>
  <c r="M398" i="1"/>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T64" i="3" l="1"/>
  <c r="V64" i="3" s="1"/>
  <c r="AA64"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S397" i="1"/>
  <c r="AK196" i="3"/>
  <c r="X196" i="3"/>
  <c r="AJ196" i="3" s="1"/>
  <c r="AE51" i="3"/>
  <c r="AB52" i="3"/>
  <c r="T166" i="3"/>
  <c r="V166" i="3" s="1"/>
  <c r="Y166" i="3"/>
  <c r="AK219" i="3"/>
  <c r="X219" i="3"/>
  <c r="AJ219" i="3" s="1"/>
  <c r="Y192" i="3"/>
  <c r="T192" i="3"/>
  <c r="V192" i="3" s="1"/>
  <c r="N348" i="1"/>
  <c r="O348" i="1" s="1"/>
  <c r="Q348" i="1" s="1"/>
  <c r="L349" i="1"/>
  <c r="AC64" i="3" l="1"/>
  <c r="AB64" i="3"/>
  <c r="AI64" i="3"/>
  <c r="X64" i="3"/>
  <c r="AD219" i="3"/>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AK167" i="3"/>
  <c r="X167" i="3"/>
  <c r="AK192" i="3"/>
  <c r="X192" i="3"/>
  <c r="AJ192" i="3" s="1"/>
  <c r="AI92" i="2"/>
  <c r="X92" i="2"/>
  <c r="AH92" i="2" s="1"/>
  <c r="M399" i="1"/>
  <c r="I399" i="1"/>
  <c r="O398" i="1"/>
  <c r="Q398" i="1"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J399" i="1"/>
  <c r="N399" i="1"/>
  <c r="O399" i="1" s="1"/>
  <c r="Q399" i="1" s="1"/>
  <c r="S399" i="1" s="1"/>
  <c r="L400" i="1"/>
  <c r="I418" i="1"/>
  <c r="H418" i="1"/>
  <c r="AH66" i="3" l="1"/>
  <c r="W68" i="3"/>
  <c r="R68" i="3" s="1"/>
  <c r="Q84" i="3" s="1"/>
  <c r="S84" i="3" s="1"/>
  <c r="T84" i="3" s="1"/>
  <c r="V84" i="3" s="1"/>
  <c r="N400" i="1"/>
  <c r="O400" i="1" s="1"/>
  <c r="Q400" i="1" s="1"/>
  <c r="S400" i="1" s="1"/>
  <c r="R401" i="1" s="1"/>
  <c r="I400" i="1"/>
  <c r="S424" i="1"/>
  <c r="W169" i="3"/>
  <c r="AJ168" i="3"/>
  <c r="N425" i="1"/>
  <c r="O425" i="1" s="1"/>
  <c r="Q425" i="1" s="1"/>
  <c r="S425" i="1" s="1"/>
  <c r="L426" i="1"/>
  <c r="M426" i="1" s="1"/>
  <c r="S58" i="2"/>
  <c r="T58" i="2" s="1"/>
  <c r="Q74" i="2"/>
  <c r="S74" i="2" s="1"/>
  <c r="T74" i="2" s="1"/>
  <c r="V74" i="2" s="1"/>
  <c r="M67" i="3" a="1"/>
  <c r="M67" i="3" l="1"/>
  <c r="S68" i="3"/>
  <c r="T68" i="3" s="1"/>
  <c r="AB68" i="3" s="1"/>
  <c r="AC68" i="3" s="1"/>
  <c r="AB58" i="2"/>
  <c r="AC58" i="2" s="1"/>
  <c r="V58" i="2"/>
  <c r="L427" i="1"/>
  <c r="M427" i="1" s="1"/>
  <c r="N426" i="1"/>
  <c r="O426" i="1" s="1"/>
  <c r="Q426" i="1" s="1"/>
  <c r="S426" i="1" s="1"/>
  <c r="M401" i="1"/>
  <c r="AI74" i="2"/>
  <c r="AC74" i="2"/>
  <c r="X74" i="2"/>
  <c r="AI84" i="3"/>
  <c r="AC84" i="3"/>
  <c r="X84" i="3"/>
  <c r="V68" i="3" l="1"/>
  <c r="X68" i="3" s="1"/>
  <c r="AH68" i="3" s="1"/>
  <c r="AE84" i="3"/>
  <c r="AD84" i="3"/>
  <c r="J401" i="1"/>
  <c r="N401" i="1"/>
  <c r="L402" i="1"/>
  <c r="I402" i="1" s="1"/>
  <c r="AI68" i="3"/>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M85" i="3" a="1"/>
  <c r="M85" i="3" l="1"/>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92" i="3" a="1"/>
  <c r="L92" i="3" l="1"/>
  <c r="R91" i="3"/>
  <c r="Q124" i="3" s="1"/>
  <c r="S124" i="3" s="1"/>
  <c r="T124" i="3" s="1"/>
  <c r="L448" i="1"/>
  <c r="M448" i="1" s="1"/>
  <c r="N434" i="1"/>
  <c r="O434" i="1" s="1"/>
  <c r="Q434" i="1" s="1"/>
  <c r="N436" i="1"/>
  <c r="O436" i="1" s="1"/>
  <c r="Q436" i="1" s="1"/>
  <c r="S436" i="1" s="1"/>
  <c r="T436" i="1" s="1"/>
  <c r="AI80" i="2"/>
  <c r="AC80" i="2"/>
  <c r="X80" i="2"/>
  <c r="AH80" i="2" s="1"/>
  <c r="AE89" i="3"/>
  <c r="AD89" i="3"/>
  <c r="S81" i="2"/>
  <c r="T81" i="2" s="1"/>
  <c r="V81" i="2" s="1"/>
  <c r="Q114" i="2"/>
  <c r="S114" i="2" s="1"/>
  <c r="T114" i="2" s="1"/>
  <c r="AD79" i="2"/>
  <c r="AE79" i="2"/>
  <c r="AC90" i="3"/>
  <c r="AI90" i="3"/>
  <c r="X90" i="3"/>
  <c r="AH90" i="3" s="1"/>
  <c r="M92" i="3" a="1"/>
  <c r="M92" i="3" l="1"/>
  <c r="S91" i="3"/>
  <c r="T91" i="3" s="1"/>
  <c r="V91" i="3" s="1"/>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X341" i="3" s="1"/>
  <c r="AJ341" i="3" s="1"/>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Q377" i="3"/>
  <c r="R377" i="3" s="1"/>
  <c r="S376" i="3"/>
  <c r="T376" i="3" s="1"/>
  <c r="V376" i="3" s="1"/>
  <c r="X376" i="3" s="1"/>
  <c r="S365" i="3"/>
  <c r="M378" i="3" a="1"/>
  <c r="M378" i="3" l="1"/>
  <c r="S377" i="3"/>
  <c r="T377" i="3" s="1"/>
  <c r="V377" i="3" s="1"/>
  <c r="X377" i="3" s="1"/>
  <c r="AJ377" i="3" s="1"/>
  <c r="Q380" i="3"/>
  <c r="R380" i="3" s="1"/>
  <c r="T365" i="3"/>
  <c r="V365" i="3" s="1"/>
  <c r="AK365" i="3" s="1"/>
  <c r="AC365" i="3" s="1"/>
  <c r="M381" i="3" a="1"/>
  <c r="M381" i="3" l="1"/>
  <c r="S380" i="3"/>
  <c r="T380" i="3" s="1"/>
  <c r="V380" i="3" s="1"/>
  <c r="X380" i="3" s="1"/>
  <c r="X365" i="3"/>
  <c r="AJ365" i="3" s="1"/>
  <c r="AK376" i="3" l="1"/>
  <c r="AC376" i="3" s="1"/>
  <c r="AJ376" i="3" l="1"/>
  <c r="AK377" i="3" l="1"/>
  <c r="AC377" i="3" s="1"/>
  <c r="AH28" i="3"/>
  <c r="AG2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96E7C961-0C35-4CFD-99F5-075604ED304E}">
      <text>
        <r>
          <rPr>
            <b/>
            <sz val="9"/>
            <color indexed="81"/>
            <rFont val="Tahoma"/>
            <family val="2"/>
          </rPr>
          <t xml:space="preserve">6.90402777777778:byte/s_x000D_
55.2322222222222:bit/s_x000D_
BG97:Rate_Cell_x000D_
N387:caller_x000D_
</t>
        </r>
      </text>
    </comment>
    <comment ref="Q387" authorId="0" shapeId="0" xr:uid="{90ABC7EA-B43B-45FC-877C-0074EB3AED5C}">
      <text>
        <r>
          <rPr>
            <b/>
            <sz val="9"/>
            <color indexed="81"/>
            <rFont val="Tahoma"/>
            <family val="2"/>
          </rPr>
          <t xml:space="preserve">6.90402777777778:byte/s_x000D_
55.2322222222222:bit/s_x000D_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C95C09AA-9895-4714-82AA-AABDAEF00D6B}">
      <text>
        <r>
          <rPr>
            <b/>
            <sz val="9"/>
            <color indexed="81"/>
            <rFont val="Tahoma"/>
            <family val="2"/>
          </rPr>
          <t xml:space="preserve">5.05015625:byte/s_x000D_
40.40125:bit/s_x000D_
AD115:Rate_Cell_x000D_
1685:early,s_x000D_
N388:caller_x000D_
</t>
        </r>
      </text>
    </comment>
    <comment ref="R388" authorId="0" shapeId="0" xr:uid="{86C7C787-ABAD-4872-8D8D-4C8E74176144}">
      <text>
        <r>
          <rPr>
            <b/>
            <sz val="9"/>
            <color indexed="81"/>
            <rFont val="Tahoma"/>
            <family val="2"/>
          </rPr>
          <t xml:space="preserve">5.05015625:byte/s_x000D_
40.40125:bit/s_x000D_
AD115:Rate_Cell_x000D_
1685:early,s_x000D_
R388:caller_x000D_
</t>
        </r>
      </text>
    </comment>
    <comment ref="T388" authorId="0" shapeId="0" xr:uid="{51B52D5F-8559-4D2D-8961-5DC3B3B27D55}">
      <text>
        <r>
          <rPr>
            <b/>
            <sz val="9"/>
            <color indexed="81"/>
            <rFont val="Tahoma"/>
            <family val="2"/>
          </rPr>
          <t xml:space="preserve">5.05015625:byte/s_x000D_
40.40125:bit/s_x000D_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D916C9A9-29BF-4561-8045-DBD61FEBCF2F}">
      <text>
        <r>
          <rPr>
            <b/>
            <sz val="9"/>
            <color indexed="81"/>
            <rFont val="Tahoma"/>
            <family val="2"/>
          </rPr>
          <t xml:space="preserve">5.05015625:byte/s_x000D_
40.40125:bit/s_x000D_
AD115:Rate_Cell_x000D_
N389:caller_x000D_
</t>
        </r>
      </text>
    </comment>
    <comment ref="R389" authorId="0" shapeId="0" xr:uid="{1F536DA2-2E2E-43BC-BA01-76FB276CAD2A}">
      <text>
        <r>
          <rPr>
            <b/>
            <sz val="9"/>
            <color indexed="81"/>
            <rFont val="Tahoma"/>
            <family val="2"/>
          </rPr>
          <t xml:space="preserve">5.05015625:byte/s_x000D_
40.40125:bit/s_x000D_
AD115:Rate_Cell_x000D_
R389:caller_x000D_
</t>
        </r>
      </text>
    </comment>
    <comment ref="T389" authorId="0" shapeId="0" xr:uid="{801690A1-6645-409E-AE9E-BD4EE5FDC3AF}">
      <text>
        <r>
          <rPr>
            <b/>
            <sz val="9"/>
            <color indexed="81"/>
            <rFont val="Tahoma"/>
            <family val="2"/>
          </rPr>
          <t xml:space="preserve">5.05015625:byte/s_x000D_
40.40125:bit/s_x000D_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EE1E07E2-A65B-4AA2-81D1-3100F2C27F35}">
      <text>
        <r>
          <rPr>
            <b/>
            <sz val="9"/>
            <color indexed="81"/>
            <rFont val="Tahoma"/>
            <family val="2"/>
          </rPr>
          <t xml:space="preserve">5.05015625:byte/s_x000D_
40.40125:bit/s_x000D_
AD115:Rate_Cell_x000D_
N390:caller_x000D_
</t>
        </r>
      </text>
    </comment>
    <comment ref="R390" authorId="0" shapeId="0" xr:uid="{611FCA9A-FD95-41F0-B1A0-E817A31650FB}">
      <text>
        <r>
          <rPr>
            <b/>
            <sz val="9"/>
            <color indexed="81"/>
            <rFont val="Tahoma"/>
            <family val="2"/>
          </rPr>
          <t xml:space="preserve">5.05015625:byte/s_x000D_
40.40125:bit/s_x000D_
AD115:Rate_Cell_x000D_
R390:caller_x000D_
</t>
        </r>
      </text>
    </comment>
    <comment ref="T390" authorId="0" shapeId="0" xr:uid="{4B1D9C6F-C4B4-47DB-A058-B6D9A4FB3E24}">
      <text>
        <r>
          <rPr>
            <b/>
            <sz val="9"/>
            <color indexed="81"/>
            <rFont val="Tahoma"/>
            <family val="2"/>
          </rPr>
          <t xml:space="preserve">5.05015625:byte/s_x000D_
40.40125:bit/s_x000D_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931F6690-92CF-46F9-8574-6DAE1D725B87}">
      <text>
        <r>
          <rPr>
            <b/>
            <sz val="9"/>
            <color indexed="81"/>
            <rFont val="Tahoma"/>
            <family val="2"/>
          </rPr>
          <t xml:space="preserve">5.05015625:byte/s_x000D_
40.40125:bit/s_x000D_
AD115:Rate_Cell_x000D_
N391:caller_x000D_
</t>
        </r>
      </text>
    </comment>
    <comment ref="R391" authorId="0" shapeId="0" xr:uid="{A9761675-153D-444E-B8FA-5F8A7D7E5816}">
      <text>
        <r>
          <rPr>
            <b/>
            <sz val="9"/>
            <color indexed="81"/>
            <rFont val="Tahoma"/>
            <family val="2"/>
          </rPr>
          <t xml:space="preserve">5.05015625:byte/s_x000D_
40.40125:bit/s_x000D_
AD115:Rate_Cell_x000D_
R391:caller_x000D_
</t>
        </r>
      </text>
    </comment>
    <comment ref="T391" authorId="0" shapeId="0" xr:uid="{45B17A3B-92E6-4F0C-A2A4-1C82C57EB207}">
      <text>
        <r>
          <rPr>
            <b/>
            <sz val="9"/>
            <color indexed="81"/>
            <rFont val="Tahoma"/>
            <family val="2"/>
          </rPr>
          <t xml:space="preserve">5.05015625:byte/s_x000D_
40.40125:bit/s_x000D_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8ED78672-946E-43C7-9EE8-FE9279B05946}">
      <text>
        <r>
          <rPr>
            <sz val="9"/>
            <color indexed="81"/>
            <rFont val="Tahoma"/>
            <family val="2"/>
          </rPr>
          <t xml:space="preserve">init:  500017917,500021517_x000D_
</t>
        </r>
      </text>
    </comment>
    <comment ref="A12" authorId="0" shapeId="0" xr:uid="{42021843-6513-4DBC-B3C1-ACF8772ED490}">
      <text>
        <r>
          <rPr>
            <sz val="9"/>
            <color indexed="81"/>
            <rFont val="Tahoma"/>
            <family val="2"/>
          </rPr>
          <t xml:space="preserve">PB:  500018217,500018817,(HSK3,,DT2,,DT4,,)_x000D_
</t>
        </r>
      </text>
    </comment>
    <comment ref="A13" authorId="0" shapeId="0" xr:uid="{F6D6C151-4830-408E-862A-37D33E0E76B6}">
      <text>
        <r>
          <rPr>
            <sz val="9"/>
            <color indexed="81"/>
            <rFont val="Tahoma"/>
            <family val="2"/>
          </rPr>
          <t xml:space="preserve">PB:  500018517,500020917,(,DT1,,DT3,,,)_x000D_
</t>
        </r>
      </text>
    </comment>
    <comment ref="A15" authorId="0" shapeId="0" xr:uid="{D3F3C526-E768-4656-94CF-070D3486EC1F}">
      <text>
        <r>
          <rPr>
            <sz val="9"/>
            <color indexed="81"/>
            <rFont val="Tahoma"/>
            <family val="2"/>
          </rPr>
          <t xml:space="preserve">PB:  500019117,500020317,(HSK3,,DT2,,DT4,,)_x000D_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<sst xmlns="http://schemas.openxmlformats.org/spreadsheetml/2006/main" count="24064" uniqueCount="8575">
  <si>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</si>
  <si>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</si>
  <si>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</si>
  <si>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</si>
  <si>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</si>
  <si>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</si>
  <si>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</si>
  <si>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</si>
  <si>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</si>
  <si>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</si>
  <si>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</si>
  <si>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</si>
  <si>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</si>
  <si>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</si>
  <si>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</si>
  <si>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</si>
  <si>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</si>
  <si>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</si>
  <si>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</si>
  <si>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</si>
  <si>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</si>
  <si>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</si>
  <si>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</si>
  <si>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</si>
  <si>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</si>
  <si>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</si>
  <si>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</si>
  <si>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</si>
  <si>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</si>
  <si>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</si>
  <si>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</si>
  <si>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</si>
  <si>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</si>
  <si>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</si>
  <si>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</si>
  <si>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</si>
  <si>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</si>
  <si>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</si>
  <si>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</si>
  <si>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</si>
  <si>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</si>
  <si>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</si>
  <si>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</si>
  <si>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</si>
  <si>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</si>
  <si>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</si>
  <si>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</si>
  <si>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</si>
  <si>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</si>
  <si>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</si>
  <si>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</si>
  <si>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</si>
  <si>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</si>
  <si>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</si>
  <si>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</si>
  <si>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</si>
  <si>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</si>
  <si>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</si>
  <si>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</si>
  <si>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</si>
  <si>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</si>
  <si>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</si>
  <si>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</si>
  <si>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</si>
  <si>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</si>
  <si>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</si>
  <si>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</si>
  <si>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</si>
  <si>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</si>
  <si>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</si>
  <si>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</si>
  <si>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</si>
  <si>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</si>
  <si>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</si>
  <si>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</si>
  <si>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</si>
  <si>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</si>
  <si>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</si>
  <si>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</si>
  <si>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</si>
  <si>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</si>
  <si>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</si>
  <si>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</si>
  <si>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</si>
  <si>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</si>
  <si>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</si>
  <si>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</si>
  <si>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</si>
  <si>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</si>
  <si>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</si>
  <si>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</si>
  <si>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</si>
  <si>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</si>
  <si>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</si>
  <si>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</si>
  <si>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</si>
  <si>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</si>
  <si>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</si>
  <si>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</si>
  <si>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</si>
  <si>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</si>
  <si>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</si>
  <si>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</si>
  <si>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</si>
  <si>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</si>
  <si>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</si>
  <si>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</si>
  <si>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</si>
  <si>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</si>
  <si>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</si>
  <si>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</si>
  <si>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</si>
  <si>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</si>
  <si>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</si>
  <si>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</si>
  <si>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</si>
  <si>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</si>
  <si>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</si>
  <si>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</si>
  <si>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</si>
  <si>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</si>
  <si>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</si>
  <si>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</si>
  <si>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</si>
  <si>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</si>
  <si>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</si>
  <si>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</si>
  <si>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</si>
  <si>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</si>
  <si>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</si>
  <si>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</si>
  <si>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</si>
  <si>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</si>
  <si>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</si>
  <si>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</si>
  <si>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</si>
  <si>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</si>
  <si>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</si>
  <si>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</si>
  <si>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</si>
  <si>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</si>
  <si>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</si>
  <si>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</si>
  <si>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</si>
  <si>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</si>
  <si>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</si>
  <si>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</si>
  <si>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</si>
  <si>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</si>
  <si>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</si>
  <si>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</si>
  <si>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</si>
  <si>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</si>
  <si>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</si>
  <si>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</si>
  <si>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</si>
  <si>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</si>
  <si>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</si>
  <si>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</si>
  <si>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</si>
  <si>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</si>
  <si>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</si>
  <si>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</si>
  <si>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</si>
  <si>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</si>
  <si>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</si>
  <si>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</si>
  <si>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</si>
  <si>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</si>
  <si>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</si>
  <si>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</si>
  <si>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</si>
  <si>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</si>
  <si>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</si>
  <si>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</si>
  <si>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</si>
  <si>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</si>
  <si>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</si>
  <si>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</si>
  <si>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</si>
  <si>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</si>
  <si>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</si>
  <si>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</si>
  <si>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</si>
  <si>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</si>
  <si>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</si>
  <si>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</si>
  <si>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</si>
  <si>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</si>
  <si>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</si>
  <si>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</si>
  <si>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</si>
  <si>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</si>
  <si>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</si>
  <si>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</si>
  <si>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</si>
  <si>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</si>
  <si>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</si>
  <si>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</si>
  <si>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</si>
  <si>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</si>
  <si>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</si>
  <si>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</si>
  <si>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</si>
  <si>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</si>
  <si>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</si>
  <si>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</si>
  <si>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</si>
  <si>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</si>
  <si>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</si>
  <si>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</si>
  <si>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</si>
  <si>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</si>
  <si>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</si>
  <si>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</si>
  <si>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</si>
  <si>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</si>
  <si>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</si>
  <si>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</si>
  <si>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</si>
  <si>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</si>
  <si>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</si>
  <si>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</si>
  <si>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</si>
  <si>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</si>
  <si>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</si>
  <si>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</si>
  <si>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</si>
  <si>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</si>
  <si>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</si>
  <si>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</si>
  <si>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</si>
  <si>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</si>
  <si>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</si>
  <si>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</si>
  <si>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</si>
  <si>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</si>
  <si>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</si>
  <si>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</si>
  <si>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</si>
  <si>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</si>
  <si>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</si>
  <si>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</si>
  <si>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</si>
  <si>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</si>
  <si>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</si>
  <si>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</si>
  <si>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</si>
  <si>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</si>
  <si>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</si>
  <si>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</si>
  <si>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</si>
  <si>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</si>
  <si>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</si>
  <si>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</si>
  <si>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</si>
  <si>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</si>
  <si>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</si>
  <si>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</si>
  <si>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</si>
  <si>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</si>
  <si>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</si>
  <si>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</si>
  <si>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</si>
  <si>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</si>
  <si>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</si>
  <si>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</si>
  <si>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</si>
  <si>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</si>
  <si>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</si>
  <si>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</si>
  <si>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</si>
  <si>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</si>
  <si>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</si>
  <si>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</si>
  <si>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</si>
  <si>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</si>
  <si>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</si>
  <si>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</si>
  <si>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</si>
  <si>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</si>
  <si>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</si>
  <si>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</si>
  <si>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</si>
  <si>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</si>
  <si>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</si>
  <si>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</si>
  <si>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</si>
  <si>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</si>
  <si>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</si>
  <si>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</si>
  <si>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</si>
  <si>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</si>
  <si>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</si>
  <si>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</si>
  <si>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</si>
  <si>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</si>
  <si>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</si>
  <si>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</si>
  <si>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</si>
  <si>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</si>
  <si>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</si>
  <si>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</si>
  <si>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</si>
  <si>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</si>
  <si>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</si>
  <si>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</si>
  <si>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</si>
  <si>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</si>
  <si>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</si>
  <si>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</si>
  <si>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</si>
  <si>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</si>
  <si>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</si>
  <si>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</si>
  <si>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</si>
  <si>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</si>
  <si>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</si>
  <si>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</si>
  <si>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</si>
  <si>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</si>
  <si>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</si>
  <si>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</si>
  <si>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</si>
  <si>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</si>
  <si>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</si>
  <si>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</si>
  <si>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</si>
  <si>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</si>
  <si>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</si>
  <si>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</si>
  <si>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</si>
  <si>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</si>
  <si>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</si>
  <si>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</si>
  <si>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</si>
  <si>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</si>
  <si>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</si>
  <si>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</si>
  <si>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</si>
  <si>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</si>
  <si>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</si>
  <si>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</si>
  <si>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</si>
  <si>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</si>
  <si>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</si>
  <si>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</si>
  <si>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</si>
  <si>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</si>
  <si>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</si>
  <si>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</si>
  <si>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</si>
  <si>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</si>
  <si>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</si>
  <si>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</si>
  <si>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</si>
  <si>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</si>
  <si>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</si>
  <si>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</si>
  <si>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</si>
  <si>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</si>
  <si>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</si>
  <si>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</si>
  <si>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</si>
  <si>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</si>
  <si>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</si>
  <si>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</si>
  <si>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</si>
  <si>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</si>
  <si>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</si>
  <si>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</si>
  <si>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</si>
  <si>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</si>
  <si>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</si>
  <si>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</si>
  <si>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</si>
  <si>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</si>
  <si>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</si>
  <si>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</si>
  <si>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</si>
  <si>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</si>
  <si>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</si>
  <si>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</si>
  <si>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</si>
  <si>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</si>
  <si>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</si>
  <si>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</si>
  <si>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</si>
  <si>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</si>
  <si>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</si>
  <si>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</si>
  <si>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</si>
  <si>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</si>
  <si>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</si>
  <si>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</si>
  <si>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</si>
  <si>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</si>
  <si>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</si>
  <si>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</si>
  <si>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</si>
  <si>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</si>
  <si>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</si>
  <si>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</si>
  <si>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</si>
  <si>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</si>
  <si>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</si>
  <si>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</si>
  <si>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</si>
  <si>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</si>
  <si>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</si>
  <si>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</si>
  <si>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</si>
  <si>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</si>
  <si>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</si>
  <si>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</si>
  <si>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</si>
  <si>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</si>
  <si>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</si>
  <si>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</si>
  <si>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</si>
  <si>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</si>
  <si>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</si>
  <si>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</si>
  <si>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</si>
  <si>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</si>
  <si>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</si>
  <si>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</si>
  <si>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</si>
  <si>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</si>
  <si>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</si>
  <si>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</si>
  <si>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</si>
  <si>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</si>
  <si>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</si>
  <si>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</si>
  <si>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</si>
  <si>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</si>
  <si>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</si>
  <si>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</si>
  <si>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</si>
  <si>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</si>
  <si>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</si>
  <si>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</si>
  <si>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</si>
  <si>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</si>
  <si>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</si>
  <si>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</si>
  <si>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</si>
  <si>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</si>
  <si>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</si>
  <si>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</si>
  <si>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</si>
  <si>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</si>
  <si>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</si>
  <si>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</si>
  <si>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</si>
  <si>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</si>
  <si>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</si>
  <si>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</si>
  <si>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</si>
  <si>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</si>
  <si>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</si>
  <si>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</si>
  <si>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</si>
  <si>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</si>
  <si>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</si>
  <si>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</si>
  <si>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</si>
  <si>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</si>
  <si>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</si>
  <si>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</si>
  <si>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</si>
  <si>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</si>
  <si>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</si>
  <si>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</si>
  <si>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</si>
  <si>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</si>
  <si>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</si>
  <si>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</si>
  <si>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</si>
  <si>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</si>
  <si>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</si>
  <si>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</si>
  <si>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</si>
  <si>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</si>
  <si>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</si>
  <si>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</si>
  <si>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</si>
  <si>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</si>
  <si>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</si>
  <si>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</si>
  <si>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</si>
  <si>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</si>
  <si>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</si>
  <si>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</si>
  <si>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</si>
  <si>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</si>
  <si>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</si>
  <si>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</si>
  <si>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</si>
  <si>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</si>
  <si>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</si>
  <si>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</si>
  <si>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</si>
  <si>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</si>
  <si>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</si>
  <si>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</si>
  <si>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</si>
  <si>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</si>
  <si>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</si>
  <si>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</si>
  <si>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</si>
  <si>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</si>
  <si>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</si>
  <si>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</si>
  <si>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</si>
  <si>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</si>
  <si>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</si>
  <si>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</si>
  <si>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</si>
  <si>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</si>
  <si>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</si>
  <si>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</si>
  <si>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</si>
  <si>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</si>
  <si>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</si>
  <si>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</si>
  <si>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</si>
  <si>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</si>
  <si>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</si>
  <si>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</si>
  <si>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</si>
  <si>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</si>
  <si>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</si>
  <si>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</si>
  <si>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</si>
  <si>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</si>
  <si>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</si>
  <si>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</si>
  <si>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</si>
  <si>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</si>
  <si>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</si>
  <si>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</si>
  <si>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</si>
  <si>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</si>
  <si>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</si>
  <si>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</si>
  <si>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</si>
  <si>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</si>
  <si>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</si>
  <si>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</si>
  <si>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</si>
  <si>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</si>
  <si>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</si>
  <si>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</si>
  <si>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</si>
  <si>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</si>
  <si>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</si>
  <si>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</si>
  <si>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</si>
  <si>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</si>
  <si>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</si>
  <si>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</si>
  <si>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</si>
  <si>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</si>
  <si>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</si>
  <si>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</si>
  <si>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</si>
  <si>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</si>
  <si>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</si>
  <si>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</si>
  <si>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</si>
  <si>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</si>
  <si>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</si>
  <si>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</si>
  <si>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</si>
  <si>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</si>
  <si>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</si>
  <si>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</si>
  <si>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</si>
  <si>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</si>
  <si>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</si>
  <si>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</si>
  <si>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</si>
  <si>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</si>
  <si>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</si>
  <si>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</si>
  <si>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</si>
  <si>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</si>
  <si>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</si>
  <si>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</si>
  <si>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</si>
  <si>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</si>
  <si>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</si>
  <si>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</si>
  <si>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</si>
  <si>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</si>
  <si>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</si>
  <si>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</si>
  <si>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</si>
  <si>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</si>
  <si>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</si>
  <si>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</si>
  <si>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</si>
  <si>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</si>
  <si>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</si>
  <si>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</si>
  <si>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</si>
  <si>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</si>
  <si>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</si>
  <si>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</si>
  <si>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</si>
  <si>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</si>
  <si>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</si>
  <si>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</si>
  <si>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</si>
  <si>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</si>
  <si>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</si>
  <si>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</si>
  <si>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</si>
  <si>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</si>
  <si>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</si>
  <si>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</si>
  <si>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</si>
  <si>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</si>
  <si>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</si>
  <si>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</si>
  <si>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</si>
  <si>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</si>
  <si>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</si>
  <si>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</si>
  <si>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</si>
  <si>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</si>
  <si>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</si>
  <si>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</si>
  <si>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</si>
  <si>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</si>
  <si>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</si>
  <si>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</si>
  <si>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</si>
  <si>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</si>
  <si>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</si>
  <si>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</si>
  <si>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</si>
  <si>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</si>
  <si>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</si>
  <si>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</si>
  <si>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</si>
  <si>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</si>
  <si>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</si>
  <si>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</si>
  <si>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</si>
  <si>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</si>
  <si>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</si>
  <si>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</si>
  <si>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</si>
  <si>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</si>
  <si>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</si>
  <si>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</si>
  <si>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</si>
  <si>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</si>
  <si>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</si>
  <si>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</si>
  <si>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</si>
  <si>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</si>
  <si>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</si>
  <si>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</si>
  <si>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</si>
  <si>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</si>
  <si>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</si>
  <si>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</si>
  <si>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</si>
  <si>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</si>
  <si>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</si>
  <si>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</si>
  <si>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</si>
  <si>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</si>
  <si>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</si>
  <si>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</si>
  <si>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</si>
  <si>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</si>
  <si>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</si>
  <si>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</si>
  <si>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</si>
  <si>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</si>
  <si>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</si>
  <si>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</si>
  <si>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</si>
  <si>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</si>
  <si>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</si>
  <si>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</si>
  <si>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</si>
  <si>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</si>
  <si>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</si>
  <si>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</si>
  <si>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</si>
  <si>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</si>
  <si>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</si>
  <si>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</si>
  <si>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</si>
  <si>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</si>
  <si>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</si>
  <si>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</si>
  <si>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</si>
  <si>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</si>
  <si>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</si>
  <si>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</si>
  <si>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</si>
  <si>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</si>
  <si>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</si>
  <si>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</si>
  <si>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</si>
  <si>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</si>
  <si>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</si>
  <si>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</si>
  <si>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</si>
  <si>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</si>
  <si>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</si>
  <si>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</si>
  <si>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</si>
  <si>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</si>
  <si>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</si>
  <si>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</si>
  <si>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</si>
  <si>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</si>
  <si>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</si>
  <si>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</si>
  <si>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</si>
  <si>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</si>
  <si>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</si>
  <si>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</si>
  <si>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</si>
  <si>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</si>
  <si>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</si>
  <si>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</si>
  <si>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</si>
  <si>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</si>
  <si>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</si>
  <si>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</si>
  <si>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</si>
  <si>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</si>
  <si>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</si>
  <si>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</si>
  <si>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</si>
  <si>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</si>
  <si>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</si>
  <si>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</si>
  <si>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</si>
  <si>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</si>
  <si>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</si>
  <si>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</si>
  <si>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</si>
  <si>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</si>
  <si>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</si>
  <si>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</si>
  <si>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</si>
  <si>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</si>
  <si>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</si>
  <si>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</si>
  <si>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</si>
  <si>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</si>
  <si>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</si>
  <si>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</si>
  <si>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</si>
  <si>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</si>
  <si>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</si>
  <si>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</si>
  <si>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</si>
  <si>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</si>
  <si>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</si>
  <si>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</si>
  <si>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</si>
  <si>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</si>
  <si>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</si>
  <si>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</si>
  <si>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</si>
  <si>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</si>
  <si>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</si>
  <si>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</si>
  <si>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</si>
  <si>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</si>
  <si>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</si>
  <si>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</si>
  <si>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</si>
  <si>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</si>
  <si>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</si>
  <si>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</si>
  <si>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</si>
  <si>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</si>
  <si>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</si>
  <si>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</si>
  <si>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</si>
  <si>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</si>
  <si>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</si>
  <si>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</si>
  <si>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</si>
  <si>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</si>
  <si>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</si>
  <si>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</si>
  <si>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</si>
  <si>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</si>
  <si>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</si>
  <si>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</si>
  <si>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</si>
  <si>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</si>
  <si>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</si>
  <si>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</si>
  <si>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</si>
  <si>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</si>
  <si>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</si>
  <si>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</si>
  <si>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</si>
  <si>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</si>
  <si>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</si>
  <si>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</si>
  <si>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</si>
  <si>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</si>
  <si>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</si>
  <si>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</si>
  <si>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</si>
  <si>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</si>
  <si>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</si>
  <si>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</si>
  <si>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</si>
  <si>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</si>
  <si>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</si>
  <si>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</si>
  <si>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</si>
  <si>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</si>
  <si>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</si>
  <si>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</si>
  <si>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</si>
  <si>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</si>
  <si>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</si>
  <si>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</si>
  <si>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</si>
  <si>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</si>
  <si>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</si>
  <si>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</si>
  <si>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</si>
  <si>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</si>
  <si>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</si>
  <si>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</si>
  <si>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</si>
  <si>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</si>
  <si>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</si>
  <si>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</si>
  <si>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</si>
  <si>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</si>
  <si>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</si>
  <si>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</si>
  <si>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</si>
  <si>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</si>
  <si>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</si>
  <si>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</si>
  <si>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</si>
  <si>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</si>
  <si>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</si>
  <si>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</si>
  <si>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</si>
  <si>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</si>
  <si>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</si>
  <si>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</si>
  <si>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</si>
  <si>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</si>
  <si>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</si>
  <si>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</si>
  <si>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</si>
  <si>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</si>
  <si>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</si>
  <si>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</si>
  <si>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</si>
  <si>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</si>
  <si>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</si>
  <si>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</si>
  <si>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</si>
  <si>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</si>
  <si>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</si>
  <si>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</si>
  <si>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</si>
  <si>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</si>
  <si>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</si>
  <si>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</si>
  <si>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</si>
  <si>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</si>
  <si>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</si>
  <si>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</si>
  <si>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</si>
  <si>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</si>
  <si>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</si>
  <si>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</si>
  <si>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</si>
  <si>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</si>
  <si>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</si>
  <si>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</si>
  <si>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</si>
  <si>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</si>
  <si>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</si>
  <si>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</si>
  <si>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</si>
  <si>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</si>
  <si>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</si>
  <si>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</si>
  <si>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</si>
  <si>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</si>
  <si>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</si>
  <si>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</si>
  <si>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</si>
  <si>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</si>
  <si>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</si>
  <si>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</si>
  <si>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</si>
  <si>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</si>
  <si>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</si>
  <si>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</si>
  <si>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</si>
  <si>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</si>
  <si>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</si>
  <si>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</si>
  <si>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</si>
  <si>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</si>
  <si>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</si>
  <si>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</si>
  <si>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</si>
  <si>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</si>
  <si>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</si>
  <si>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</si>
  <si>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</si>
  <si>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</si>
  <si>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</si>
  <si>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</si>
  <si>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</si>
  <si>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</si>
  <si>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</si>
  <si>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</si>
  <si>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</si>
  <si>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</si>
  <si>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</si>
  <si>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</si>
  <si>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</si>
  <si>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</si>
  <si>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</si>
  <si>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</si>
  <si>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</si>
  <si>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</si>
  <si>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</si>
  <si>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</si>
  <si>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</si>
  <si>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</si>
  <si>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</si>
  <si>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</si>
  <si>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</si>
  <si>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</si>
  <si>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</si>
  <si>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</si>
  <si>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</si>
  <si>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</si>
  <si>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</si>
  <si>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</si>
  <si>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</si>
  <si>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</si>
  <si>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</si>
  <si>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</si>
  <si>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</si>
  <si>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</si>
  <si>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</si>
  <si>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</si>
  <si>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</si>
  <si>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</si>
  <si>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</si>
  <si>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</si>
  <si>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</si>
  <si>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</si>
  <si>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</si>
  <si>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</si>
  <si>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</si>
  <si>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</si>
  <si>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</si>
  <si>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</si>
  <si>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</si>
  <si>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</si>
  <si>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</si>
  <si>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</si>
  <si>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</si>
  <si>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</si>
  <si>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</si>
  <si>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</si>
  <si>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</si>
  <si>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</si>
  <si>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</si>
  <si>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</si>
  <si>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</si>
  <si>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</si>
  <si>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</si>
  <si>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</si>
  <si>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</si>
  <si>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</si>
  <si>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</si>
  <si>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</si>
  <si>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</si>
  <si>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</si>
  <si>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</si>
  <si>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</si>
  <si>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</si>
  <si>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</si>
  <si>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</si>
  <si>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</si>
  <si>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</si>
  <si>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</si>
  <si>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</si>
  <si>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</si>
  <si>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</si>
  <si>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</si>
  <si>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</si>
  <si>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</si>
  <si>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</si>
  <si>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</si>
  <si>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</si>
  <si>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</si>
  <si>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</si>
  <si>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</si>
  <si>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</si>
  <si>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</si>
  <si>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</si>
  <si>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</si>
  <si>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</si>
  <si>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</si>
  <si>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</si>
  <si>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</si>
  <si>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</si>
  <si>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</si>
  <si>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</si>
  <si>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</si>
  <si>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</si>
  <si>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</si>
  <si>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</si>
  <si>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</si>
  <si>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</si>
  <si>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</si>
  <si>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</si>
  <si>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</si>
  <si>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</si>
  <si>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</si>
  <si>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</si>
  <si>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</si>
  <si>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</si>
  <si>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</si>
  <si>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</si>
  <si>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</si>
  <si>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</si>
  <si>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</si>
  <si>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</si>
  <si>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</si>
  <si>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</si>
  <si>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</si>
  <si>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</si>
  <si>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</si>
  <si>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</si>
  <si>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</si>
  <si>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</si>
  <si>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</si>
  <si>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</si>
  <si>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</si>
  <si>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</si>
  <si>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</si>
  <si>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</si>
  <si>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</si>
  <si>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</si>
  <si>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</si>
  <si>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</si>
  <si>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</si>
  <si>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</si>
  <si>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</si>
  <si>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</si>
  <si>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</si>
  <si>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</si>
  <si>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</si>
  <si>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</si>
  <si>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</si>
  <si>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</si>
  <si>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</si>
  <si>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</si>
  <si>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</si>
  <si>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</si>
  <si>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</si>
  <si>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</si>
  <si>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</si>
  <si>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</si>
  <si>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</si>
  <si>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</si>
  <si>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</si>
  <si>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</si>
  <si>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</si>
  <si>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</si>
  <si>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</si>
  <si>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</si>
  <si>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</si>
  <si>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</si>
  <si>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</si>
  <si>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</si>
  <si>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</si>
  <si>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</si>
  <si>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</si>
  <si>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</si>
  <si>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</si>
  <si>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</si>
  <si>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</si>
  <si>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</si>
  <si>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</si>
  <si>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</si>
  <si>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</si>
  <si>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</si>
  <si>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</si>
  <si>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</si>
  <si>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</si>
  <si>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</si>
  <si>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</si>
  <si>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</si>
  <si>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</si>
  <si>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</si>
  <si>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</si>
  <si>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</si>
  <si>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</si>
  <si>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</si>
  <si>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</si>
  <si>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</si>
  <si>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</si>
  <si>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</si>
  <si>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</si>
  <si>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</si>
  <si>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</si>
  <si>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</si>
  <si>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</si>
  <si>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</si>
  <si>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</si>
  <si>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</si>
  <si>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</si>
  <si>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</si>
  <si>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</si>
  <si>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</si>
  <si>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</si>
  <si>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</si>
  <si>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</si>
  <si>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</si>
  <si>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</si>
  <si>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</si>
  <si>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</si>
  <si>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</si>
  <si>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</si>
  <si>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</si>
  <si>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</si>
  <si>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</si>
  <si>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</si>
  <si>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</si>
  <si>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</si>
  <si>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</si>
  <si>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</si>
  <si>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</si>
  <si>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</si>
  <si>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</si>
  <si>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</si>
  <si>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</si>
  <si>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</si>
  <si>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</si>
  <si>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</si>
  <si>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</si>
  <si>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</si>
  <si>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</si>
  <si>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</si>
  <si>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</si>
  <si>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</si>
  <si>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</si>
  <si>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</si>
  <si>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</si>
  <si>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</si>
  <si>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</si>
  <si>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</si>
  <si>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</si>
  <si>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</si>
  <si>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</si>
  <si>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</si>
  <si>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</si>
  <si>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</si>
  <si>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</si>
  <si>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</si>
  <si>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</si>
  <si>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</si>
  <si>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</si>
  <si>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</si>
  <si>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</si>
  <si>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</si>
  <si>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</si>
  <si>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</si>
  <si>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</si>
  <si>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</si>
  <si>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</si>
  <si>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</si>
  <si>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</si>
  <si>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</si>
  <si>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</si>
  <si>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</si>
  <si>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</si>
  <si>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</si>
  <si>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</si>
  <si>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</si>
  <si>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</si>
  <si>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</si>
  <si>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</si>
  <si>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</si>
  <si>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</si>
  <si>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</si>
  <si>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</si>
  <si>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</si>
  <si>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</si>
  <si>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</si>
  <si>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</si>
  <si>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</si>
  <si>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</si>
  <si>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</si>
  <si>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</si>
  <si>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</si>
  <si>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</si>
  <si>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</si>
  <si>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</si>
  <si>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</si>
  <si>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</si>
  <si>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</si>
  <si>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</si>
  <si>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</si>
  <si>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</si>
  <si>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</si>
  <si>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</si>
  <si>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</si>
  <si>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</si>
  <si>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</si>
  <si>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</si>
  <si>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</si>
  <si>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</si>
  <si>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</si>
  <si>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</si>
  <si>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</si>
  <si>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</si>
  <si>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</si>
  <si>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</si>
  <si>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</si>
  <si>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</si>
  <si>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</si>
  <si>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</si>
  <si>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</si>
  <si>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</si>
  <si>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</si>
  <si>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</si>
  <si>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</si>
  <si>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</si>
  <si>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</si>
  <si>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</si>
  <si>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</si>
  <si>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</si>
  <si>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</si>
  <si>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</si>
  <si>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</si>
  <si>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</si>
  <si>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</si>
  <si>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</si>
  <si>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</si>
  <si>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</si>
  <si>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</si>
  <si>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</si>
  <si>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</si>
  <si>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</si>
  <si>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</si>
  <si>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</si>
  <si>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</si>
  <si>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</si>
  <si>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</si>
  <si>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</si>
  <si>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</si>
  <si>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</si>
  <si>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</si>
  <si>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</si>
  <si>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</si>
  <si>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</si>
  <si>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</si>
  <si>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</si>
  <si>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</si>
  <si>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</si>
  <si>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</si>
  <si>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</si>
  <si>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</si>
  <si>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</si>
  <si>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</si>
  <si>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</si>
  <si>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</si>
  <si>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</si>
  <si>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</si>
  <si>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</si>
  <si>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</si>
  <si>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</si>
  <si>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</si>
  <si>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</si>
  <si>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</si>
  <si>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</si>
  <si>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</si>
  <si>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</si>
  <si>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</si>
  <si>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</si>
  <si>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</si>
  <si>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</si>
  <si>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</si>
  <si>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</si>
  <si>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</si>
  <si>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</si>
  <si>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</si>
  <si>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</si>
  <si>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</si>
  <si>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</si>
  <si>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</si>
  <si>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</si>
  <si>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</si>
  <si>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</si>
  <si>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</si>
  <si>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</si>
  <si>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</si>
  <si>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</si>
  <si>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</si>
  <si>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</si>
  <si>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</si>
  <si>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</si>
  <si>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</si>
  <si>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</si>
  <si>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</si>
  <si>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</si>
  <si>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</si>
  <si>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</si>
  <si>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</si>
  <si>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</si>
  <si>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</si>
  <si>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</si>
  <si>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</si>
  <si>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</si>
  <si>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</si>
  <si>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</si>
  <si>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</si>
  <si>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</si>
  <si>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</si>
  <si>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</si>
  <si>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</si>
  <si>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</si>
  <si>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</si>
  <si>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</si>
  <si>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</si>
  <si>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</si>
  <si>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</si>
  <si>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</si>
  <si>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</si>
  <si>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</si>
  <si>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</si>
  <si>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</si>
  <si>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</si>
  <si>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</si>
  <si>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</si>
  <si>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</si>
  <si>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</si>
  <si>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</si>
  <si>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</si>
  <si>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</si>
  <si>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</si>
  <si>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</si>
  <si>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</si>
  <si>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</si>
  <si>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</si>
  <si>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</si>
  <si>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</si>
  <si>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</si>
  <si>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</si>
  <si>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</si>
  <si>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</si>
  <si>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</si>
  <si>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</si>
  <si>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</si>
  <si>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</si>
  <si>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</si>
  <si>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</si>
  <si>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</si>
  <si>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</si>
  <si>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</si>
  <si>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</si>
  <si>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</si>
  <si>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</si>
  <si>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</si>
  <si>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</si>
  <si>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</si>
  <si>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</si>
  <si>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</si>
  <si>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</si>
  <si>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</si>
  <si>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</si>
  <si>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</si>
  <si>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</si>
  <si>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</si>
  <si>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</si>
  <si>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</si>
  <si>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</si>
  <si>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</si>
  <si>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</si>
  <si>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</si>
  <si>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</si>
  <si>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</si>
  <si>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</si>
  <si>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</si>
  <si>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</si>
  <si>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</si>
  <si>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</si>
  <si>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</si>
  <si>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</si>
  <si>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</si>
  <si>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</si>
  <si>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</si>
  <si>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</si>
  <si>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</si>
  <si>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</si>
  <si>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</si>
  <si>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</si>
  <si>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</si>
  <si>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</si>
  <si>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</si>
  <si>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</si>
  <si>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</si>
  <si>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</si>
  <si>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</si>
  <si>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</si>
  <si>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</si>
  <si>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</si>
  <si>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</si>
  <si>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</si>
  <si>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</si>
  <si>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</si>
  <si>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</si>
  <si>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</si>
  <si>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</si>
  <si>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</si>
  <si>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</si>
  <si>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</si>
  <si>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</si>
  <si>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</si>
  <si>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</si>
  <si>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</si>
  <si>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</si>
  <si>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</si>
  <si>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</si>
  <si>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</si>
  <si>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</si>
  <si>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</si>
  <si>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</si>
  <si>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</si>
  <si>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</si>
  <si>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</si>
  <si>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</si>
  <si>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</si>
  <si>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</si>
  <si>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</si>
  <si>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</si>
  <si>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</si>
  <si>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</si>
  <si>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</si>
  <si>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</si>
  <si>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</si>
  <si>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</si>
  <si>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</si>
  <si>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</si>
  <si>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</si>
  <si>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</si>
  <si>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</si>
  <si>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</si>
  <si>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</si>
  <si>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</si>
  <si>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</si>
  <si>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</si>
  <si>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</si>
  <si>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</si>
  <si>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</si>
  <si>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</si>
  <si>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</si>
  <si>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</si>
  <si>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</si>
  <si>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</si>
  <si>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</si>
  <si>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</si>
  <si>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</si>
  <si>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</si>
  <si>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</si>
  <si>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</si>
  <si>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</si>
  <si>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</si>
  <si>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</si>
  <si>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</si>
  <si>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</si>
  <si>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</si>
  <si>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</si>
  <si>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</si>
  <si>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</si>
  <si>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</si>
  <si>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</si>
  <si>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</si>
  <si>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</si>
  <si>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</si>
  <si>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</si>
  <si>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</si>
  <si>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</si>
  <si>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</si>
  <si>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</si>
  <si>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</si>
  <si>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</si>
  <si>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</si>
  <si>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</si>
  <si>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</si>
  <si>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</si>
  <si>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</si>
  <si>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</si>
  <si>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</si>
  <si>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</si>
  <si>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</si>
  <si>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</si>
  <si>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</si>
  <si>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</si>
  <si>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</si>
  <si>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</si>
  <si>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</si>
  <si>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</si>
  <si>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</si>
  <si>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</si>
  <si>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</si>
  <si>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</si>
  <si>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</si>
  <si>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</si>
  <si>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</si>
  <si>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</si>
  <si>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</si>
  <si>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</si>
  <si>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</si>
  <si>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</si>
  <si>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</si>
  <si>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</si>
  <si>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</si>
  <si>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</si>
  <si>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</si>
  <si>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</si>
  <si>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</si>
  <si>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</si>
  <si>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</si>
  <si>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</si>
  <si>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</si>
  <si>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</si>
  <si>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</si>
  <si>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</si>
  <si>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</si>
  <si>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</si>
  <si>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</si>
  <si>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</si>
  <si>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</si>
  <si>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</si>
  <si>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</si>
  <si>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</si>
  <si>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</si>
  <si>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</si>
  <si>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</si>
  <si>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</si>
  <si>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</si>
  <si>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</si>
  <si>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</si>
  <si>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</si>
  <si>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</si>
  <si>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</si>
  <si>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</si>
  <si>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</si>
  <si>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</si>
  <si>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</si>
  <si>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</si>
  <si>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</si>
  <si>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</si>
  <si>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</si>
  <si>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</si>
  <si>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</si>
  <si>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</si>
  <si>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</si>
  <si>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</si>
  <si>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</si>
  <si>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</si>
  <si>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</si>
  <si>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</si>
  <si>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</si>
  <si>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</si>
  <si>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</si>
  <si>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</si>
  <si>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</si>
  <si>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</si>
  <si>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</si>
  <si>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</si>
  <si>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</si>
  <si>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</si>
  <si>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</si>
  <si>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</si>
  <si>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</si>
  <si>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</si>
  <si>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</si>
  <si>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</si>
  <si>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</si>
  <si>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</si>
  <si>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</si>
  <si>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</si>
  <si>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</si>
  <si>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</si>
  <si>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</si>
  <si>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</si>
  <si>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</si>
  <si>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</si>
  <si>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</si>
  <si>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</si>
  <si>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</si>
  <si>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</si>
  <si>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</si>
  <si>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</si>
  <si>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</si>
  <si>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</si>
  <si>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</si>
  <si>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</si>
  <si>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</si>
  <si>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</si>
  <si>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</si>
  <si>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</si>
  <si>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</si>
  <si>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</si>
  <si>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</si>
  <si>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</si>
  <si>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</si>
  <si>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</si>
  <si>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</si>
  <si>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</si>
  <si>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</si>
  <si>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</si>
  <si>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</si>
  <si>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</si>
  <si>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</si>
  <si>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</si>
  <si>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</si>
  <si>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</si>
  <si>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</si>
  <si>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</si>
  <si>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</si>
  <si>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</si>
  <si>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</si>
  <si>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</si>
  <si>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</si>
  <si>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</si>
  <si>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</si>
  <si>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</si>
  <si>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</si>
  <si>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</si>
  <si>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</si>
  <si>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</si>
  <si>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</si>
  <si>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</si>
  <si>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</si>
  <si>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</si>
  <si>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</si>
  <si>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</si>
  <si>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</si>
  <si>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</si>
  <si>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</si>
  <si>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</si>
  <si>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</si>
  <si>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</si>
  <si>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</si>
  <si>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</si>
  <si>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</si>
  <si>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</si>
  <si>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</si>
  <si>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</si>
  <si>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</si>
  <si>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</si>
  <si>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</si>
  <si>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</si>
  <si>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</si>
  <si>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</si>
  <si>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</si>
  <si>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</si>
  <si>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</si>
  <si>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</si>
  <si>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</si>
  <si>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</si>
  <si>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</si>
  <si>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</si>
  <si>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</si>
  <si>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</si>
  <si>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</si>
  <si>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</si>
  <si>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</si>
  <si>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</si>
  <si>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</si>
  <si>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</si>
  <si>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</si>
  <si>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</si>
  <si>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</si>
  <si>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</si>
  <si>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</si>
  <si>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</si>
  <si>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</si>
  <si>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</si>
  <si>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</si>
  <si>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</si>
  <si>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</si>
  <si>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</si>
  <si>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</si>
  <si>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</si>
  <si>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</si>
  <si>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</si>
  <si>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</si>
  <si>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</si>
  <si>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</si>
  <si>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</si>
  <si>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</si>
  <si>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</si>
  <si>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</si>
  <si>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</si>
  <si>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</si>
  <si>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</si>
  <si>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</si>
  <si>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</si>
  <si>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</si>
  <si>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</si>
  <si>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</si>
  <si>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</si>
  <si>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</si>
  <si>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</si>
  <si>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</si>
  <si>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</si>
  <si>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</si>
  <si>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</si>
  <si>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</si>
  <si>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</si>
  <si>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</si>
  <si>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</si>
  <si>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</si>
  <si>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</si>
  <si>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</si>
  <si>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</si>
  <si>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</si>
  <si>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</si>
  <si>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</si>
  <si>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</si>
  <si>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</si>
  <si>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</si>
  <si>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</si>
  <si>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</si>
  <si>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</si>
  <si>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</si>
  <si>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</si>
  <si>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</si>
  <si>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</si>
  <si>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</si>
  <si>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</si>
  <si>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</si>
  <si>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</si>
  <si>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</si>
  <si>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</si>
  <si>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</si>
  <si>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</si>
  <si>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</si>
  <si>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</si>
  <si>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</si>
  <si>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</si>
  <si>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</si>
  <si>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</si>
  <si>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</si>
  <si>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</si>
  <si>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</si>
  <si>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</si>
  <si>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</si>
  <si>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</si>
  <si>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</si>
  <si>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</si>
  <si>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</si>
  <si>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</si>
  <si>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</si>
  <si>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</si>
  <si>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</si>
  <si>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</si>
  <si>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</si>
  <si>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</si>
  <si>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</si>
  <si>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</si>
  <si>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</si>
  <si>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</si>
  <si>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</si>
  <si>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</si>
  <si>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</si>
  <si>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</si>
  <si>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</si>
  <si>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</si>
  <si>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</si>
  <si>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</si>
  <si>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</si>
  <si>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</si>
  <si>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</si>
  <si>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</si>
  <si>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</si>
  <si>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</si>
  <si>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</si>
  <si>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</si>
  <si>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</si>
  <si>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</si>
  <si>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</si>
  <si>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</si>
  <si>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</si>
  <si>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</si>
  <si>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</si>
  <si>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</si>
  <si>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</si>
  <si>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</si>
  <si>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</si>
  <si>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</si>
  <si>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</si>
  <si>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</si>
  <si>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</si>
  <si>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</si>
  <si>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</si>
  <si>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</si>
  <si>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</si>
  <si>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</si>
  <si>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</si>
  <si>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</si>
  <si>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</si>
  <si>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</si>
  <si>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</si>
  <si>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</si>
  <si>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</si>
  <si>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</si>
  <si>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</si>
  <si>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</si>
  <si>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</si>
  <si>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</si>
  <si>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</si>
  <si>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</si>
  <si>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</si>
  <si>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</si>
  <si>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</si>
  <si>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</si>
  <si>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</si>
  <si>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</si>
  <si>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</si>
  <si>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</si>
  <si>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</si>
  <si>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</si>
  <si>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</si>
  <si>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</si>
  <si>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</si>
  <si>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</si>
  <si>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</si>
  <si>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</si>
  <si>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</si>
  <si>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</si>
  <si>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</si>
  <si>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</si>
  <si>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</si>
  <si>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</si>
  <si>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</si>
  <si>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</si>
  <si>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</si>
  <si>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</si>
  <si>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</si>
  <si>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</si>
  <si>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</si>
  <si>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</si>
  <si>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</si>
  <si>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</si>
  <si>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</si>
  <si>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</si>
  <si>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</si>
  <si>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</si>
  <si>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</si>
  <si>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</si>
  <si>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</si>
  <si>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</si>
  <si>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</si>
  <si>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</si>
  <si>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</si>
  <si>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</si>
  <si>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</si>
  <si>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</si>
  <si>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</si>
  <si>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</si>
  <si>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</si>
  <si>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</si>
  <si>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</si>
  <si>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</si>
  <si>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</si>
  <si>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</si>
  <si>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</si>
  <si>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</si>
  <si>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</si>
  <si>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</si>
  <si>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</si>
  <si>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</si>
  <si>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</si>
  <si>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</si>
  <si>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</si>
  <si>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</si>
  <si>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</si>
  <si>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</si>
  <si>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</si>
  <si>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</si>
  <si>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</si>
  <si>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</si>
  <si>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</si>
  <si>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</si>
  <si>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</si>
  <si>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</si>
  <si>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</si>
  <si>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</si>
  <si>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</si>
  <si>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</si>
  <si>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</si>
  <si>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</si>
  <si>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</si>
  <si>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</si>
  <si>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</si>
  <si>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</si>
  <si>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</si>
  <si>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</si>
  <si>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</si>
  <si>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</si>
  <si>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</si>
  <si>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</si>
  <si>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</si>
  <si>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</si>
  <si>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</si>
  <si>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</si>
  <si>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</si>
  <si>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</si>
  <si>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</si>
  <si>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</si>
  <si>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</si>
  <si>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</si>
  <si>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</si>
  <si>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</si>
  <si>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</si>
  <si>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</si>
  <si>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</si>
  <si>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</si>
  <si>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</si>
  <si>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</si>
  <si>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</si>
  <si>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</si>
  <si>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</si>
  <si>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</si>
  <si>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</si>
  <si>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</si>
  <si>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</si>
  <si>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</si>
  <si>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</si>
  <si>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</si>
  <si>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</si>
  <si>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</si>
  <si>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</si>
  <si>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</si>
  <si>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</si>
  <si>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</si>
  <si>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</si>
  <si>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</si>
  <si>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</si>
  <si>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</si>
  <si>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</si>
  <si>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</si>
  <si>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</si>
  <si>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</si>
  <si>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</si>
  <si>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</si>
  <si>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</si>
  <si>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</si>
  <si>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</si>
  <si>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</si>
  <si>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</si>
  <si>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</si>
  <si>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</si>
  <si>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</si>
  <si>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</si>
  <si>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</si>
  <si>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</si>
  <si>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</si>
  <si>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</si>
  <si>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</si>
  <si>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</si>
  <si>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</si>
  <si>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</si>
  <si>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</si>
  <si>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</si>
  <si>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</si>
  <si>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</si>
  <si>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</si>
  <si>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</si>
  <si>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</si>
  <si>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</si>
  <si>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</si>
  <si>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</si>
  <si>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</si>
  <si>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</si>
  <si>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</si>
  <si>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</si>
  <si>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</si>
  <si>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</si>
  <si>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</si>
  <si>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</si>
  <si>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</si>
  <si>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</si>
  <si>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</si>
  <si>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</si>
  <si>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</si>
  <si>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</si>
  <si>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</si>
  <si>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</si>
  <si>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</si>
  <si>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</si>
  <si>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</si>
  <si>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</si>
  <si>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</si>
  <si>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</si>
  <si>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</si>
  <si>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</si>
  <si>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</si>
  <si>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</si>
  <si>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</si>
  <si>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</si>
  <si>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</si>
  <si>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</si>
  <si>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</si>
  <si>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</si>
  <si>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</si>
  <si>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</si>
  <si>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</si>
  <si>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</si>
  <si>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</si>
  <si>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</si>
  <si>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</si>
  <si>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</si>
  <si>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</si>
  <si>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</si>
  <si>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</si>
  <si>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</si>
  <si>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</si>
  <si>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</si>
  <si>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</si>
  <si>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</si>
  <si>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</si>
  <si>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</si>
  <si>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</si>
  <si>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</si>
  <si>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</si>
  <si>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</si>
  <si>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</si>
  <si>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</si>
  <si>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</si>
  <si>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</si>
  <si>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</si>
  <si>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</si>
  <si>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</si>
  <si>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</si>
  <si>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</si>
  <si>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</si>
  <si>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</si>
  <si>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</si>
  <si>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</si>
  <si>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</si>
  <si>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</si>
  <si>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</si>
  <si>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</si>
  <si>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</si>
  <si>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</si>
  <si>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</si>
  <si>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</si>
  <si>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</si>
  <si>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</si>
  <si>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</si>
  <si>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</si>
  <si>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</si>
  <si>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</si>
  <si>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</si>
  <si>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</si>
  <si>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</si>
  <si>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</si>
  <si>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</si>
  <si>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</si>
  <si>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</si>
  <si>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</si>
  <si>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</si>
  <si>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</si>
  <si>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</si>
  <si>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</si>
  <si>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</si>
  <si>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</si>
  <si>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</si>
  <si>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</si>
  <si>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</si>
  <si>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</si>
  <si>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</si>
  <si>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</si>
  <si>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</si>
  <si>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</si>
  <si>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</si>
  <si>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</si>
  <si>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</si>
  <si>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</si>
  <si>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</si>
  <si>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</si>
  <si>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</si>
  <si>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</si>
  <si>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</si>
  <si>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</si>
  <si>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</si>
  <si>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</si>
  <si>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</si>
  <si>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</si>
  <si>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</si>
  <si>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</si>
  <si>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</si>
  <si>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</si>
  <si>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</si>
  <si>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</si>
  <si>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</si>
  <si>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</si>
  <si>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</si>
  <si>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</si>
  <si>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</si>
  <si>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</si>
  <si>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</si>
  <si>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</si>
  <si>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</si>
  <si>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</si>
  <si>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</si>
  <si>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</si>
  <si>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</si>
  <si>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</si>
  <si>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</si>
  <si>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</si>
  <si>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</si>
  <si>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</si>
  <si>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</si>
  <si>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</si>
  <si>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</si>
  <si>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</si>
  <si>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</si>
  <si>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</si>
  <si>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</si>
  <si>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</si>
  <si>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</si>
  <si>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</si>
  <si>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</si>
  <si>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</si>
  <si>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</si>
  <si>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</si>
  <si>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</si>
  <si>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</si>
  <si>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</si>
  <si>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</si>
  <si>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</si>
  <si>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</si>
  <si>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</si>
  <si>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</si>
  <si>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</si>
  <si>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</si>
  <si>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</si>
  <si>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</si>
  <si>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</si>
  <si>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</si>
  <si>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</si>
  <si>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</si>
  <si>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</si>
  <si>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</si>
  <si>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</si>
  <si>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</si>
  <si>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</si>
  <si>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</si>
  <si>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</si>
  <si>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</si>
  <si>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</si>
  <si>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</si>
  <si>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</si>
  <si>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</si>
  <si>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</si>
  <si>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</si>
  <si>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</si>
  <si>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</si>
  <si>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</si>
  <si>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</si>
  <si>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</si>
  <si>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</si>
  <si>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</si>
  <si>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</si>
  <si>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</si>
  <si>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</si>
  <si>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</si>
  <si>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</si>
  <si>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</si>
  <si>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</si>
  <si>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</si>
  <si>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</si>
  <si>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</si>
  <si>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</si>
  <si>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</si>
  <si>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</si>
  <si>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</si>
  <si>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</si>
  <si>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</si>
  <si>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</si>
  <si>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</si>
  <si>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</si>
  <si>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</si>
  <si>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</si>
  <si>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</si>
  <si>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</si>
  <si>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</si>
  <si>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</si>
  <si>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</si>
  <si>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</si>
  <si>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</si>
  <si>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</si>
  <si>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</si>
  <si>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</si>
  <si>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</si>
  <si>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</si>
  <si>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</si>
  <si>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</si>
  <si>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</si>
  <si>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</si>
  <si>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</si>
  <si>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</si>
  <si>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</si>
  <si>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</si>
  <si>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</si>
  <si>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</si>
  <si>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</si>
  <si>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</si>
  <si>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</si>
  <si>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</si>
  <si>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</si>
  <si>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</si>
  <si>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</si>
  <si>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</si>
  <si>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</si>
  <si>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</si>
  <si>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</si>
  <si>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</si>
  <si>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</si>
  <si>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</si>
  <si>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</si>
  <si>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</si>
  <si>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</si>
  <si>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</si>
  <si>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</si>
  <si>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</si>
  <si>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</si>
  <si>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</si>
  <si>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</si>
  <si>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</si>
  <si>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</si>
  <si>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</si>
  <si>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</si>
  <si>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</si>
  <si>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</si>
  <si>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</si>
  <si>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</si>
  <si>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</si>
  <si>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</si>
  <si>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</si>
  <si>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</si>
  <si>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</si>
  <si>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</si>
  <si>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</si>
  <si>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</si>
  <si>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</si>
  <si>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</si>
  <si>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</si>
  <si>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</si>
  <si>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</si>
  <si>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</si>
  <si>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</si>
  <si>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</si>
  <si>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</si>
  <si>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</si>
  <si>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</si>
  <si>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</si>
  <si>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</si>
  <si>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</si>
  <si>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</si>
  <si>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</si>
  <si>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</si>
  <si>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</si>
  <si>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</si>
  <si>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</si>
  <si>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</si>
  <si>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</si>
  <si>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</si>
  <si>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</si>
  <si>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</si>
  <si>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</si>
  <si>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</si>
  <si>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</si>
  <si>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</si>
  <si>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</si>
  <si>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</si>
  <si>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</si>
  <si>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</si>
  <si>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</si>
  <si>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</si>
  <si>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</si>
  <si>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</si>
  <si>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</si>
  <si>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</si>
  <si>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</si>
  <si>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</si>
  <si>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</si>
  <si>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</si>
  <si>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</si>
  <si>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</si>
  <si>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</si>
  <si>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</si>
  <si>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</si>
  <si>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</si>
  <si>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</si>
  <si>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</si>
  <si>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</si>
  <si>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</si>
  <si>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</si>
  <si>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</si>
  <si>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</si>
  <si>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</si>
  <si>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</si>
  <si>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</si>
  <si>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</si>
  <si>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</si>
  <si>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</si>
  <si>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</si>
  <si>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</si>
  <si>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</si>
  <si>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</si>
  <si>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</si>
  <si>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</si>
  <si>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</si>
  <si>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</si>
  <si>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</si>
  <si>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</si>
  <si>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</si>
  <si>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</si>
  <si>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</si>
  <si>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</si>
  <si>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</si>
  <si>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</si>
  <si>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</si>
  <si>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</si>
  <si>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</si>
  <si>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</si>
  <si>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</si>
  <si>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</si>
  <si>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</si>
  <si>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</si>
  <si>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</si>
  <si>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</si>
  <si>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</si>
  <si>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</si>
  <si>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</si>
  <si>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</si>
  <si>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</si>
  <si>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</si>
  <si>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</si>
  <si>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</si>
  <si>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</si>
  <si>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</si>
  <si>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</si>
  <si>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</si>
  <si>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</si>
  <si>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</si>
  <si>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</si>
  <si>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</si>
  <si>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</si>
  <si>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</si>
  <si>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</si>
  <si>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</si>
  <si>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</si>
  <si>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</si>
  <si>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</si>
  <si>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</si>
  <si>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</si>
  <si>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</si>
  <si>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</si>
  <si>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</si>
  <si>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</si>
  <si>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</si>
  <si>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</si>
  <si>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</si>
  <si>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</si>
  <si>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</si>
  <si>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</si>
  <si>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</si>
  <si>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</si>
  <si>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</si>
  <si>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</si>
  <si>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</si>
  <si>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</si>
  <si>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</si>
  <si>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</si>
  <si>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</si>
  <si>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</si>
  <si>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</si>
  <si>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</si>
  <si>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</si>
  <si>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</si>
  <si>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</si>
  <si>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</si>
  <si>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</si>
  <si>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</si>
  <si>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</si>
  <si>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</si>
  <si>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</si>
  <si>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</si>
  <si>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</si>
  <si>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</si>
  <si>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</si>
  <si>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</si>
  <si>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</si>
  <si>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</si>
  <si>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</si>
  <si>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</si>
  <si>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</si>
  <si>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</si>
  <si>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</si>
  <si>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</si>
  <si>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</si>
  <si>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</si>
  <si>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</si>
  <si>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</si>
  <si>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</si>
  <si>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</si>
  <si>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</si>
  <si>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</si>
  <si>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</si>
  <si>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</si>
  <si>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</si>
  <si>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</si>
  <si>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</si>
  <si>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</si>
  <si>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</si>
  <si>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</si>
  <si>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</si>
  <si>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</si>
  <si>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</si>
  <si>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</si>
  <si>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</si>
  <si>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</si>
  <si>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</si>
  <si>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</si>
  <si>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</si>
  <si>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</si>
  <si>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</si>
  <si>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</si>
  <si>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</si>
  <si>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</si>
  <si>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</si>
  <si>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</si>
  <si>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</si>
  <si>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</si>
  <si>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</si>
  <si>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</si>
  <si>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</si>
  <si>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</si>
  <si>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</si>
  <si>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</si>
  <si>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</si>
  <si>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</si>
  <si>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</si>
  <si>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</si>
  <si>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</si>
  <si>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</si>
  <si>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</si>
  <si>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</si>
  <si>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</si>
  <si>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</si>
  <si>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</si>
  <si>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</si>
  <si>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</si>
  <si>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</si>
  <si>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</si>
  <si>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</si>
  <si>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</si>
  <si>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</si>
  <si>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</si>
  <si>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</si>
  <si>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</si>
  <si>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</si>
  <si>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</si>
  <si>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</si>
  <si>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</si>
  <si>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</si>
  <si>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</si>
  <si>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</si>
  <si>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</si>
  <si>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</si>
  <si>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</si>
  <si>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</si>
  <si>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</si>
  <si>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</si>
  <si>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</si>
  <si>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</si>
  <si>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</si>
  <si>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</si>
  <si>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</si>
  <si>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</si>
  <si>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</si>
  <si>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</si>
  <si>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</si>
  <si>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</si>
  <si>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</si>
  <si>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</si>
  <si>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</si>
  <si>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</si>
  <si>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</si>
  <si>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</si>
  <si>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</si>
  <si>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</si>
  <si>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</si>
  <si>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</si>
  <si>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</si>
  <si>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</si>
  <si>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</si>
  <si>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</si>
  <si>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</si>
  <si>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</si>
  <si>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</si>
  <si>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</si>
  <si>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</si>
  <si>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</si>
  <si>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</si>
  <si>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</si>
  <si>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</si>
  <si>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</si>
  <si>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</si>
  <si>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</si>
  <si>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</si>
  <si>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</si>
  <si>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</si>
  <si>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</si>
  <si>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</si>
  <si>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</si>
  <si>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</si>
  <si>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</si>
  <si>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</si>
  <si>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</si>
  <si>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</si>
  <si>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</si>
  <si>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</si>
  <si>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</si>
  <si>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</si>
  <si>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</si>
  <si>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</si>
  <si>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</si>
  <si>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</si>
  <si>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</si>
  <si>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</si>
  <si>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</si>
  <si>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</si>
  <si>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</si>
  <si>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</si>
  <si>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</si>
  <si>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</si>
  <si>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</si>
  <si>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</si>
  <si>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</si>
  <si>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</si>
  <si>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</si>
  <si>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</si>
  <si>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</si>
  <si>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</si>
  <si>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</si>
  <si>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</si>
  <si>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</si>
  <si>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</si>
  <si>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</si>
  <si>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</si>
  <si>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</si>
  <si>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</si>
  <si>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</si>
  <si>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</si>
  <si>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</si>
  <si>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</si>
  <si>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</si>
  <si>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</si>
  <si>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</si>
  <si>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</si>
  <si>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</si>
  <si>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</si>
  <si>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</si>
  <si>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</si>
  <si>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</si>
  <si>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</si>
  <si>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</si>
  <si>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</si>
  <si>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</si>
  <si>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</si>
  <si>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</si>
  <si>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</si>
  <si>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</si>
  <si>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</si>
  <si>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</si>
  <si>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</si>
  <si>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</si>
  <si>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</si>
  <si>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</si>
  <si>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</si>
  <si>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</si>
  <si>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</si>
  <si>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</si>
  <si>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</si>
  <si>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</si>
  <si>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</si>
  <si>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</si>
  <si>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</si>
  <si>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</si>
  <si>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</si>
  <si>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</si>
  <si>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</si>
  <si>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</si>
  <si>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</si>
  <si>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</si>
  <si>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</si>
  <si>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</si>
  <si>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</si>
  <si>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</si>
  <si>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</si>
  <si>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</si>
  <si>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</si>
  <si>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</si>
  <si>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</si>
  <si>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</si>
  <si>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</si>
  <si>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</si>
  <si>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</si>
  <si>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</si>
  <si>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</si>
  <si>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</si>
  <si>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</si>
  <si>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</si>
  <si>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</si>
  <si>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</si>
  <si>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</si>
  <si>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</si>
  <si>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</si>
  <si>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</si>
  <si>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</si>
  <si>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</si>
  <si>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</si>
  <si>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</si>
  <si>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</si>
  <si>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</si>
  <si>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</si>
  <si>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</si>
  <si>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</si>
  <si>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</si>
  <si>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</si>
  <si>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</si>
  <si>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</si>
  <si>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</si>
  <si>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</si>
  <si>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</si>
  <si>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</si>
  <si>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</si>
  <si>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</si>
  <si>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</si>
  <si>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</si>
  <si>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</si>
  <si>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</si>
  <si>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</si>
  <si>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</si>
  <si>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</si>
  <si>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</si>
  <si>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</si>
  <si>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</si>
  <si>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</si>
  <si>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</si>
  <si>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</si>
  <si>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</si>
  <si>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</si>
  <si>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</si>
  <si>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</si>
  <si>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</si>
  <si>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</si>
  <si>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</si>
  <si>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</si>
  <si>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</si>
  <si>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</si>
  <si>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</si>
  <si>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</si>
  <si>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</si>
  <si>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</si>
  <si>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</si>
  <si>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</si>
  <si>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</si>
  <si>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</si>
  <si>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</si>
  <si>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</si>
  <si>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</si>
  <si>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</si>
  <si>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</si>
  <si>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</si>
  <si>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</si>
  <si>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</si>
  <si>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</si>
  <si>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</si>
  <si>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</si>
  <si>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</si>
  <si>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</si>
  <si>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</si>
  <si>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</si>
  <si>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</si>
  <si>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</si>
  <si>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</si>
  <si>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</si>
  <si>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</si>
  <si>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</si>
  <si>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</si>
  <si>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</si>
  <si>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</si>
  <si>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</si>
  <si>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</si>
  <si>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</si>
  <si>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</si>
  <si>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</si>
  <si>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</si>
  <si>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</si>
  <si>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</si>
  <si>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</si>
  <si>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</si>
  <si>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</si>
  <si>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</si>
  <si>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</si>
  <si>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</si>
  <si>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</si>
  <si>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</si>
  <si>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</si>
  <si>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</si>
  <si>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</si>
  <si>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</si>
  <si>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</si>
  <si>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</si>
  <si>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</si>
  <si>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</si>
  <si>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</si>
  <si>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</si>
  <si>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</si>
  <si>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</si>
  <si>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</si>
  <si>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</si>
  <si>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</si>
  <si>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</si>
  <si>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</si>
  <si>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</si>
  <si>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</si>
  <si>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</si>
  <si>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</si>
  <si>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</si>
  <si>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</si>
  <si>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</si>
  <si>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</si>
  <si>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</si>
  <si>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</si>
  <si>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</si>
  <si>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</si>
  <si>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</si>
  <si>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</si>
  <si>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</si>
  <si>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</si>
  <si>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</si>
  <si>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</si>
  <si>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</si>
  <si>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</si>
  <si>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</si>
  <si>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</si>
  <si>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</si>
  <si>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</si>
  <si>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</si>
  <si>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</si>
  <si>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</si>
  <si>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</si>
  <si>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</si>
  <si>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</si>
  <si>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</si>
  <si>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</si>
  <si>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</si>
  <si>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</si>
  <si>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</si>
  <si>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</si>
  <si>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</si>
  <si>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</si>
  <si>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</si>
  <si>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</si>
  <si>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</si>
  <si>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</si>
  <si>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</si>
  <si>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</si>
  <si>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</si>
  <si>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</si>
  <si>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</si>
  <si>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</si>
  <si>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</si>
  <si>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</si>
  <si>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</si>
  <si>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</si>
  <si>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</si>
  <si>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</si>
  <si>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</si>
  <si>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</si>
  <si>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</si>
  <si>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</si>
  <si>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</si>
  <si>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</si>
  <si>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</si>
  <si>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</si>
  <si>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</si>
  <si>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</si>
  <si>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</si>
  <si>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</si>
  <si>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</si>
  <si>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</si>
  <si>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</si>
  <si>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</si>
  <si>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</si>
  <si>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</si>
  <si>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</si>
  <si>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</si>
  <si>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</si>
  <si>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</si>
  <si>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</si>
  <si>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</si>
  <si>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</si>
  <si>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</si>
  <si>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</si>
  <si>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</si>
  <si>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</si>
  <si>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</si>
  <si>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</si>
  <si>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</si>
  <si>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</si>
  <si>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</si>
  <si>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</si>
  <si>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</si>
  <si>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</si>
  <si>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</si>
  <si>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</si>
  <si>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</si>
  <si>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</si>
  <si>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</si>
  <si>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</si>
  <si>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</si>
  <si>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</si>
  <si>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</si>
  <si>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</si>
  <si>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</si>
  <si>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</si>
  <si>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</si>
  <si>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</si>
  <si>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</si>
  <si>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</si>
  <si>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</si>
  <si>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</si>
  <si>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</si>
  <si>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</si>
  <si>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</si>
  <si>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</si>
  <si>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</si>
  <si>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</si>
  <si>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</si>
  <si>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</si>
  <si>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</si>
  <si>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</si>
  <si>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</si>
  <si>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</si>
  <si>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</si>
  <si>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</si>
  <si>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</si>
  <si>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</si>
  <si>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</si>
  <si>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</si>
  <si>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</si>
  <si>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</si>
  <si>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</si>
  <si>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</si>
  <si>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</si>
  <si>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</si>
  <si>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</si>
  <si>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</si>
  <si>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</si>
  <si>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</si>
  <si>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</si>
  <si>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</si>
  <si>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</si>
  <si>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</si>
  <si>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</si>
  <si>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</si>
  <si>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</si>
  <si>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</si>
  <si>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</si>
  <si>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</si>
  <si>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</si>
  <si>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</si>
  <si>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</si>
  <si>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</si>
  <si>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</si>
  <si>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</si>
  <si>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</si>
  <si>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</si>
  <si>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</si>
  <si>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</si>
  <si>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</si>
  <si>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</si>
  <si>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</si>
  <si>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</si>
  <si>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</si>
  <si>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</si>
  <si>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</si>
  <si>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</si>
  <si>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</si>
  <si>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</si>
  <si>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</si>
  <si>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</si>
  <si>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</si>
  <si>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</si>
  <si>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</si>
  <si>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</si>
  <si>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</si>
  <si>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</si>
  <si>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</si>
  <si>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</si>
  <si>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</si>
  <si>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</si>
  <si>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</si>
  <si>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</si>
  <si>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</si>
  <si>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</si>
  <si>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</si>
  <si>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</si>
  <si>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</si>
  <si>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</si>
  <si>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</si>
  <si>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</si>
  <si>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</si>
  <si>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</si>
  <si>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</si>
  <si>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</si>
  <si>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</si>
  <si>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</si>
  <si>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</si>
  <si>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</si>
  <si>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</si>
  <si>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</si>
  <si>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</si>
  <si>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</si>
  <si>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</si>
  <si>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</si>
  <si>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</si>
  <si>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</si>
  <si>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</si>
  <si>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</si>
  <si>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</si>
  <si>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</si>
  <si>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</si>
  <si>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</si>
  <si>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</si>
  <si>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</si>
  <si>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</si>
  <si>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</si>
  <si>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</si>
  <si>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</si>
  <si>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</si>
  <si>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</si>
  <si>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</si>
  <si>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</si>
  <si>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</si>
  <si>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</si>
  <si>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</si>
  <si>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</si>
  <si>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</si>
  <si>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</si>
  <si>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</si>
  <si>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</si>
  <si>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</si>
  <si>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</si>
  <si>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</si>
  <si>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</si>
  <si>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</si>
  <si>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</si>
  <si>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</si>
  <si>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</si>
  <si>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</si>
  <si>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</si>
  <si>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</si>
  <si>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</si>
  <si>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</si>
  <si>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</si>
  <si>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</si>
  <si>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</si>
  <si>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</si>
  <si>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</si>
  <si>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</si>
  <si>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</si>
  <si>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</si>
  <si>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</si>
  <si>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</si>
  <si>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</si>
  <si>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</si>
  <si>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</si>
  <si>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</si>
  <si>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</si>
  <si>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</si>
  <si>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</si>
  <si>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</si>
  <si>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</si>
  <si>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</si>
  <si>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</si>
  <si>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</si>
  <si>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</si>
  <si>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</si>
  <si>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</si>
  <si>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</si>
  <si>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</si>
  <si>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</si>
  <si>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</si>
  <si>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</si>
  <si>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</si>
  <si>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</si>
  <si>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</si>
  <si>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</si>
  <si>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</si>
  <si>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</si>
  <si>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</si>
  <si>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</si>
  <si>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</si>
  <si>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</si>
  <si>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</si>
  <si>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</si>
  <si>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</si>
  <si>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</si>
  <si>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</si>
  <si>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</si>
  <si>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</si>
  <si>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</si>
  <si>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</si>
  <si>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</si>
  <si>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</si>
  <si>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</si>
  <si>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</si>
  <si>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</si>
  <si>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</si>
  <si>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</si>
  <si>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</si>
  <si>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</si>
  <si>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</si>
  <si>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</si>
  <si>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</si>
  <si>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</si>
  <si>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</si>
  <si>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</si>
  <si>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</si>
  <si>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</si>
  <si>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</si>
  <si>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</si>
  <si>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</si>
  <si>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</si>
  <si>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</si>
  <si>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</si>
  <si>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</si>
  <si>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</si>
  <si>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</si>
  <si>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</si>
  <si>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</si>
  <si>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</si>
  <si>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</si>
  <si>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</si>
  <si>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</si>
  <si>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</si>
  <si>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</si>
  <si>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</si>
  <si>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</si>
  <si>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</si>
  <si>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</si>
  <si>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</si>
  <si>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</si>
  <si>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</si>
  <si>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</si>
  <si>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</si>
  <si>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</si>
  <si>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</si>
  <si>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</si>
  <si>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</si>
  <si>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</si>
  <si>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</si>
  <si>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</si>
  <si>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</si>
  <si>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</si>
  <si>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</si>
  <si>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</si>
  <si>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</si>
  <si>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</si>
  <si>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</si>
  <si>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</si>
  <si>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</si>
  <si>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</si>
  <si>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</si>
  <si>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</si>
  <si>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</si>
  <si>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</si>
  <si>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</si>
  <si>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</si>
  <si>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</si>
  <si>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</si>
  <si>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</si>
  <si>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</si>
  <si>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</si>
  <si>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</si>
  <si>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</si>
  <si>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</si>
  <si>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</si>
  <si>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</si>
  <si>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</si>
  <si>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</si>
  <si>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</si>
  <si>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</si>
  <si>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</si>
  <si>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</si>
  <si>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</si>
  <si>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</si>
  <si>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</si>
  <si>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</si>
  <si>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</si>
  <si>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</si>
  <si>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</si>
  <si>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</si>
  <si>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</si>
  <si>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</si>
  <si>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</si>
  <si>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</si>
  <si>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</si>
  <si>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</si>
  <si>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</si>
  <si>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</si>
  <si>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</si>
  <si>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</si>
  <si>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</si>
  <si>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</si>
  <si>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</si>
  <si>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</si>
  <si>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</si>
  <si>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</si>
  <si>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</si>
  <si>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</si>
  <si>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</si>
  <si>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</si>
  <si>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</si>
  <si>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</si>
  <si>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</si>
  <si>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</si>
  <si>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</si>
  <si>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</si>
  <si>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</si>
  <si>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</si>
  <si>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</si>
  <si>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</si>
  <si>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</si>
  <si>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</si>
  <si>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</si>
  <si>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</si>
  <si>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</si>
  <si>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</si>
  <si>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</si>
  <si>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</si>
  <si>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</si>
  <si>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</si>
  <si>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</si>
  <si>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</si>
  <si>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</si>
  <si>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</si>
  <si>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</si>
  <si>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</si>
  <si>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</si>
  <si>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</si>
  <si>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</si>
  <si>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</si>
  <si>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</si>
  <si>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</si>
  <si>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</si>
  <si>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</si>
  <si>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</si>
  <si>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</si>
  <si>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</si>
  <si>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</si>
  <si>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</si>
  <si>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</si>
  <si>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</si>
  <si>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</si>
  <si>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</si>
  <si>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</si>
  <si>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</si>
  <si>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</si>
  <si>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</si>
  <si>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</si>
  <si>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</si>
  <si>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</si>
  <si>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</si>
  <si>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</si>
  <si>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</si>
  <si>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</si>
  <si>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</si>
  <si>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</si>
  <si>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</si>
  <si>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</si>
  <si>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</si>
  <si>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</si>
  <si>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</si>
  <si>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</si>
  <si>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</si>
  <si>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</si>
  <si>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</si>
  <si>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</si>
  <si>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</si>
  <si>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</si>
  <si>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</si>
  <si>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</si>
  <si>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</si>
  <si>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</si>
  <si>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</si>
  <si>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</si>
  <si>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</si>
  <si>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</si>
  <si>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</si>
  <si>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</si>
  <si>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</si>
  <si>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</si>
  <si>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</si>
  <si>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</si>
  <si>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</si>
  <si>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</si>
  <si>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</si>
  <si>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</si>
  <si>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</si>
  <si>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</si>
  <si>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</si>
  <si>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</si>
  <si>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</si>
  <si>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</si>
  <si>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</si>
  <si>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</si>
  <si>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</si>
  <si>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</si>
  <si>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</si>
  <si>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</si>
  <si>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</si>
  <si>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</si>
  <si>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</si>
  <si>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</si>
  <si>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</si>
  <si>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</si>
  <si>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</si>
  <si>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</si>
  <si>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</si>
  <si>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</si>
  <si>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</si>
  <si>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</si>
  <si>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</si>
  <si>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</si>
  <si>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</si>
  <si>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</si>
  <si>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</si>
  <si>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</si>
  <si>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</si>
  <si>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</si>
  <si>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</si>
  <si>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</si>
  <si>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</si>
  <si>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</si>
  <si>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</si>
  <si>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</si>
  <si>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</si>
  <si>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</si>
  <si>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</si>
  <si>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</si>
  <si>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</si>
  <si>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</si>
  <si>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</si>
  <si>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</si>
  <si>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</si>
  <si>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</si>
  <si>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</si>
  <si>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</si>
  <si>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</si>
  <si>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</si>
  <si>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</si>
  <si>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</si>
  <si>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</si>
  <si>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</si>
  <si>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</si>
  <si>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</si>
  <si>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</si>
  <si>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</si>
  <si>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</si>
  <si>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</si>
  <si>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</si>
  <si>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</si>
  <si>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</si>
  <si>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</si>
  <si>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</si>
  <si>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</si>
  <si>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</si>
  <si>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</si>
  <si>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</si>
  <si>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</si>
  <si>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</si>
  <si>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</si>
  <si>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</si>
  <si>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</si>
  <si>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</si>
  <si>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</si>
  <si>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</si>
  <si>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</si>
  <si>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</si>
  <si>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</si>
  <si>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</si>
  <si>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</si>
  <si>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</si>
  <si>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</si>
  <si>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</si>
  <si>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</si>
  <si>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</si>
  <si>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</si>
  <si>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</si>
  <si>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</si>
  <si>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</si>
  <si>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</si>
  <si>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</si>
  <si>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</si>
  <si>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</si>
  <si>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</si>
  <si>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</si>
  <si>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</si>
  <si>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</si>
  <si>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</si>
  <si>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</si>
  <si>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</si>
  <si>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</si>
  <si>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</si>
  <si>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</si>
  <si>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</si>
  <si>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</si>
  <si>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</si>
  <si>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</si>
  <si>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</si>
  <si>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</si>
  <si>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</si>
  <si>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</si>
  <si>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</si>
  <si>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</si>
  <si>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</si>
  <si>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</si>
  <si>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</si>
  <si>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</si>
  <si>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</si>
  <si>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</si>
  <si>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</si>
  <si>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</si>
  <si>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</si>
  <si>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</si>
  <si>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</si>
  <si>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</si>
  <si>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</si>
  <si>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</si>
  <si>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</si>
  <si>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</si>
  <si>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</si>
  <si>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</si>
  <si>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</si>
  <si>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</si>
  <si>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</si>
  <si>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</si>
  <si>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</si>
  <si>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</si>
  <si>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</si>
  <si>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</si>
  <si>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</si>
  <si>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</si>
  <si>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</si>
  <si>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</si>
  <si>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</si>
  <si>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</si>
  <si>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</si>
  <si>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</si>
  <si>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</si>
  <si>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</si>
  <si>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</si>
  <si>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</si>
  <si>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</si>
  <si>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</si>
  <si>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</si>
  <si>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</si>
  <si>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</si>
  <si>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</si>
  <si>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</si>
  <si>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</si>
  <si>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</si>
  <si>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</si>
  <si>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</si>
  <si>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</si>
  <si>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</si>
  <si>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</si>
  <si>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</si>
  <si>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</si>
  <si>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</si>
  <si>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</si>
  <si>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</si>
  <si>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</si>
  <si>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</si>
  <si>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</si>
  <si>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</si>
  <si>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</si>
  <si>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</si>
  <si>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</si>
  <si>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</si>
  <si>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</si>
  <si>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</si>
  <si>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</si>
  <si>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</si>
  <si>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</si>
  <si>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</si>
  <si>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</si>
  <si>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</si>
  <si>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</si>
  <si>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</si>
  <si>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</si>
  <si>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</si>
  <si>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</si>
  <si>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</si>
  <si>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</si>
  <si>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</si>
  <si>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</si>
  <si>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</si>
  <si>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</si>
  <si>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</si>
  <si>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</si>
  <si>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</si>
  <si>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</si>
  <si>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</si>
  <si>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</si>
  <si>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</si>
  <si>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</si>
  <si>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</si>
  <si>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</si>
  <si>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</si>
  <si>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</si>
  <si>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</si>
  <si>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</si>
  <si>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</si>
  <si>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</si>
  <si>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</si>
  <si>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</si>
  <si>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</si>
  <si>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</si>
  <si>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</si>
  <si>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</si>
  <si>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</si>
  <si>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</si>
  <si>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</si>
  <si>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</si>
  <si>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</si>
  <si>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</si>
  <si>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</si>
  <si>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</si>
  <si>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</si>
  <si>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</si>
  <si>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</si>
  <si>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</si>
  <si>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</si>
  <si>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</si>
  <si>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</si>
  <si>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</si>
  <si>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</si>
  <si>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</si>
  <si>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</si>
  <si>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</si>
  <si>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</si>
  <si>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</si>
  <si>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</si>
  <si>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</si>
  <si>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</si>
  <si>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</si>
  <si>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</si>
  <si>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</si>
  <si>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</si>
  <si>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</si>
  <si>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</si>
  <si>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</si>
  <si>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</si>
  <si>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</si>
  <si>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</si>
  <si>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</si>
  <si>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</si>
  <si>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</si>
  <si>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</si>
  <si>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</si>
  <si>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</si>
  <si>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</si>
  <si>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</si>
  <si>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</si>
  <si>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</si>
  <si>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</si>
  <si>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</si>
  <si>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</si>
  <si>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</si>
  <si>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</si>
  <si>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</si>
  <si>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</si>
  <si>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</si>
  <si>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</si>
  <si>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</si>
  <si>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</si>
  <si>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</si>
  <si>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</si>
  <si>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</si>
  <si>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</si>
  <si>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</si>
  <si>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</si>
  <si>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</si>
  <si>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</si>
  <si>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</si>
  <si>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</si>
  <si>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</si>
  <si>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</si>
  <si>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</si>
  <si>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</si>
  <si>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</si>
  <si>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</si>
  <si>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</si>
  <si>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</si>
  <si>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</si>
  <si>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</si>
  <si>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</si>
  <si>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</si>
  <si>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</si>
  <si>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</si>
  <si>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</si>
  <si>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</si>
  <si>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</si>
  <si>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</si>
  <si>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</si>
  <si>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</si>
  <si>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</si>
  <si>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</si>
  <si>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</si>
  <si>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</si>
  <si>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</si>
  <si>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</si>
  <si>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</si>
  <si>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</si>
  <si>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</si>
  <si>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</si>
  <si>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</si>
  <si>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</si>
  <si>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</si>
  <si>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</si>
  <si>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</si>
  <si>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</si>
  <si>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</si>
  <si>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</si>
  <si>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</si>
  <si>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</si>
  <si>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</si>
  <si>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</si>
  <si>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</si>
  <si>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</si>
  <si>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</si>
  <si>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</si>
  <si>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</si>
  <si>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</si>
  <si>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</si>
  <si>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</si>
  <si>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</si>
  <si>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</si>
  <si>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</si>
  <si>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</si>
  <si>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</si>
  <si>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</si>
  <si>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</si>
  <si>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</si>
  <si>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</si>
  <si>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</si>
  <si>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</si>
  <si>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</si>
  <si>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</si>
  <si>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</si>
  <si>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</si>
  <si>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</si>
  <si>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</si>
  <si>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</si>
  <si>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</si>
  <si>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</si>
  <si>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</si>
  <si>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</si>
  <si>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</si>
  <si>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</si>
  <si>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</si>
  <si>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</si>
  <si>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</si>
  <si>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</si>
  <si>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</si>
  <si>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</si>
  <si>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</si>
  <si>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</si>
  <si>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</si>
  <si>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</si>
  <si>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</si>
  <si>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</si>
  <si>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</si>
  <si>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</si>
  <si>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</si>
  <si>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</si>
  <si>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</si>
  <si>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</si>
  <si>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</si>
  <si>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</si>
  <si>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</si>
  <si>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</si>
  <si>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</si>
  <si>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</si>
  <si>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</si>
  <si>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</si>
  <si>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</si>
  <si>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</si>
  <si>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</si>
  <si>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</si>
  <si>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</si>
  <si>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</si>
  <si>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</si>
  <si>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</si>
  <si>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</si>
  <si>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</si>
  <si>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</si>
  <si>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</si>
  <si>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</si>
  <si>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</si>
  <si>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</si>
  <si>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</si>
  <si>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</si>
  <si>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</si>
  <si>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</si>
  <si>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</si>
  <si>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</si>
  <si>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</si>
  <si>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</si>
  <si>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</si>
  <si>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</si>
  <si>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</si>
  <si>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</si>
  <si>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</si>
  <si>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</si>
  <si>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</si>
  <si>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</si>
  <si>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</si>
  <si>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</si>
  <si>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</si>
  <si>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</si>
  <si>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</si>
  <si>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</si>
  <si>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</si>
  <si>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</si>
  <si>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</si>
  <si>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</si>
  <si>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</si>
  <si>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</si>
  <si>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</si>
  <si>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</si>
  <si>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</si>
  <si>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</si>
  <si>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</si>
  <si>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</si>
  <si>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</si>
  <si>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</si>
  <si>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</si>
  <si>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</si>
  <si>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</si>
  <si>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</si>
  <si>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</si>
  <si>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</si>
  <si>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</si>
  <si>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</si>
  <si>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</si>
  <si>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</si>
  <si>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</si>
  <si>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</si>
  <si>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</si>
  <si>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</si>
  <si>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</si>
  <si>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</si>
  <si>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</si>
  <si>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</si>
  <si>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</si>
  <si>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</si>
  <si>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</si>
  <si>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</si>
  <si>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</si>
  <si>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</si>
  <si>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</si>
  <si>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</si>
  <si>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</si>
  <si>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</si>
  <si>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</si>
  <si>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</si>
  <si>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</si>
  <si>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</si>
  <si>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</si>
  <si>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</si>
  <si>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</si>
  <si>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</si>
  <si>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</si>
  <si>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</si>
  <si>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</si>
  <si>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</si>
  <si>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</si>
  <si>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</si>
  <si>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</si>
  <si>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</si>
  <si>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</si>
  <si>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</si>
  <si>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</si>
  <si>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</si>
  <si>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</si>
  <si>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</si>
  <si>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</si>
  <si>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</si>
  <si>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</si>
  <si>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</si>
  <si>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</si>
  <si>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</si>
  <si>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</si>
  <si>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</si>
  <si>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</si>
  <si>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</si>
  <si>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</si>
  <si>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</si>
  <si>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</si>
  <si>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</si>
  <si>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</si>
  <si>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</si>
  <si>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</si>
  <si>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</si>
  <si>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</si>
  <si>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</si>
  <si>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</si>
  <si>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</si>
  <si>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</si>
  <si>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</si>
  <si>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</si>
  <si>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</si>
  <si>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</si>
  <si>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</si>
  <si>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</si>
  <si>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</si>
  <si>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</si>
  <si>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</si>
  <si>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</si>
  <si>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</si>
  <si>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</si>
  <si>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</si>
  <si>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</si>
  <si>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</si>
  <si>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</si>
  <si>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</si>
  <si>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</si>
  <si>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</si>
  <si>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</si>
  <si>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</si>
  <si>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</si>
  <si>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</si>
  <si>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</si>
  <si>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</si>
  <si>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</si>
  <si>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</si>
  <si>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</si>
  <si>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</si>
  <si>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</si>
  <si>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</si>
  <si>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</si>
  <si>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</si>
  <si>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</si>
  <si>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</si>
  <si>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</si>
  <si>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</si>
  <si>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</si>
  <si>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</si>
  <si>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</si>
  <si>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</si>
  <si>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</si>
  <si>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</si>
  <si>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</si>
  <si>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</si>
  <si>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</si>
  <si>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</si>
  <si>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</si>
  <si>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</si>
  <si>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</si>
  <si>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</si>
  <si>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</si>
  <si>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</si>
  <si>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</si>
  <si>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</si>
  <si>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</si>
  <si>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</si>
  <si>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</si>
  <si>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</si>
  <si>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</si>
  <si>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</si>
  <si>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</si>
  <si>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</si>
  <si>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</si>
  <si>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</si>
  <si>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</si>
  <si>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</si>
  <si>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</si>
  <si>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</si>
  <si>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</si>
  <si>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</si>
  <si>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</si>
  <si>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</si>
  <si>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</si>
  <si>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</si>
  <si>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</si>
  <si>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</si>
  <si>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</si>
  <si>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</si>
  <si>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</si>
  <si>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</si>
  <si>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</si>
  <si>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</si>
  <si>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</si>
  <si>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</si>
  <si>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</si>
  <si>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</si>
  <si>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</si>
  <si>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</si>
  <si>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</si>
  <si>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</si>
  <si>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</si>
  <si>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</si>
  <si>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</si>
  <si>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</si>
  <si>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</si>
  <si>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</si>
  <si>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</si>
  <si>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</si>
  <si>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</si>
  <si>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</si>
  <si>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</si>
  <si>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</si>
  <si>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</si>
  <si>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</si>
  <si>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</si>
  <si>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</si>
  <si>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</si>
  <si>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</si>
  <si>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</si>
  <si>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</si>
  <si>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</si>
  <si>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</si>
  <si>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</si>
  <si>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</si>
  <si>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</si>
  <si>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</si>
  <si>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</si>
  <si>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</si>
  <si>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</si>
  <si>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</si>
  <si>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</si>
  <si>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</si>
  <si>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</si>
  <si>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</si>
  <si>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</si>
  <si>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</si>
  <si>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</si>
  <si>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</si>
  <si>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</si>
  <si>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</si>
  <si>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</si>
  <si>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</si>
  <si>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</si>
  <si>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</si>
  <si>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</si>
  <si>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</si>
  <si>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</si>
  <si>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</si>
  <si>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</si>
  <si>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</si>
  <si>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</si>
  <si>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</si>
  <si>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</si>
  <si>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</si>
  <si>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</si>
  <si>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</si>
  <si>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</si>
  <si>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</si>
  <si>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</si>
  <si>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</si>
  <si>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</si>
  <si>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</si>
  <si>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</si>
  <si>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</si>
  <si>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</si>
  <si>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</si>
  <si>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</si>
  <si>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</si>
  <si>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</si>
  <si>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</si>
  <si>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</si>
  <si>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</si>
  <si>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</si>
  <si>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</si>
  <si>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</si>
  <si>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</si>
  <si>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</si>
  <si>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</si>
  <si>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</si>
  <si>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</si>
  <si>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</si>
  <si>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</si>
  <si>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</si>
  <si>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</si>
  <si>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</si>
  <si>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</si>
  <si>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</si>
  <si>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</si>
  <si>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</si>
  <si>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</si>
  <si>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</si>
  <si>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</si>
  <si>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</si>
  <si>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</si>
  <si>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</si>
  <si>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</si>
  <si>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</si>
  <si>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</si>
  <si>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</si>
  <si>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</si>
  <si>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</si>
  <si>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</si>
  <si>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</si>
  <si>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</si>
  <si>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</si>
  <si>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</si>
  <si>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</si>
  <si>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</si>
  <si>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</si>
  <si>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</si>
  <si>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</si>
  <si>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</si>
  <si>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</si>
  <si>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</si>
  <si>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</si>
  <si>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</si>
  <si>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</si>
  <si>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</si>
  <si>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</si>
  <si>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</si>
  <si>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</si>
  <si>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</si>
  <si>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</si>
  <si>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</si>
  <si>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</si>
  <si>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</si>
  <si>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</si>
  <si>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</si>
  <si>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</si>
  <si>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</si>
  <si>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</si>
  <si>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</si>
  <si>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</si>
  <si>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</si>
  <si>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</si>
  <si>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</si>
  <si>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</si>
  <si>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</si>
  <si>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</si>
  <si>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</si>
  <si>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</si>
  <si>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</si>
  <si>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</si>
  <si>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</si>
  <si>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</si>
  <si>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</si>
  <si>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</si>
  <si>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</si>
  <si>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</si>
  <si>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</si>
  <si>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</si>
  <si>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</si>
  <si>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</si>
  <si>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</si>
  <si>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</si>
  <si>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</si>
  <si>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</si>
  <si>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</si>
  <si>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</si>
  <si>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</si>
  <si>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</si>
  <si>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</si>
  <si>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</si>
  <si>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</si>
  <si>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</si>
  <si>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</si>
  <si>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</si>
  <si>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</si>
  <si>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</si>
  <si>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</si>
  <si>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</si>
  <si>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</si>
  <si>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</si>
  <si>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</si>
  <si>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</si>
  <si>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</si>
  <si>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</si>
  <si>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</si>
  <si>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</si>
  <si>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</si>
  <si>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</si>
  <si>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</si>
  <si>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</si>
  <si>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</si>
  <si>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</si>
  <si>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</si>
  <si>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</si>
  <si>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</si>
  <si>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</si>
  <si>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</si>
  <si>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</si>
  <si>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</si>
  <si>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</si>
  <si>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</si>
  <si>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</si>
  <si>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</si>
  <si>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</si>
  <si>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</si>
  <si>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</si>
  <si>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</si>
  <si>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</si>
  <si>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</si>
  <si>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</si>
  <si>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</si>
  <si>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</si>
  <si>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</si>
  <si>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</si>
  <si>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</si>
  <si>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</si>
  <si>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</si>
  <si>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</si>
  <si>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</si>
  <si>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</si>
  <si>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</si>
  <si>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</si>
  <si>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</si>
  <si>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</si>
  <si>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</si>
  <si>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</si>
  <si>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</si>
  <si>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</si>
  <si>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</si>
  <si>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</si>
  <si>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</si>
  <si>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</si>
  <si>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</si>
  <si>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</si>
  <si>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</si>
  <si>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</si>
  <si>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</si>
  <si>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</si>
  <si>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</si>
  <si>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</si>
  <si>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</si>
  <si>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</si>
  <si>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</si>
  <si>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</si>
  <si>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</si>
  <si>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</si>
  <si>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</si>
  <si>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</si>
  <si>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</si>
  <si>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</si>
  <si>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</si>
  <si>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</si>
  <si>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</si>
  <si>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</si>
  <si>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</si>
  <si>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</si>
  <si>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</si>
  <si>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</si>
  <si>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</si>
  <si>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</si>
  <si>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</si>
  <si>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</si>
  <si>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</si>
  <si>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</si>
  <si>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</si>
  <si>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</si>
  <si>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</si>
  <si>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</si>
  <si>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</si>
  <si>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</si>
  <si>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</si>
  <si>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</si>
  <si>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</si>
  <si>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</si>
  <si>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</si>
  <si>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</si>
  <si>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</si>
  <si>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</si>
  <si>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</si>
  <si>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</si>
  <si>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</si>
  <si>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</si>
  <si>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</si>
  <si>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</si>
  <si>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</si>
  <si>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</si>
  <si>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</si>
  <si>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</si>
  <si>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</si>
  <si>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</si>
  <si>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</si>
  <si>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</si>
  <si>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</si>
  <si>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</si>
  <si>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</si>
  <si>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</si>
  <si>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</si>
  <si>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</si>
  <si>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</si>
  <si>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</si>
  <si>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</si>
  <si>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</si>
  <si>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</si>
  <si>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</si>
  <si>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</si>
  <si>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</si>
  <si>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</si>
  <si>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</si>
  <si>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</si>
  <si>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</si>
  <si>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</si>
  <si>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</si>
  <si>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</si>
  <si>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</si>
  <si>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</si>
  <si>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</si>
  <si>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</si>
  <si>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</si>
  <si>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</si>
  <si>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</si>
  <si>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</si>
  <si>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</si>
  <si>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</si>
  <si>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</si>
  <si>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</si>
  <si>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</si>
  <si>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</si>
  <si>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</si>
  <si>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</si>
  <si>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</si>
  <si>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</si>
  <si>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</si>
  <si>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</si>
  <si>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</si>
  <si>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</si>
  <si>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</si>
  <si>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</si>
  <si>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</si>
  <si>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</si>
  <si>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</si>
  <si>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</si>
  <si>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</si>
  <si>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</si>
  <si>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</si>
  <si>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</si>
  <si>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</si>
  <si>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</si>
  <si>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</si>
  <si>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</si>
  <si>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</si>
  <si>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</si>
  <si>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</si>
  <si>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</si>
  <si>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</si>
  <si>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</si>
  <si>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</si>
  <si>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</si>
  <si>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</si>
  <si>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</si>
  <si>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</si>
  <si>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</si>
  <si>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</si>
  <si>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</si>
  <si>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</si>
  <si>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</si>
  <si>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</si>
  <si>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</si>
  <si>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</si>
  <si>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</si>
  <si>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</si>
  <si>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</si>
  <si>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</si>
  <si>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</si>
  <si>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</si>
  <si>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</si>
  <si>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</si>
  <si>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</si>
  <si>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</si>
  <si>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</si>
  <si>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</si>
  <si>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</si>
  <si>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</si>
  <si>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</si>
  <si>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</si>
  <si>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</si>
  <si>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</si>
  <si>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</si>
  <si>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</si>
  <si>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</si>
  <si>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</si>
  <si>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</si>
  <si>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</si>
  <si>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</si>
  <si>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</si>
  <si>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</si>
  <si>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</si>
  <si>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</si>
  <si>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</si>
  <si>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</si>
  <si>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</si>
  <si>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</si>
  <si>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</si>
  <si>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</si>
  <si>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</si>
  <si>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</si>
  <si>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</si>
  <si>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</si>
  <si>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</si>
  <si>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</si>
  <si>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</si>
  <si>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</si>
  <si>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</si>
  <si>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</si>
  <si>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</si>
  <si>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</si>
  <si>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</si>
  <si>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</si>
  <si>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</si>
  <si>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</si>
  <si>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</si>
  <si>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</si>
  <si>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</si>
  <si>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</si>
  <si>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</si>
  <si>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</si>
  <si>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</si>
  <si>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</si>
  <si>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</si>
  <si>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</si>
  <si>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</si>
  <si>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</si>
  <si>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</si>
  <si>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</si>
  <si>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</si>
  <si>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</si>
  <si>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</si>
  <si>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</si>
  <si>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</si>
  <si>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</si>
  <si>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</si>
  <si>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</si>
  <si>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</si>
  <si>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</si>
  <si>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</si>
  <si>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</si>
  <si>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</si>
  <si>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</si>
  <si>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</si>
  <si>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</si>
  <si>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</si>
  <si>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</si>
  <si>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</si>
  <si>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</si>
  <si>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</si>
  <si>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</si>
  <si>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</si>
  <si>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</si>
  <si>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</si>
  <si>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</si>
  <si>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</si>
  <si>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</si>
  <si>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</si>
  <si>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</si>
  <si>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</si>
  <si>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</si>
  <si>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</si>
  <si>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</si>
  <si>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</si>
  <si>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</si>
  <si>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</si>
  <si>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</si>
  <si>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</si>
  <si>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</si>
  <si>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</si>
  <si>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</si>
  <si>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</si>
  <si>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</si>
  <si>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</si>
  <si>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</si>
  <si>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</si>
  <si>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</si>
  <si>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</si>
  <si>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</si>
  <si>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</si>
  <si>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</si>
  <si>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</si>
  <si>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</si>
  <si>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</si>
  <si>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</si>
  <si>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</si>
  <si>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</si>
  <si>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</si>
  <si>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</si>
  <si>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</si>
  <si>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</si>
  <si>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</si>
  <si>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</si>
  <si>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</si>
  <si>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</si>
  <si>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</si>
  <si>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</si>
  <si>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</si>
  <si>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</si>
  <si>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</si>
  <si>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</si>
  <si>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</si>
  <si>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</si>
  <si>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</si>
  <si>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</si>
  <si>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</si>
  <si>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</si>
  <si>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</si>
  <si>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</si>
  <si>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</si>
  <si>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</si>
  <si>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</si>
  <si>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</si>
  <si>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</si>
  <si>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</si>
  <si>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</si>
  <si>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</si>
  <si>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</si>
  <si>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</si>
  <si>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</si>
  <si>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</si>
  <si>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</si>
  <si>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</si>
  <si>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</si>
  <si>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</si>
  <si>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</si>
  <si>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</si>
  <si>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</si>
  <si>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</si>
  <si>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</si>
  <si>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</si>
  <si>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</si>
  <si>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</si>
  <si>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</si>
  <si>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</si>
  <si>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</si>
  <si>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</si>
  <si>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</si>
  <si>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</si>
  <si>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</si>
  <si>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</si>
  <si>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</si>
  <si>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</si>
  <si>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</si>
  <si>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</si>
  <si>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</si>
  <si>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</si>
  <si>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</si>
  <si>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</si>
  <si>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</si>
  <si>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</si>
  <si>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</si>
  <si>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</si>
  <si>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</si>
  <si>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</si>
  <si>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</si>
  <si>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</si>
  <si>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</si>
  <si>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</si>
  <si>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</si>
  <si>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</si>
  <si>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</si>
  <si>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</si>
  <si>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</si>
  <si>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</si>
  <si>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</si>
  <si>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</si>
  <si>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</si>
  <si>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</si>
  <si>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</si>
  <si>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</si>
  <si>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</si>
  <si>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</si>
  <si>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</si>
  <si>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</si>
  <si>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</si>
  <si>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</si>
  <si>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</si>
  <si>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</si>
  <si>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</si>
  <si>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</si>
  <si>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</si>
  <si>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</si>
  <si>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</si>
  <si>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</si>
  <si>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</si>
  <si>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</si>
  <si>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</si>
  <si>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</si>
  <si>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</si>
  <si>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</si>
  <si>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</si>
  <si>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</si>
  <si>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</si>
  <si>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</si>
  <si>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</si>
  <si>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</si>
  <si>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</si>
  <si>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</si>
  <si>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</si>
  <si>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</si>
  <si>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</si>
  <si>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</si>
  <si>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</si>
  <si>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</si>
  <si>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</si>
  <si>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</si>
  <si>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</si>
  <si>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</si>
  <si>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</si>
  <si>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</si>
  <si>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</si>
  <si>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</si>
  <si>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</si>
  <si>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</si>
  <si>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</si>
  <si>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</si>
  <si>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</si>
  <si>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</si>
  <si>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</si>
  <si>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</si>
  <si>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</si>
  <si>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</si>
  <si>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</si>
  <si>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</si>
  <si>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</si>
  <si>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</si>
  <si>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</si>
  <si>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</si>
  <si>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</si>
  <si>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</si>
  <si>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</si>
  <si>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</si>
  <si>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</si>
  <si>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</si>
  <si>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</si>
  <si>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</si>
  <si>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</si>
  <si>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</si>
  <si>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</si>
  <si>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</si>
  <si>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</si>
  <si>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</si>
  <si>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</si>
  <si>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</si>
  <si>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</si>
  <si>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</si>
  <si>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</si>
  <si>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</si>
  <si>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</si>
  <si>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</si>
  <si>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</si>
  <si>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</si>
  <si>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</si>
  <si>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</si>
  <si>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</si>
  <si>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</si>
  <si>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</si>
  <si>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</si>
  <si>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</si>
  <si>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</si>
  <si>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</si>
  <si>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</si>
  <si>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</si>
  <si>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</si>
  <si>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</si>
  <si>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</si>
  <si>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</si>
  <si>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</si>
  <si>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</si>
  <si>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</si>
  <si>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</si>
  <si>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</si>
  <si>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</si>
  <si>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</si>
  <si>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</si>
  <si>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</si>
  <si>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</si>
  <si>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</si>
  <si>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</si>
  <si>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</si>
  <si>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</si>
  <si>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</si>
  <si>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</si>
  <si>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</si>
  <si>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</si>
  <si>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</si>
  <si>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</si>
  <si>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</si>
  <si>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</si>
  <si>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</si>
  <si>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</si>
  <si>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</si>
  <si>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</si>
  <si>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</si>
  <si>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</si>
  <si>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</si>
  <si>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</si>
  <si>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</si>
  <si>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</si>
  <si>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</si>
  <si>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</si>
  <si>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</si>
  <si>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</si>
  <si>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</si>
  <si>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</si>
  <si>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</si>
  <si>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</si>
  <si>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</si>
  <si>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</si>
  <si>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</si>
  <si>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</si>
  <si>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</si>
  <si>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</si>
  <si>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</si>
  <si>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</si>
  <si>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</si>
  <si>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</si>
  <si>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</si>
  <si>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</si>
  <si>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</si>
  <si>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</si>
  <si>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</si>
  <si>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</si>
  <si>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</si>
  <si>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</si>
  <si>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</si>
  <si>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</si>
  <si>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</si>
  <si>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</si>
  <si>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</si>
  <si>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</si>
  <si>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</si>
  <si>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</si>
  <si>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</si>
  <si>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</si>
  <si>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</si>
  <si>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</si>
  <si>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</si>
  <si>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</si>
  <si>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</si>
  <si>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</si>
  <si>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</si>
  <si>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</si>
  <si>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</si>
  <si>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</si>
  <si>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</si>
  <si>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</si>
  <si>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</si>
  <si>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</si>
  <si>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</si>
  <si>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</si>
  <si>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</si>
  <si>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</si>
  <si>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</si>
  <si>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</si>
  <si>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</si>
  <si>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</si>
  <si>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</si>
  <si>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</si>
  <si>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</si>
  <si>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</si>
  <si>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</si>
  <si>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</si>
  <si>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</si>
  <si>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</si>
  <si>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</si>
  <si>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</si>
  <si>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</si>
  <si>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</si>
  <si>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</si>
  <si>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</si>
  <si>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</si>
  <si>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</si>
  <si>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</si>
  <si>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</si>
  <si>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</si>
  <si>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</si>
  <si>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</si>
  <si>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</si>
  <si>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</si>
  <si>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</si>
  <si>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</si>
  <si>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</si>
  <si>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</si>
  <si>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</si>
  <si>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</si>
  <si>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</si>
  <si>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</si>
  <si>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</si>
  <si>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</si>
  <si>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</si>
  <si>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</si>
  <si>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</si>
  <si>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</si>
  <si>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</si>
  <si>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</si>
  <si>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</si>
  <si>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</si>
  <si>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</si>
  <si>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</si>
  <si>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</si>
  <si>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</si>
  <si>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</si>
  <si>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</si>
  <si>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</si>
  <si>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</si>
  <si>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</si>
  <si>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</si>
  <si>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</si>
  <si>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</si>
  <si>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</si>
  <si>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</si>
  <si>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</si>
  <si>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</si>
  <si>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</si>
  <si>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</si>
  <si>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</si>
  <si>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</si>
  <si>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</si>
  <si>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</si>
  <si>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</si>
  <si>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</si>
  <si>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</si>
  <si>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</si>
  <si>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</si>
  <si>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</si>
  <si>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</si>
  <si>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</si>
  <si>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</si>
  <si>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</si>
  <si>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</si>
  <si>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</si>
  <si>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</si>
  <si>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</si>
  <si>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</si>
  <si>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</si>
  <si>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</si>
  <si>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</si>
  <si>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</si>
  <si>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</si>
  <si>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</si>
  <si>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</si>
  <si>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</si>
  <si>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</si>
  <si>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</si>
  <si>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</si>
  <si>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</si>
  <si>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</si>
  <si>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</si>
  <si>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</si>
  <si>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</si>
  <si>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</si>
  <si>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</si>
  <si>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</si>
  <si>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</si>
  <si>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</si>
  <si>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</si>
  <si>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</si>
  <si>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</si>
  <si>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</si>
  <si>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</si>
  <si>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</si>
  <si>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</si>
  <si>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</si>
  <si>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</si>
  <si>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</si>
  <si>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</si>
  <si>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</si>
  <si>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</si>
  <si>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</si>
  <si>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</si>
  <si>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</si>
  <si>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</si>
  <si>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</si>
  <si>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</si>
  <si>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</si>
  <si>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</si>
  <si>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</si>
  <si>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</si>
  <si>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</si>
  <si>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</si>
  <si>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</si>
  <si>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</si>
  <si>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</si>
  <si>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</si>
  <si>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</si>
  <si>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</si>
  <si>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</si>
  <si>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</si>
  <si>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</si>
  <si>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</si>
  <si>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</si>
  <si>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</si>
  <si>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</si>
  <si>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</si>
  <si>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</si>
  <si>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</si>
  <si>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</si>
  <si>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</si>
  <si>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</si>
  <si>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</si>
  <si>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</si>
  <si>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</si>
  <si>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</si>
  <si>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</si>
  <si>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</si>
  <si>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</si>
  <si>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</si>
  <si>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</si>
  <si>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</si>
  <si>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</si>
  <si>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</si>
  <si>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</si>
  <si>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</si>
  <si>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</si>
  <si>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</si>
  <si>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</si>
  <si>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</si>
  <si>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</si>
  <si>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</si>
  <si>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</si>
  <si>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</si>
  <si>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</si>
  <si>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</si>
  <si>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</si>
  <si>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</si>
  <si>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</si>
  <si>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</si>
  <si>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</si>
  <si>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</si>
  <si>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</si>
  <si>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</si>
  <si>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</si>
  <si>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</si>
  <si>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</si>
  <si>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</si>
  <si>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</si>
  <si>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</si>
  <si>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</si>
  <si>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</si>
  <si>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</si>
  <si>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</si>
  <si>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</si>
  <si>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</si>
  <si>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</si>
  <si>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</si>
  <si>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</si>
  <si>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</si>
  <si>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</si>
  <si>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</si>
  <si>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</si>
  <si>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</si>
  <si>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</si>
  <si>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</si>
  <si>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</si>
  <si>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</si>
  <si>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</si>
  <si>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</si>
  <si>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</si>
  <si>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</si>
  <si>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</si>
  <si>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</si>
  <si>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</si>
  <si>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</si>
  <si>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</si>
  <si>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</si>
  <si>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</si>
  <si>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</si>
  <si>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</si>
  <si>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</si>
  <si>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</si>
  <si>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</si>
  <si>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</si>
  <si>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</si>
  <si>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</si>
  <si>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</si>
  <si>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</si>
  <si>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</si>
  <si>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</si>
  <si>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</si>
  <si>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</si>
  <si>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</si>
  <si>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</si>
  <si>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</si>
  <si>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</si>
  <si>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</si>
  <si>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</si>
  <si>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</si>
  <si>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</si>
  <si>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</si>
  <si>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</si>
  <si>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</si>
  <si>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</si>
  <si>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</si>
  <si>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</si>
  <si>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</si>
  <si>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</si>
  <si>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</si>
  <si>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</si>
  <si>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</si>
  <si>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</si>
  <si>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</si>
  <si>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</si>
  <si>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</si>
  <si>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</si>
  <si>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</si>
  <si>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</si>
  <si>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</si>
  <si>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</si>
  <si>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</si>
  <si>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</si>
  <si>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</si>
  <si>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</si>
  <si>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</si>
  <si>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</si>
  <si>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</si>
  <si>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</si>
  <si>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</si>
  <si>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</si>
  <si>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</si>
  <si>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</si>
  <si>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</si>
  <si>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</si>
  <si>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</si>
  <si>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</si>
  <si>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</si>
  <si>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</si>
  <si>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</si>
  <si>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</si>
  <si>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</si>
  <si>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</si>
  <si>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</si>
  <si>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</si>
  <si>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</si>
  <si>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</si>
  <si>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</si>
  <si>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</si>
  <si>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</si>
  <si>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</si>
  <si>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</si>
  <si>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</si>
  <si>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</si>
  <si>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</si>
  <si>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</si>
  <si>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</si>
  <si>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</si>
  <si>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</si>
  <si>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</si>
  <si>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</si>
  <si>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</si>
  <si>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</si>
  <si>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</si>
  <si>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</si>
  <si>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</si>
  <si>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</si>
  <si>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</si>
  <si>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</si>
  <si>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</si>
  <si>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</si>
  <si>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</si>
  <si>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</si>
  <si>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</si>
  <si>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</si>
  <si>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</si>
  <si>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</si>
  <si>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</si>
  <si>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</si>
  <si>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</si>
  <si>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</si>
  <si>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</si>
  <si>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</si>
  <si>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</si>
  <si>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</si>
  <si>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</si>
  <si>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</si>
  <si>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</si>
  <si>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</si>
  <si>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</si>
  <si>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</si>
  <si>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</si>
  <si>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</si>
  <si>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</si>
  <si>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</si>
  <si>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</si>
  <si>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</si>
  <si>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</si>
  <si>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</si>
  <si>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</si>
  <si>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</si>
  <si>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</si>
  <si>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</si>
  <si>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</si>
  <si>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</si>
  <si>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</si>
  <si>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</si>
  <si>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</si>
  <si>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</si>
  <si>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</si>
  <si>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</si>
  <si>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</si>
  <si>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</si>
  <si>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</si>
  <si>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</si>
  <si>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</si>
  <si>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</si>
  <si>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</si>
  <si>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</si>
  <si>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</si>
  <si>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</si>
  <si>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</si>
  <si>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</si>
  <si>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</si>
  <si>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</si>
  <si>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</si>
  <si>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</si>
  <si>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</si>
  <si>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</si>
  <si>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</si>
  <si>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</si>
  <si>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</si>
  <si>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</si>
  <si>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</si>
  <si>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</si>
  <si>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</si>
  <si>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</si>
  <si>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</si>
  <si>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</si>
  <si>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</si>
  <si>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</si>
  <si>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</si>
  <si>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</si>
  <si>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</si>
  <si>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</si>
  <si>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</si>
  <si>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</si>
  <si>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</si>
  <si>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</si>
  <si>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</si>
  <si>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</si>
  <si>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</si>
  <si>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</si>
  <si>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</si>
  <si>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</si>
  <si>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</si>
  <si>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</si>
  <si>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</si>
  <si>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</si>
  <si>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</si>
  <si>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</si>
  <si>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</si>
  <si>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</si>
  <si>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</si>
  <si>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</si>
  <si>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</si>
  <si>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</si>
  <si>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</si>
  <si>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</si>
  <si>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</si>
  <si>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</si>
  <si>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</si>
  <si>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</si>
  <si>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</si>
  <si>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</si>
  <si>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</si>
  <si>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</si>
  <si>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</si>
  <si>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</si>
  <si>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</si>
  <si>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</si>
  <si>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</si>
  <si>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</si>
  <si>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</si>
  <si>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</si>
  <si>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</si>
  <si>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</si>
  <si>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</si>
  <si>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</si>
  <si>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</si>
  <si>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</si>
  <si>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</si>
  <si>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</si>
  <si>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</si>
  <si>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</si>
  <si>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</si>
  <si>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</si>
  <si>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</si>
  <si>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</si>
  <si>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</si>
  <si>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</si>
  <si>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</si>
  <si>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</si>
  <si>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</si>
  <si>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</si>
  <si>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</si>
  <si>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</si>
  <si>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</si>
  <si>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</si>
  <si>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</si>
  <si>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</si>
  <si>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</si>
  <si>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</si>
  <si>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</si>
  <si>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</si>
  <si>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</si>
  <si>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</si>
  <si>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</si>
  <si>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</si>
  <si>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</si>
  <si>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</si>
  <si>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</si>
  <si>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</si>
  <si>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</si>
  <si>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</si>
  <si>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</si>
  <si>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</si>
  <si>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</si>
  <si>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</si>
  <si>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</si>
  <si>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</si>
  <si>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</si>
  <si>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</si>
  <si>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</si>
  <si>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</si>
  <si>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</si>
  <si>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</si>
  <si>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</si>
  <si>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</si>
  <si>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</si>
  <si>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</si>
  <si>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</si>
  <si>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</si>
  <si>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</si>
  <si>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</si>
  <si>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</si>
  <si>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</si>
  <si>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</si>
  <si>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</si>
  <si>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</si>
  <si>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</si>
  <si>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</si>
  <si>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</si>
  <si>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</si>
  <si>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</si>
  <si>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</si>
  <si>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</si>
  <si>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</si>
  <si>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</si>
  <si>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</si>
  <si>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</si>
  <si>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</si>
  <si>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</si>
  <si>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</si>
  <si>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</si>
  <si>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</si>
  <si>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</si>
  <si>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</si>
  <si>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</si>
  <si>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</si>
  <si>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</si>
  <si>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</si>
  <si>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</si>
  <si>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</si>
  <si>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</si>
  <si>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</si>
  <si>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</si>
  <si>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</si>
  <si>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</si>
  <si>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</si>
  <si>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</si>
  <si>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</si>
  <si>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</si>
  <si>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</si>
  <si>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</si>
  <si>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</si>
  <si>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</si>
  <si>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</si>
  <si>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</si>
  <si>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</si>
  <si>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</si>
  <si>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</si>
  <si>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</si>
  <si>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</si>
  <si>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</si>
  <si>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</si>
  <si>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</si>
  <si>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</si>
  <si>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</si>
  <si>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</si>
  <si>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</si>
  <si>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</si>
  <si>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</si>
  <si>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</si>
  <si>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</si>
  <si>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</si>
  <si>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</si>
  <si>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</si>
  <si>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</si>
  <si>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</si>
  <si>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</si>
  <si>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</si>
  <si>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</si>
  <si>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</si>
  <si>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</si>
  <si>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</si>
  <si>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</si>
  <si>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</si>
  <si>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</si>
  <si>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</si>
  <si>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</si>
  <si>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</si>
  <si>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</si>
  <si>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</si>
  <si>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</si>
  <si>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</si>
  <si>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</si>
  <si>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</si>
  <si>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</si>
  <si>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</si>
  <si>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</si>
  <si>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</si>
  <si>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</si>
  <si>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</si>
  <si>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</si>
  <si>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</si>
  <si>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</si>
  <si>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</si>
  <si>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</si>
  <si>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</si>
  <si>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</si>
  <si>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</si>
  <si>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</si>
  <si>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</si>
  <si>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</si>
  <si>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</si>
  <si>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</si>
  <si>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</si>
  <si>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</si>
  <si>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</si>
  <si>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</si>
  <si>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</si>
  <si>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</si>
  <si>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</si>
  <si>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</si>
  <si>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</si>
  <si>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</si>
  <si>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</si>
  <si>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</si>
  <si>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</si>
  <si>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</si>
  <si>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</si>
  <si>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</si>
  <si>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</si>
  <si>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</si>
  <si>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</si>
  <si>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</si>
  <si>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</si>
  <si>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</si>
  <si>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</si>
  <si>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</si>
  <si>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</si>
  <si>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</si>
  <si>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</si>
  <si>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</si>
  <si>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</si>
  <si>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</si>
  <si>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</si>
  <si>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</si>
  <si>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</si>
  <si>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</si>
  <si>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</si>
  <si>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</si>
  <si>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</si>
  <si>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</si>
  <si>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</si>
  <si>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</si>
  <si>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</si>
  <si>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</si>
  <si>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</si>
  <si>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</si>
  <si>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</si>
  <si>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</si>
  <si>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</si>
  <si>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</si>
  <si>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</si>
  <si>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</si>
  <si>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</si>
  <si>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</si>
  <si>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</si>
  <si>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</si>
  <si>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</si>
  <si>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</si>
  <si>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</si>
  <si>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</si>
  <si>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</si>
  <si>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</si>
  <si>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</si>
  <si>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</si>
  <si>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</si>
  <si>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</si>
  <si>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</si>
  <si>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</si>
  <si>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</si>
  <si>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</si>
  <si>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</si>
  <si>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</si>
  <si>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</si>
  <si>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</si>
  <si>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</si>
  <si>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</si>
  <si>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</si>
  <si>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</si>
  <si>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</si>
  <si>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</si>
  <si>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</si>
  <si>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</si>
  <si>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</si>
  <si>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</si>
  <si>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</si>
  <si>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</si>
  <si>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</si>
  <si>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</si>
  <si>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</si>
  <si>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</si>
  <si>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</si>
  <si>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</si>
  <si>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</si>
  <si>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</si>
  <si>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</si>
  <si>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</si>
  <si>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</si>
  <si>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</si>
  <si>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</si>
  <si>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</si>
  <si>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</si>
  <si>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</si>
  <si>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</si>
  <si>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</si>
  <si>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</si>
  <si>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</si>
  <si>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</si>
  <si>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</si>
  <si>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</si>
  <si>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</si>
  <si>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</si>
  <si>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</si>
  <si>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</si>
  <si>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</si>
  <si>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</si>
  <si>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</si>
  <si>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</si>
  <si>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</si>
  <si>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</si>
  <si>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</si>
  <si>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</si>
  <si>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</si>
  <si>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</si>
  <si>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</si>
  <si>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</si>
  <si>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</si>
  <si>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</si>
  <si>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</si>
  <si>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</si>
  <si>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</si>
  <si>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</si>
  <si>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</si>
  <si>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</si>
  <si>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</si>
  <si>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</si>
  <si>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</si>
  <si>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</si>
  <si>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</si>
  <si>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</si>
  <si>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</si>
  <si>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</si>
  <si>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</si>
  <si>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</si>
  <si>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</si>
  <si>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</si>
  <si>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</si>
  <si>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</si>
  <si>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</si>
  <si>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</si>
  <si>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</si>
  <si>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</si>
  <si>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</si>
  <si>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</si>
  <si>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</si>
  <si>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</si>
  <si>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</si>
  <si>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</si>
  <si>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</si>
  <si>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</si>
  <si>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</si>
  <si>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</si>
  <si>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</si>
  <si>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</si>
  <si>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</si>
  <si>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</si>
  <si>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</si>
  <si>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</si>
  <si>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</si>
  <si>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</si>
  <si>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</si>
  <si>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</si>
  <si>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</si>
  <si>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</si>
  <si>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</si>
  <si>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</si>
  <si>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</si>
  <si>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</si>
  <si>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</si>
  <si>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</si>
  <si>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</si>
  <si>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</si>
  <si>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</si>
  <si>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</si>
  <si>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</si>
  <si>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</si>
  <si>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</si>
  <si>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</si>
  <si>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</si>
  <si>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</si>
  <si>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</si>
  <si>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</si>
  <si>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</si>
  <si>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</si>
  <si>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</si>
  <si>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</si>
  <si>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</si>
  <si>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</si>
  <si>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</si>
  <si>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</si>
  <si>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</si>
  <si>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</si>
  <si>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</si>
  <si>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</si>
  <si>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</si>
  <si>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</si>
  <si>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</si>
  <si>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</si>
  <si>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</si>
  <si>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</si>
  <si>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</si>
  <si>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</si>
  <si>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</si>
  <si>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</si>
  <si>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</si>
  <si>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</si>
  <si>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</si>
  <si>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</si>
  <si>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</si>
  <si>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</si>
  <si>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</si>
  <si>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</si>
  <si>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</si>
  <si>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</si>
  <si>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</si>
  <si>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</si>
  <si>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</si>
  <si>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</si>
  <si>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</si>
  <si>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</si>
  <si>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</si>
  <si>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</si>
  <si>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</si>
  <si>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</si>
  <si>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</si>
  <si>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</si>
  <si>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</si>
  <si>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</si>
  <si>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</si>
  <si>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</si>
  <si>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</si>
  <si>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</si>
  <si>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</si>
  <si>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</si>
  <si>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</si>
  <si>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</si>
  <si>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</si>
  <si>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</si>
  <si>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</si>
  <si>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</si>
  <si>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</si>
  <si>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</si>
  <si>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</si>
  <si>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</si>
  <si>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</si>
  <si>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</si>
  <si>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</si>
  <si>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</si>
  <si>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</si>
  <si>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</si>
  <si>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</si>
  <si>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</si>
  <si>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</si>
  <si>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</si>
  <si>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</si>
  <si>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</si>
  <si>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</si>
  <si>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</si>
  <si>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</si>
  <si>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</si>
  <si>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</si>
  <si>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</si>
  <si>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</si>
  <si>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</si>
  <si>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</si>
  <si>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</si>
  <si>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</si>
  <si>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</si>
  <si>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</si>
  <si>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</si>
  <si>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</si>
  <si>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</si>
  <si>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</si>
  <si>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</si>
  <si>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</si>
  <si>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</si>
  <si>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</si>
  <si>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</si>
  <si>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</si>
  <si>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</si>
  <si>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</si>
  <si>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</si>
  <si>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</si>
  <si>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</si>
  <si>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</si>
  <si>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</si>
  <si>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</si>
  <si>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</si>
  <si>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</si>
  <si>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</si>
  <si>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</si>
  <si>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</si>
  <si>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</si>
  <si>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</si>
  <si>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</si>
  <si>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</si>
  <si>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</si>
  <si>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</si>
  <si>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</si>
  <si>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</si>
  <si>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</si>
  <si>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</si>
  <si>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</si>
  <si>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</si>
  <si>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</si>
  <si>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</si>
  <si>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</si>
  <si>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</si>
  <si>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</si>
  <si>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</si>
  <si>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</si>
  <si>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</si>
  <si>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</si>
  <si>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</si>
  <si>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</si>
  <si>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</si>
  <si>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</si>
  <si>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</si>
  <si>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</si>
  <si>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</si>
  <si>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</si>
  <si>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</si>
  <si>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</si>
  <si>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</si>
  <si>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</si>
  <si>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</si>
  <si>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</si>
  <si>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</si>
  <si>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</si>
  <si>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</si>
  <si>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</si>
  <si>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</si>
  <si>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</si>
  <si>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</si>
  <si>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</si>
  <si>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</si>
  <si>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</si>
  <si>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</si>
  <si>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</si>
  <si>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</si>
  <si>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</si>
  <si>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</si>
  <si>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</si>
  <si>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</si>
  <si>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</si>
  <si>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</si>
  <si>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</si>
  <si>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</si>
  <si>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</si>
  <si>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</si>
  <si>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</si>
  <si>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</si>
  <si>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</si>
  <si>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</si>
  <si>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</si>
  <si>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</si>
  <si>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</si>
  <si>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</si>
  <si>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</si>
  <si>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</si>
  <si>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</si>
  <si>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</si>
  <si>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</si>
  <si>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</si>
  <si>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</si>
  <si>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</si>
  <si>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</si>
  <si>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</si>
  <si>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</si>
  <si>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</si>
  <si>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</si>
  <si>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</si>
  <si>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</si>
  <si>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</si>
  <si>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</si>
  <si>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</si>
  <si>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</si>
  <si>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</si>
  <si>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</si>
  <si>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</si>
  <si>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</si>
  <si>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</si>
  <si>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</si>
  <si>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</si>
  <si>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</si>
  <si>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</si>
  <si>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</si>
  <si>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</si>
  <si>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</si>
  <si>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</si>
  <si>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</si>
  <si>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</si>
  <si>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</si>
  <si>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</si>
  <si>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</si>
  <si>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</si>
  <si>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</si>
  <si>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</si>
  <si>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</si>
  <si>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</si>
  <si>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</si>
  <si>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</si>
  <si>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</si>
  <si>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</si>
  <si>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</si>
  <si>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</si>
  <si>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</si>
  <si>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</si>
  <si>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</si>
  <si>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</si>
  <si>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</si>
  <si>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</si>
  <si>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</si>
  <si>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</si>
  <si>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</si>
  <si>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</si>
  <si>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</si>
  <si>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</si>
  <si>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</si>
  <si>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</si>
  <si>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</si>
  <si>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</si>
  <si>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</si>
  <si>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</si>
  <si>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</si>
  <si>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</si>
  <si>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</si>
  <si>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</si>
  <si>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</si>
  <si>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</si>
  <si>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</si>
  <si>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</si>
  <si>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</si>
  <si>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</si>
  <si>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</si>
  <si>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</si>
  <si>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</si>
  <si>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</si>
  <si>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</si>
  <si>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</si>
  <si>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</si>
  <si>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</si>
  <si>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</si>
  <si>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</si>
  <si>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</si>
  <si>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</si>
  <si>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</si>
  <si>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</si>
  <si>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</si>
  <si>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</si>
  <si>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</si>
  <si>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</si>
  <si>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</si>
  <si>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</si>
  <si>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</si>
  <si>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</si>
  <si>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</si>
  <si>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</si>
  <si>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</si>
  <si>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</si>
  <si>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</si>
  <si>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</si>
  <si>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</si>
  <si>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</si>
  <si>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</si>
  <si>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</si>
  <si>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</si>
  <si>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</si>
  <si>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</si>
  <si>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</si>
  <si>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</si>
  <si>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</si>
  <si>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</si>
  <si>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</si>
  <si>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</si>
  <si>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</si>
  <si>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</si>
  <si>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</si>
  <si>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</si>
  <si>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</si>
  <si>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</si>
  <si>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</si>
  <si>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</si>
  <si>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</si>
  <si>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</si>
  <si>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</si>
  <si>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</si>
  <si>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</si>
  <si>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</si>
  <si>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</si>
  <si>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</si>
  <si>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</si>
  <si>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</si>
  <si>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</si>
  <si>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</si>
  <si>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</si>
  <si>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</si>
  <si>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</si>
  <si>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</si>
  <si>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</si>
  <si>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</si>
  <si>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</si>
  <si>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</si>
  <si>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</si>
  <si>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</si>
  <si>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</si>
  <si>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</si>
  <si>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</si>
  <si>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</si>
  <si>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</si>
  <si>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</si>
  <si>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</si>
  <si>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</si>
  <si>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</si>
  <si>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</si>
  <si>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</si>
  <si>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</si>
  <si>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</si>
  <si>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</si>
  <si>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</si>
  <si>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</si>
  <si>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</si>
  <si>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</si>
  <si>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</si>
  <si>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</si>
  <si>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</si>
  <si>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</si>
  <si>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</si>
  <si>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</si>
  <si>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</si>
  <si>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</si>
  <si>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</si>
  <si>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</si>
  <si>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</si>
  <si>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</si>
  <si>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</si>
  <si>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</si>
  <si>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</si>
  <si>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</si>
  <si>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</si>
  <si>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</si>
  <si>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</si>
  <si>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</si>
  <si>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</si>
  <si>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</si>
  <si>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</si>
  <si>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</si>
  <si>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</si>
  <si>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</si>
  <si>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</si>
  <si>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</si>
  <si>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</si>
  <si>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</si>
  <si>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</si>
  <si>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</si>
  <si>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</si>
  <si>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</si>
  <si>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</si>
  <si>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</si>
  <si>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</si>
  <si>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</si>
  <si>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</si>
  <si>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</si>
  <si>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</si>
  <si>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</si>
  <si>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</si>
  <si>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</si>
  <si>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</si>
  <si>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</si>
  <si>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</si>
  <si>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</si>
  <si>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</si>
  <si>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</si>
  <si>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</si>
  <si>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</si>
  <si>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</si>
  <si>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</si>
  <si>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</si>
  <si>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</si>
  <si>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</si>
  <si>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</si>
  <si>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</si>
  <si>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</si>
  <si>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</si>
  <si>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</si>
  <si>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</si>
  <si>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</si>
  <si>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</si>
  <si>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</si>
  <si>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</si>
  <si>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</si>
  <si>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</si>
  <si>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</si>
  <si>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</si>
  <si>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</si>
  <si>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</si>
  <si>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</si>
  <si>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</si>
  <si>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</si>
  <si>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</si>
  <si>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</si>
  <si>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</si>
  <si>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</si>
  <si>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</si>
  <si>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</si>
  <si>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</si>
  <si>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</si>
  <si>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</si>
  <si>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</si>
  <si>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</si>
  <si>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</si>
  <si>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</si>
  <si>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</si>
  <si>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</si>
  <si>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</si>
  <si>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</si>
  <si>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</si>
  <si>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</si>
  <si>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</si>
  <si>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</si>
  <si>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</si>
  <si>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</si>
  <si>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</si>
  <si>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</si>
  <si>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</si>
  <si>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</si>
  <si>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</si>
  <si>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</si>
  <si>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</si>
  <si>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</si>
  <si>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</si>
  <si>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</si>
  <si>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</si>
  <si>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</si>
  <si>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</si>
  <si>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</si>
  <si>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</si>
  <si>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</si>
  <si>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</si>
  <si>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</si>
  <si>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</si>
  <si>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</si>
  <si>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</si>
  <si>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</si>
  <si>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</si>
  <si>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</si>
  <si>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</si>
  <si>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</si>
  <si>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</si>
  <si>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</si>
  <si>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</si>
  <si>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</si>
  <si>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</si>
  <si>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</si>
  <si>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</si>
  <si>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</si>
  <si>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</si>
  <si>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</si>
  <si>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</si>
  <si>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</si>
  <si>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</si>
  <si>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</si>
  <si>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</si>
  <si>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</si>
  <si>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</si>
  <si>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</si>
  <si>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</si>
  <si>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</si>
  <si>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</si>
  <si>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</si>
  <si>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</si>
  <si>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</si>
  <si>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</si>
  <si>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</si>
  <si>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</si>
  <si>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</si>
  <si>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</si>
  <si>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</si>
  <si>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</si>
  <si>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</si>
  <si>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</si>
  <si>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</si>
  <si>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</si>
  <si>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</si>
  <si>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</si>
  <si>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</si>
  <si>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</si>
  <si>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</si>
  <si>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</si>
  <si>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</si>
  <si>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</si>
  <si>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</si>
  <si>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</si>
  <si>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</si>
  <si>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</si>
  <si>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</si>
  <si>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</si>
  <si>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</si>
  <si>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</si>
  <si>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</si>
  <si>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</si>
  <si>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</si>
  <si>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</si>
  <si>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</si>
  <si>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</si>
  <si>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</si>
  <si>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</si>
  <si>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</si>
  <si>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</si>
  <si>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</si>
  <si>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</si>
  <si>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</si>
  <si>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</si>
  <si>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</si>
  <si>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</si>
  <si>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</si>
  <si>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</si>
  <si>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</si>
  <si>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</si>
  <si>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</si>
  <si>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</si>
  <si>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</si>
  <si>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</si>
  <si>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</si>
  <si>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</si>
  <si>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</si>
  <si>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</si>
  <si>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</si>
  <si>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</si>
  <si>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</si>
  <si>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</si>
  <si>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</si>
  <si>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</si>
  <si>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</si>
  <si>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</si>
  <si>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</si>
  <si>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</si>
  <si>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</si>
  <si>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</si>
  <si>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</si>
  <si>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</si>
  <si>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</si>
  <si>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</si>
  <si>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</si>
  <si>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</si>
  <si>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</si>
  <si>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</si>
  <si>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</si>
  <si>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</si>
  <si>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</si>
  <si>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</si>
  <si>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</si>
  <si>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</si>
  <si>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</si>
  <si>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</si>
  <si>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</si>
  <si>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</si>
  <si>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</si>
  <si>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</si>
  <si>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</si>
  <si>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</si>
  <si>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</si>
  <si>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</si>
  <si>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</si>
  <si>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</si>
  <si>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</si>
  <si>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</si>
  <si>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</si>
  <si>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</si>
  <si>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</si>
  <si>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</si>
  <si>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</si>
  <si>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</si>
  <si>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</si>
  <si>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</si>
  <si>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</si>
  <si>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</si>
  <si>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</si>
  <si>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</si>
  <si>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</si>
  <si>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</si>
  <si>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</si>
  <si>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</si>
  <si>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</si>
  <si>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</si>
  <si>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</si>
  <si>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</si>
  <si>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</si>
  <si>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</si>
  <si>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</si>
  <si>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</si>
  <si>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</si>
  <si>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</si>
  <si>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</si>
  <si>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</si>
  <si>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</si>
  <si>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</si>
  <si>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</si>
  <si>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</si>
  <si>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</si>
  <si>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</si>
  <si>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</si>
  <si>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</si>
  <si>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</si>
  <si>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</si>
  <si>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</si>
  <si>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</si>
  <si>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</si>
  <si>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</si>
  <si>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</si>
  <si>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</si>
  <si>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</si>
  <si>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</si>
  <si>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</si>
  <si>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</si>
  <si>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</si>
  <si>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</si>
  <si>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</si>
  <si>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</si>
  <si>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</si>
  <si>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</si>
  <si>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</si>
  <si>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</si>
  <si>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</si>
  <si>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</si>
  <si>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</si>
  <si>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</si>
  <si>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</si>
  <si>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</si>
  <si>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</si>
  <si>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</si>
  <si>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</si>
  <si>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</si>
  <si>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</si>
  <si>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</si>
  <si>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</si>
  <si>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</si>
  <si>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</si>
  <si>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</si>
  <si>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</si>
  <si>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</si>
  <si>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</si>
  <si>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</si>
  <si>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</si>
  <si>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</si>
  <si>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</si>
  <si>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</si>
  <si>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</si>
  <si>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</si>
  <si>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</si>
  <si>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</si>
  <si>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</si>
  <si>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</si>
  <si>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</si>
  <si>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</si>
  <si>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</si>
  <si>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</si>
  <si>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</si>
  <si>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</si>
  <si>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</si>
  <si>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</si>
  <si>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</si>
  <si>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</si>
  <si>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</si>
  <si>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</si>
  <si>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</si>
  <si>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</si>
  <si>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</si>
  <si>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</si>
  <si>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</si>
  <si>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</si>
  <si>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</si>
  <si>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</si>
  <si>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</si>
  <si>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</si>
  <si>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</si>
  <si>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</si>
  <si>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</si>
  <si>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</si>
  <si>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</si>
  <si>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</si>
  <si>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</si>
  <si>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</si>
  <si>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</si>
  <si>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</si>
  <si>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</si>
  <si>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</si>
  <si>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</si>
  <si>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</si>
  <si>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</si>
  <si>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</si>
  <si>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</si>
  <si>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</si>
  <si>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</si>
  <si>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</si>
  <si>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</si>
  <si>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</si>
  <si>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</si>
  <si>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</si>
  <si>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</si>
  <si>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</si>
  <si>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</si>
  <si>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</si>
  <si>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</si>
  <si>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</si>
  <si>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</si>
  <si>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</si>
  <si>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</si>
  <si>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</si>
  <si>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</si>
  <si>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</si>
  <si>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</si>
  <si>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</si>
  <si>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</si>
  <si>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</si>
  <si>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</si>
  <si>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</si>
  <si>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</si>
  <si>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</si>
  <si>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</si>
  <si>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</si>
  <si>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</si>
  <si>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</si>
  <si>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</si>
  <si>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</si>
  <si>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</si>
  <si>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</si>
  <si>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</si>
  <si>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</si>
  <si>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</si>
  <si>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</si>
  <si>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</si>
  <si>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</si>
  <si>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</si>
  <si>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</si>
  <si>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</si>
  <si>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</si>
  <si>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</si>
  <si>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</si>
  <si>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</si>
  <si>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</si>
  <si>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</si>
  <si>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</si>
  <si>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</si>
  <si>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</si>
  <si>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</si>
  <si>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</si>
  <si>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</si>
  <si>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</si>
  <si>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</si>
  <si>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</si>
  <si>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</si>
  <si>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</si>
  <si>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</si>
  <si>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</si>
  <si>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</si>
  <si>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</si>
  <si>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</si>
  <si>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</si>
  <si>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</si>
  <si>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</si>
  <si>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</si>
  <si>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</si>
  <si>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</si>
  <si>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</si>
  <si>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</si>
  <si>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</si>
  <si>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</si>
  <si>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</si>
  <si>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</si>
  <si>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</si>
  <si>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</si>
  <si>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</si>
  <si>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</si>
  <si>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</si>
  <si>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</si>
  <si>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</si>
  <si>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</si>
  <si>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</si>
  <si>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</si>
  <si>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</si>
  <si>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</si>
  <si>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</si>
  <si>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</si>
  <si>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</si>
  <si>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</si>
  <si>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</si>
  <si>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</si>
  <si>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</si>
  <si>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</si>
  <si>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</si>
  <si>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</si>
  <si>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</si>
  <si>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</si>
  <si>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</si>
  <si>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</si>
  <si>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</si>
  <si>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</si>
  <si>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</si>
  <si>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</si>
  <si>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</si>
  <si>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</si>
  <si>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</si>
  <si>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</si>
  <si>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</si>
  <si>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</si>
  <si>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</si>
  <si>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</si>
  <si>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</si>
  <si>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</si>
  <si>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</si>
  <si>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</si>
  <si>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</si>
  <si>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</si>
  <si>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</si>
  <si>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</si>
  <si>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</si>
  <si>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</si>
  <si>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</si>
  <si>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</si>
  <si>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</si>
  <si>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</si>
  <si>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</si>
  <si>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</si>
  <si>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</si>
  <si>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</si>
  <si>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</si>
  <si>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</si>
  <si>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</si>
  <si>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</si>
  <si>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</si>
  <si>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</si>
  <si>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</si>
  <si>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</si>
  <si>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</si>
  <si>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</si>
  <si>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</si>
  <si>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</si>
  <si>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</si>
  <si>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</si>
  <si>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</si>
  <si>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</si>
  <si>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</si>
  <si>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</si>
  <si>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</si>
  <si>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</si>
  <si>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</si>
  <si>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</si>
  <si>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</si>
  <si>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</si>
  <si>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</si>
  <si>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</si>
  <si>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</si>
  <si>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</si>
  <si>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</si>
  <si>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</si>
  <si>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</si>
  <si>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</si>
  <si>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</si>
  <si>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</si>
  <si>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</si>
  <si>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</si>
  <si>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</si>
  <si>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</si>
  <si>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</si>
  <si>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</si>
  <si>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</si>
  <si>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</si>
  <si>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</si>
  <si>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</si>
  <si>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</si>
  <si>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</si>
  <si>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</si>
  <si>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</si>
  <si>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</si>
  <si>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</si>
  <si>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</si>
  <si>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</si>
  <si>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</si>
  <si>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</si>
  <si>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</si>
  <si>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</si>
  <si>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</si>
  <si>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</si>
  <si>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</si>
  <si>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</si>
  <si>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</si>
  <si>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</si>
  <si>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</si>
  <si>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</si>
  <si>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</si>
  <si>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</si>
  <si>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</si>
  <si>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</si>
  <si>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</si>
  <si>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</si>
  <si>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</si>
  <si>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</si>
  <si>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</si>
  <si>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</si>
  <si>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</si>
  <si>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</si>
  <si>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</si>
  <si>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</si>
  <si>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</si>
  <si>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</si>
  <si>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</si>
  <si>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</si>
  <si>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</si>
  <si>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</si>
  <si>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</si>
  <si>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</si>
  <si>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</si>
  <si>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</si>
  <si>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</si>
  <si>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</si>
  <si>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</si>
  <si>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</si>
  <si>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</si>
  <si>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</si>
  <si>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</si>
  <si>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</si>
  <si>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</si>
  <si>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</si>
  <si>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</si>
  <si>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</si>
  <si>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</si>
  <si>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</si>
  <si>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</si>
  <si>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</si>
  <si>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</si>
  <si>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</si>
  <si>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</si>
  <si>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</si>
  <si>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</si>
  <si>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</si>
  <si>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</si>
  <si>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</si>
  <si>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</si>
  <si>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</si>
  <si>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</si>
  <si>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</si>
  <si>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</si>
  <si>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</si>
  <si>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</si>
  <si>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</si>
  <si>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</si>
  <si>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</si>
  <si>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</si>
  <si>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</si>
  <si>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</si>
  <si>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</si>
  <si>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</si>
  <si>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</si>
  <si>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</si>
  <si>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</si>
  <si>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</si>
  <si>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</si>
  <si>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</si>
  <si>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</si>
  <si>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</si>
  <si>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</si>
  <si>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</si>
  <si>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</si>
  <si>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</si>
  <si>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</si>
  <si>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</si>
  <si>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</si>
  <si>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</si>
  <si>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</si>
  <si>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</si>
  <si>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</si>
  <si>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</si>
  <si>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</si>
  <si>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</si>
  <si>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</si>
  <si>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</si>
  <si>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</si>
  <si>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</si>
  <si>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</si>
  <si>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</si>
  <si>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</si>
  <si>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</si>
  <si>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</si>
  <si>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</si>
  <si>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</si>
  <si>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</si>
  <si>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</si>
  <si>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</si>
  <si>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</si>
  <si>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</si>
  <si>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</si>
  <si>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</si>
  <si>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</si>
  <si>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</si>
  <si>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</si>
  <si>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</si>
  <si>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</si>
  <si>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</si>
  <si>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</si>
  <si>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</si>
  <si>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</si>
  <si>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</si>
  <si>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</si>
  <si>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</si>
  <si>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</si>
  <si>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</si>
  <si>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</si>
  <si>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</si>
  <si>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</si>
  <si>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</si>
  <si>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</si>
  <si>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</si>
  <si>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</si>
  <si>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</si>
  <si>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</si>
  <si>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</si>
  <si>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</si>
  <si>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</si>
  <si>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</si>
  <si>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</si>
  <si>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</si>
  <si>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</si>
  <si>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</si>
  <si>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</si>
  <si>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</si>
  <si>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</si>
  <si>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</si>
  <si>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</si>
  <si>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</si>
  <si>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</si>
  <si>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</si>
  <si>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</si>
  <si>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</si>
  <si>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</si>
  <si>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</si>
  <si>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</si>
  <si>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</si>
  <si>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</si>
  <si>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</si>
  <si>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</si>
  <si>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</si>
  <si>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</si>
  <si>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</si>
  <si>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</si>
  <si>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</si>
  <si>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</si>
  <si>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</si>
  <si>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</si>
  <si>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</si>
  <si>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</si>
  <si>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</si>
  <si>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</si>
  <si>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</si>
  <si>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</si>
  <si>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</si>
  <si>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</si>
  <si>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</si>
  <si>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</si>
  <si>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</si>
  <si>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</si>
  <si>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</si>
  <si>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</si>
  <si>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</si>
  <si>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</si>
  <si>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</si>
  <si>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</si>
  <si>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</si>
  <si>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</si>
  <si>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</si>
  <si>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</si>
  <si>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</si>
  <si>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</si>
  <si>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</si>
  <si>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</si>
  <si>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</si>
  <si>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</si>
  <si>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</si>
  <si>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</si>
  <si>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</si>
  <si>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</si>
  <si>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</si>
  <si>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</si>
  <si>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</si>
  <si>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</si>
  <si>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</si>
  <si>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</si>
  <si>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</si>
  <si>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</si>
  <si>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</si>
  <si>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</si>
  <si>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</si>
  <si>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</si>
  <si>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</si>
  <si>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</si>
  <si>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</si>
  <si>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</si>
  <si>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</si>
  <si>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</si>
  <si>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</si>
  <si>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</si>
  <si>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</si>
  <si>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</si>
  <si>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</si>
  <si>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</si>
  <si>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</si>
  <si>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</si>
  <si>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</si>
  <si>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</si>
  <si>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</si>
  <si>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</si>
  <si>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</si>
  <si>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</si>
  <si>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</si>
  <si>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</si>
  <si>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</si>
  <si>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</si>
  <si>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</si>
  <si>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</si>
  <si>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</si>
  <si>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</si>
  <si>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</si>
  <si>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</si>
  <si>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</si>
  <si>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</si>
  <si>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</si>
  <si>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</si>
  <si>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</si>
  <si>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</si>
  <si>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</si>
  <si>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</si>
  <si>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</si>
  <si>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</si>
  <si>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</si>
  <si>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</si>
  <si>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</si>
  <si>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</si>
  <si>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</si>
  <si>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</si>
  <si>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</si>
  <si>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</si>
  <si>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</si>
  <si>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</si>
  <si>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</si>
  <si>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</si>
  <si>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</si>
  <si>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</si>
  <si>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</si>
  <si>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</si>
  <si>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</si>
  <si>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</si>
  <si>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</si>
  <si>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</si>
  <si>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</si>
  <si>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</si>
  <si>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</si>
  <si>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</si>
  <si>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</si>
  <si>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</si>
  <si>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</si>
  <si>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</si>
  <si>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</si>
  <si>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</si>
  <si>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</si>
  <si>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</si>
  <si>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</si>
  <si>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</si>
  <si>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</si>
  <si>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</si>
  <si>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</si>
  <si>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</si>
  <si>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</si>
  <si>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</si>
  <si>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</si>
  <si>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</si>
  <si>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</si>
  <si>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</si>
  <si>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</si>
  <si>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</si>
  <si>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</si>
  <si>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</si>
  <si>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</si>
  <si>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</si>
  <si>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</si>
  <si>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</si>
  <si>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</si>
  <si>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</si>
  <si>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</si>
  <si>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</si>
  <si>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</si>
  <si>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</si>
  <si>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</si>
  <si>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</si>
  <si>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</si>
  <si>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</si>
  <si>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</si>
  <si>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</si>
  <si>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</si>
  <si>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</si>
  <si>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</si>
  <si>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</si>
  <si>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</si>
  <si>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</si>
  <si>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</si>
  <si>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</si>
  <si>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</si>
  <si>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</si>
  <si>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</si>
  <si>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</si>
  <si>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</si>
  <si>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</si>
  <si>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</si>
  <si>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</si>
  <si>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</si>
  <si>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</si>
  <si>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</si>
  <si>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</si>
  <si>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</si>
  <si>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</si>
  <si>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</si>
  <si>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</si>
  <si>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</si>
  <si>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</si>
  <si>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</si>
  <si>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</si>
  <si>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</si>
  <si>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</si>
  <si>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</si>
  <si>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</si>
  <si>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</si>
  <si>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</si>
  <si>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</si>
  <si>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</si>
  <si>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</si>
  <si>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</si>
  <si>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</si>
  <si>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</si>
  <si>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</si>
  <si>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</si>
  <si>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</si>
  <si>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</si>
  <si>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</si>
  <si>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</si>
  <si>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</si>
  <si>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</si>
  <si>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</si>
  <si>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</si>
  <si>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</si>
  <si>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</si>
  <si>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</si>
  <si>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</si>
  <si>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</si>
  <si>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</si>
  <si>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</si>
  <si>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</si>
  <si>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</si>
  <si>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</si>
  <si>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</si>
  <si>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</si>
  <si>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</si>
  <si>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</si>
  <si>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</si>
  <si>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</si>
  <si>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</si>
  <si>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</si>
  <si>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</si>
  <si>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</si>
  <si>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</si>
  <si>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</si>
  <si>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</si>
  <si>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</si>
  <si>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</si>
  <si>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</si>
  <si>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</si>
  <si>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</si>
  <si>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</si>
  <si>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</si>
  <si>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</si>
  <si>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</si>
  <si>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</si>
  <si>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</si>
  <si>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</si>
  <si>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</si>
  <si>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</si>
  <si>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</si>
  <si>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</si>
  <si>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</si>
  <si>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</si>
  <si>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</si>
  <si>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</si>
  <si>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</si>
  <si>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</si>
  <si>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</si>
  <si>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</si>
  <si>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</si>
  <si>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</si>
  <si>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</si>
  <si>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</si>
  <si>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</si>
  <si>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</si>
  <si>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</si>
  <si>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</si>
  <si>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</si>
  <si>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</si>
  <si>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</si>
  <si>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</si>
  <si>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</si>
  <si>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</si>
  <si>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</si>
  <si>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</si>
  <si>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</si>
  <si>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</si>
  <si>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</si>
  <si>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</si>
  <si>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</si>
  <si>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</si>
  <si>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</si>
  <si>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</si>
  <si>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</si>
  <si>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</si>
  <si>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</si>
  <si>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</si>
  <si>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</si>
  <si>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</si>
  <si>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</si>
  <si>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</si>
  <si>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</si>
  <si>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</si>
  <si>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</si>
  <si>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</si>
  <si>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</si>
  <si>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</si>
  <si>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</si>
  <si>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</si>
  <si>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</si>
  <si>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</si>
  <si>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</si>
  <si>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</si>
  <si>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</si>
  <si>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</si>
  <si>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</si>
  <si>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</si>
  <si>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</si>
  <si>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</si>
  <si>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</si>
  <si>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</si>
  <si>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</si>
  <si>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</si>
  <si>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</si>
  <si>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</si>
  <si>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</si>
  <si>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</si>
  <si>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</si>
  <si>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</si>
  <si>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</si>
  <si>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</si>
  <si>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</si>
  <si>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</si>
  <si>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</si>
  <si>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</si>
  <si>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</si>
  <si>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</si>
  <si>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</si>
  <si>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</si>
  <si>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</si>
  <si>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</si>
  <si>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</si>
  <si>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</si>
  <si>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</si>
  <si>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</si>
  <si>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</si>
  <si>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</si>
  <si>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</si>
  <si>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</si>
  <si>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</si>
  <si>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</si>
  <si>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</si>
  <si>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</si>
  <si>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</si>
  <si>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</si>
  <si>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</si>
  <si>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</si>
  <si>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</si>
  <si>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</si>
  <si>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</si>
  <si>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</si>
  <si>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</si>
  <si>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</si>
  <si>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</si>
  <si>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</si>
  <si>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</si>
  <si>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</si>
  <si>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</si>
  <si>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</si>
  <si>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</si>
  <si>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</si>
  <si>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</si>
  <si>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</si>
  <si>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</si>
  <si>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</si>
  <si>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</si>
  <si>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</si>
  <si>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</si>
  <si>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</si>
  <si>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</si>
  <si>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</si>
  <si>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</si>
  <si>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</si>
  <si>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</si>
  <si>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</si>
  <si>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</si>
  <si>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</si>
  <si>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</si>
  <si>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</si>
  <si>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</si>
  <si>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</si>
  <si>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</si>
  <si>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</si>
  <si>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</si>
  <si>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</si>
  <si>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</si>
  <si>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</si>
  <si>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</si>
  <si>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</si>
  <si>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</si>
  <si>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</si>
  <si>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</si>
  <si>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</si>
  <si>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</si>
  <si>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</si>
  <si>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</si>
  <si>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</si>
  <si>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</si>
  <si>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</si>
  <si>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</si>
  <si>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</si>
  <si>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</si>
  <si>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</si>
  <si>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</si>
  <si>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</si>
  <si>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</si>
  <si>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</si>
  <si>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</si>
  <si>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</si>
  <si>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</si>
  <si>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</si>
  <si>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</si>
  <si>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</si>
  <si>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</si>
  <si>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</si>
  <si>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</si>
  <si>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</si>
  <si>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</si>
  <si>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</si>
  <si>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</si>
  <si>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</si>
  <si>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</si>
  <si>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</si>
  <si>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</si>
  <si>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</si>
  <si>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</si>
  <si>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</si>
  <si>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</si>
  <si>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</si>
  <si>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</si>
  <si>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</si>
  <si>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</si>
  <si>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</si>
  <si>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</si>
  <si>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</si>
  <si>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</si>
  <si>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</si>
  <si>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</si>
  <si>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</si>
  <si>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</si>
  <si>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</si>
  <si>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</si>
  <si>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</si>
  <si>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</si>
  <si>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</si>
  <si>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</si>
  <si>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</si>
  <si>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</si>
  <si>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</si>
  <si>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</si>
  <si>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</si>
  <si>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</si>
  <si>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</si>
  <si>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</si>
  <si>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</si>
  <si>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</si>
  <si>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</si>
  <si>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</si>
  <si>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</si>
  <si>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</si>
  <si>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</si>
  <si>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</si>
  <si>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</si>
  <si>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</si>
  <si>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</si>
  <si>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</si>
  <si>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</si>
  <si>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</si>
  <si>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</si>
  <si>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</si>
  <si>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</si>
  <si>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</si>
  <si>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</si>
  <si>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</si>
  <si>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</si>
  <si>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</si>
  <si>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</si>
  <si>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</si>
  <si>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</si>
  <si>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</si>
  <si>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</si>
  <si>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</si>
  <si>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</si>
  <si>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</si>
  <si>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</si>
  <si>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</si>
  <si>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</si>
  <si>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</si>
  <si>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</si>
  <si>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</si>
  <si>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</si>
  <si>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</si>
  <si>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</si>
  <si>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</si>
  <si>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</si>
  <si>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</si>
  <si>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</si>
  <si>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</si>
  <si>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</si>
  <si>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</si>
  <si>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</si>
  <si>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</si>
  <si>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</si>
  <si>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</si>
  <si>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</si>
  <si>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</si>
  <si>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</si>
  <si>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</si>
  <si>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</si>
  <si>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</si>
  <si>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</si>
  <si>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</si>
  <si>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</si>
  <si>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</si>
  <si>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</si>
  <si>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</si>
  <si>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</si>
  <si>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</si>
  <si>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</si>
  <si>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</si>
  <si>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</si>
  <si>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</si>
  <si>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</si>
  <si>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</si>
  <si>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</si>
  <si>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</si>
  <si>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</si>
  <si>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</si>
  <si>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</si>
  <si>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</si>
  <si>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</si>
  <si>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</si>
  <si>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</si>
  <si>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</si>
  <si>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</si>
  <si>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</si>
  <si>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</si>
  <si>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</si>
  <si>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</si>
  <si>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</si>
  <si>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</si>
  <si>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</si>
  <si>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</si>
  <si>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</si>
  <si>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</si>
  <si>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</si>
  <si>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</si>
  <si>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</si>
  <si>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</si>
  <si>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</si>
  <si>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</si>
  <si>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</si>
  <si>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</si>
  <si>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</si>
  <si>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</si>
  <si>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</si>
  <si>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</si>
  <si>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</si>
  <si>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</si>
  <si>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</si>
  <si>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</si>
  <si>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</si>
  <si>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</si>
  <si>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</si>
  <si>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</si>
  <si>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</si>
  <si>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</si>
  <si>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</si>
  <si>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</si>
  <si>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</si>
  <si>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</si>
  <si>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</si>
  <si>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</si>
  <si>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</si>
  <si>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</si>
  <si>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</si>
  <si>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</si>
  <si>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</si>
  <si>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</si>
  <si>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</si>
  <si>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</si>
  <si>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</si>
  <si>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</si>
  <si>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</si>
  <si>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</si>
  <si>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</si>
  <si>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</si>
  <si>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</si>
  <si>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</si>
  <si>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</si>
  <si>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</si>
  <si>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</si>
  <si>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</si>
  <si>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</si>
  <si>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</si>
  <si>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</si>
  <si>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</si>
  <si>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</si>
  <si>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</si>
  <si>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</si>
  <si>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</si>
  <si>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</si>
  <si>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</si>
  <si>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</si>
  <si>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</si>
  <si>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</si>
  <si>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</si>
  <si>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</si>
  <si>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</si>
  <si>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</si>
  <si>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</si>
  <si>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</si>
  <si>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</si>
  <si>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</si>
  <si>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</si>
  <si>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</si>
  <si>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</si>
  <si>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</si>
  <si>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</si>
  <si>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</si>
  <si>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</si>
  <si>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</si>
  <si>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</si>
  <si>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</si>
  <si>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</si>
  <si>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</si>
  <si>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</si>
  <si>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</si>
  <si>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</si>
  <si>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</si>
  <si>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</si>
  <si>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</si>
  <si>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</si>
  <si>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</si>
  <si>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</si>
  <si>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</si>
  <si>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</si>
  <si>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</si>
  <si>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</si>
  <si>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</si>
  <si>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</si>
  <si>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</si>
  <si>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</si>
  <si>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</si>
  <si>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</si>
  <si>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</si>
  <si>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</si>
  <si>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</si>
  <si>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</si>
  <si>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</si>
  <si>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</si>
  <si>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</si>
  <si>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</si>
  <si>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</si>
  <si>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</si>
  <si>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</si>
  <si>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</si>
  <si>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</si>
  <si>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</si>
  <si>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</si>
  <si>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</si>
  <si>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</si>
  <si>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</si>
  <si>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</si>
  <si>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</si>
  <si>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</si>
  <si>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</si>
  <si>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</si>
  <si>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</si>
  <si>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</si>
  <si>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</si>
  <si>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</si>
  <si>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</si>
  <si>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</si>
  <si>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</si>
  <si>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</si>
  <si>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</si>
  <si>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</si>
  <si>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</si>
  <si>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</si>
  <si>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</si>
  <si>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</si>
  <si>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</si>
  <si>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</si>
  <si>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</si>
  <si>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</si>
  <si>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</si>
  <si>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</si>
  <si>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</si>
  <si>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</si>
  <si>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</si>
  <si>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</si>
  <si>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</si>
  <si>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</si>
  <si>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</si>
  <si>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</si>
  <si>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</si>
  <si>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</si>
  <si>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</si>
  <si>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</si>
  <si>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</si>
  <si>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</si>
  <si>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</si>
  <si>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</si>
  <si>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</si>
  <si>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</si>
  <si>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</si>
  <si>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</si>
  <si>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</si>
  <si>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</si>
  <si>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</si>
  <si>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</si>
  <si>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</si>
  <si>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</si>
  <si>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</si>
  <si>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</si>
  <si>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</si>
  <si>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</si>
  <si>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</si>
  <si>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</si>
  <si>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</si>
  <si>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</si>
  <si>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</si>
  <si>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</si>
  <si>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</si>
  <si>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</si>
  <si>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</si>
  <si>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</si>
  <si>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</si>
  <si>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</si>
  <si>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</si>
  <si>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</si>
  <si>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</si>
  <si>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</si>
  <si>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</si>
  <si>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</si>
  <si>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</si>
  <si>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</si>
  <si>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</si>
  <si>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</si>
  <si>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</si>
  <si>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</si>
  <si>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</si>
  <si>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</si>
  <si>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</si>
  <si>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</si>
  <si>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</si>
  <si>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</si>
  <si>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</si>
  <si>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</si>
  <si>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</si>
  <si>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</si>
  <si>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</si>
  <si>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</si>
  <si>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</si>
  <si>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</si>
  <si>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</si>
  <si>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</si>
  <si>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</si>
  <si>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</si>
  <si>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</si>
  <si>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</si>
  <si>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</si>
  <si>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</si>
  <si>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</si>
  <si>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</si>
  <si>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</si>
  <si>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</si>
  <si>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</si>
  <si>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</si>
  <si>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</si>
  <si>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</si>
  <si>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</si>
  <si>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</si>
  <si>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</si>
  <si>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</si>
  <si>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</si>
  <si>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</si>
  <si>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</si>
  <si>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</si>
  <si>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</si>
  <si>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</si>
  <si>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</si>
  <si>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</si>
  <si>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</si>
  <si>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</si>
  <si>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</si>
  <si>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</si>
  <si>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</si>
  <si>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</si>
  <si>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</si>
  <si>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</si>
  <si>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</si>
  <si>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</si>
  <si>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</si>
  <si>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</si>
  <si>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</si>
  <si>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</si>
  <si>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</si>
  <si>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</si>
  <si>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</si>
  <si>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</si>
  <si>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</si>
  <si>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</si>
  <si>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</si>
  <si>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</si>
  <si>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</si>
  <si>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</si>
  <si>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</si>
  <si>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</si>
  <si>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</si>
  <si>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</si>
  <si>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</si>
  <si>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</si>
  <si>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</si>
  <si>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</si>
  <si>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</si>
  <si>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</si>
  <si>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</si>
  <si>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</si>
  <si>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</si>
  <si>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</si>
  <si>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</si>
  <si>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</si>
  <si>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</si>
  <si>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</si>
  <si>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</si>
  <si>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</si>
  <si>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</si>
  <si>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</si>
  <si>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</si>
  <si>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</si>
  <si>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</si>
  <si>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</si>
  <si>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</si>
  <si>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</si>
  <si>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</si>
  <si>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</si>
  <si>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</si>
  <si>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</si>
  <si>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</si>
  <si>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</si>
  <si>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</si>
  <si>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</si>
  <si>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</si>
  <si>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</si>
  <si>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</si>
  <si>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</si>
  <si>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</si>
  <si>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</si>
  <si>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</si>
  <si>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</si>
  <si>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</si>
  <si>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</si>
  <si>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</si>
  <si>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</si>
  <si>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</si>
  <si>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</si>
  <si>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</si>
  <si>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</si>
  <si>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</si>
  <si>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</si>
  <si>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</si>
  <si>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</si>
  <si>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</si>
  <si>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</si>
  <si>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</si>
  <si>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</si>
  <si>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</si>
  <si>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</si>
  <si>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</si>
  <si>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</si>
  <si>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</si>
  <si>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</si>
  <si>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</si>
  <si>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</si>
  <si>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</si>
  <si>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</si>
  <si>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</si>
  <si>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</si>
  <si>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</si>
  <si>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</si>
  <si>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</si>
  <si>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</si>
  <si>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</si>
  <si>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</si>
  <si>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</si>
  <si>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</si>
  <si>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</si>
  <si>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</si>
  <si>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</si>
  <si>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</si>
  <si>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</si>
  <si>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</si>
  <si>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</si>
  <si>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</si>
  <si>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</si>
  <si>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</si>
  <si>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</si>
  <si>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</si>
  <si>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</si>
  <si>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</si>
  <si>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</si>
  <si>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</si>
  <si>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</si>
  <si>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</si>
  <si>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</si>
  <si>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</si>
  <si>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</si>
  <si>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</si>
  <si>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</si>
  <si>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</si>
  <si>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</si>
  <si>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</si>
  <si>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</si>
  <si>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</si>
  <si>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</si>
  <si>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</si>
  <si>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</si>
  <si>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</si>
  <si>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</si>
  <si>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</si>
  <si>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</si>
  <si>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</si>
  <si>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</si>
  <si>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</si>
  <si>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</si>
  <si>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</si>
  <si>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</si>
  <si>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</si>
  <si>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</si>
  <si>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</si>
  <si>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</si>
  <si>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</si>
  <si>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</si>
  <si>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</si>
  <si>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</si>
  <si>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</si>
  <si>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</si>
  <si>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</si>
  <si>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</si>
  <si>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</si>
  <si>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</si>
  <si>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</si>
  <si>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</si>
  <si>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</si>
  <si>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</si>
  <si>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</si>
  <si>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</si>
  <si>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</si>
  <si>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</si>
  <si>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</si>
  <si>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</si>
  <si>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</si>
  <si>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</si>
  <si>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</si>
  <si>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</si>
  <si>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</si>
  <si>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</si>
  <si>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</si>
  <si>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</si>
  <si>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</si>
  <si>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</si>
  <si>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</si>
  <si>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</si>
  <si>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</si>
  <si>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</si>
  <si>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</si>
  <si>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</si>
  <si>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</si>
  <si>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</si>
  <si>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</si>
  <si>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</si>
  <si>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</si>
  <si>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</si>
  <si>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</si>
  <si>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</si>
  <si>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</si>
  <si>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</si>
  <si>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</si>
  <si>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</si>
  <si>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</si>
  <si>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</si>
  <si>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</si>
  <si>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</si>
  <si>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</si>
  <si>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</si>
  <si>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</si>
  <si>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</si>
  <si>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</si>
  <si>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</si>
  <si>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</si>
  <si>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</si>
  <si>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</si>
  <si>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</si>
  <si>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</si>
  <si>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</si>
  <si>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</si>
  <si>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</si>
  <si>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</si>
  <si>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</si>
  <si>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</si>
  <si>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</si>
  <si>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</si>
  <si>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</si>
  <si>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</si>
  <si>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</si>
  <si>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</si>
  <si>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</si>
  <si>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</si>
  <si>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</si>
  <si>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</si>
  <si>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</si>
  <si>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</si>
  <si>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</si>
  <si>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</si>
  <si>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</si>
  <si>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</si>
  <si>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</si>
  <si>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</si>
  <si>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</si>
  <si>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</si>
  <si>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</si>
  <si>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</si>
  <si>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</si>
  <si>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</si>
  <si>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</si>
  <si>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</si>
  <si>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</si>
  <si>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</si>
  <si>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</si>
  <si>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</si>
  <si>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</si>
  <si>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</si>
  <si>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</si>
  <si>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</si>
  <si>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</si>
  <si>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</si>
  <si>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</si>
  <si>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</si>
  <si>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</si>
  <si>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</si>
  <si>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</si>
  <si>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</si>
  <si>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</si>
  <si>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</si>
  <si>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</si>
  <si>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</si>
  <si>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</si>
  <si>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</si>
  <si>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</si>
  <si>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</si>
  <si>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</si>
  <si>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</si>
  <si>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</si>
  <si>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</si>
  <si>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</si>
  <si>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</si>
  <si>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</si>
  <si>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</si>
  <si>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</si>
  <si>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</si>
  <si>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</si>
  <si>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</si>
  <si>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</si>
  <si>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</si>
  <si>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</si>
  <si>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</si>
  <si>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</si>
  <si>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</si>
  <si>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</si>
  <si>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</si>
  <si>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</si>
  <si>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</si>
  <si>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</si>
  <si>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</si>
  <si>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</si>
  <si>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</si>
  <si>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</si>
  <si>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</si>
  <si>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</si>
  <si>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</si>
  <si>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</si>
  <si>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</si>
  <si>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</si>
  <si>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</si>
  <si>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</si>
  <si>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</si>
  <si>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</si>
  <si>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</si>
  <si>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</si>
  <si>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</si>
  <si>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</si>
  <si>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</si>
  <si>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</si>
  <si>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</si>
  <si>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</si>
  <si>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</si>
  <si>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</si>
  <si>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</si>
  <si>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</si>
  <si>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</si>
  <si>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</si>
  <si>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</si>
  <si>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</si>
  <si>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</si>
  <si>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</si>
  <si>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</si>
  <si>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</si>
  <si>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</si>
  <si>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</si>
  <si>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</si>
  <si>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</si>
  <si>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</si>
  <si>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</si>
  <si>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</si>
  <si>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</si>
  <si>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</si>
  <si>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</si>
  <si>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</si>
  <si>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</si>
  <si>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</si>
  <si>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</si>
  <si>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</si>
  <si>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</si>
  <si>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</si>
  <si>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</si>
  <si>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</si>
  <si>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</si>
  <si>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</si>
  <si>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</si>
  <si>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</si>
  <si>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</si>
  <si>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</si>
  <si>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</si>
  <si>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</si>
  <si>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</si>
  <si>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</si>
  <si>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</si>
  <si>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</si>
  <si>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</si>
  <si>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</si>
  <si>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</si>
  <si>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</si>
  <si>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</si>
  <si>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</si>
  <si>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</si>
  <si>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</si>
  <si>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</si>
  <si>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</si>
  <si>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</si>
  <si>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</si>
  <si>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</si>
  <si>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</si>
  <si>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</si>
  <si>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</si>
  <si>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</si>
  <si>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</si>
  <si>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</si>
  <si>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</si>
  <si>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</si>
  <si>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</si>
  <si>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</si>
  <si>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</si>
  <si>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</si>
  <si>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</si>
  <si>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</si>
  <si>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</si>
  <si>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</si>
  <si>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</si>
  <si>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</si>
  <si>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</si>
  <si>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</si>
  <si>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</si>
  <si>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</si>
  <si>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</si>
  <si>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</si>
  <si>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</si>
  <si>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</si>
  <si>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</si>
  <si>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</si>
  <si>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</si>
  <si>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</si>
  <si>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</si>
  <si>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</si>
  <si>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</si>
  <si>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</si>
  <si>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</si>
  <si>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</si>
  <si>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</si>
  <si>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</si>
  <si>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</si>
  <si>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</si>
  <si>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</si>
  <si>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</si>
  <si>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</si>
  <si>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</si>
  <si>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</si>
  <si>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</si>
  <si>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</si>
  <si>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</si>
  <si>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</si>
  <si>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</si>
  <si>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</si>
  <si>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</si>
  <si>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</si>
  <si>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</si>
  <si>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</si>
  <si>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</si>
  <si>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</si>
  <si>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</si>
  <si>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</si>
  <si>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</si>
  <si>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</si>
  <si>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</si>
  <si>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</si>
  <si>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</si>
  <si>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</si>
  <si>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</si>
  <si>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</si>
  <si>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</si>
  <si>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</si>
  <si>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</si>
  <si>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</si>
  <si>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</si>
  <si>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</si>
  <si>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</si>
  <si>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</si>
  <si>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</si>
  <si>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</si>
  <si>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</si>
  <si>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</si>
  <si>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</si>
  <si>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</si>
  <si>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</si>
  <si>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</si>
  <si>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</si>
  <si>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</si>
  <si>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</si>
  <si>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</si>
  <si>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</si>
  <si>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</si>
  <si>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</si>
  <si>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</si>
  <si>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</si>
  <si>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</si>
  <si>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</si>
  <si>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</si>
  <si>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</si>
  <si>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</si>
  <si>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</si>
  <si>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</si>
  <si>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</si>
  <si>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</si>
  <si>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</si>
  <si>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</si>
  <si>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</si>
  <si>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</si>
  <si>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</si>
  <si>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</si>
  <si>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</si>
  <si>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</si>
  <si>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</si>
  <si>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</si>
  <si>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</si>
  <si>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</si>
  <si>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</si>
  <si>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</si>
  <si>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</si>
  <si>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</si>
  <si>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</si>
  <si>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</si>
  <si>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</si>
  <si>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</si>
  <si>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</si>
  <si>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</si>
  <si>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</si>
  <si>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</si>
  <si>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</si>
  <si>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</si>
  <si>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</si>
  <si>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</si>
  <si>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</si>
  <si>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</si>
  <si>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</si>
  <si>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</si>
  <si>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</si>
  <si>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</si>
  <si>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</si>
  <si>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</si>
  <si>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</si>
  <si>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</si>
  <si>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</si>
  <si>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</si>
  <si>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</si>
  <si>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</si>
  <si>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</si>
  <si>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</si>
  <si>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</si>
  <si>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</si>
  <si>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</si>
  <si>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</si>
  <si>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</si>
  <si>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</si>
  <si>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</si>
  <si>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</si>
  <si>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</si>
  <si>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</si>
  <si>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</si>
  <si>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</si>
  <si>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</si>
  <si>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</si>
  <si>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</si>
  <si>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</si>
  <si>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</si>
  <si>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</si>
  <si>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</si>
  <si>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</si>
  <si>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</si>
  <si>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</si>
  <si>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</si>
  <si>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</si>
  <si>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</si>
  <si>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</si>
  <si>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</si>
  <si>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</si>
  <si>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</si>
  <si>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</si>
  <si>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</si>
  <si>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</si>
  <si>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</si>
  <si>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</si>
  <si>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</si>
  <si>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</si>
  <si>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</si>
  <si>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</si>
  <si>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</si>
  <si>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</si>
  <si>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</si>
  <si>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</si>
  <si>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</si>
  <si>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</si>
  <si>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</si>
  <si>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</si>
  <si>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</si>
  <si>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</si>
  <si>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</si>
  <si>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</si>
  <si>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</si>
  <si>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</si>
  <si>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</si>
  <si>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</si>
  <si>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</si>
  <si>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</si>
  <si>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</si>
  <si>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</si>
  <si>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</si>
  <si>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</si>
  <si>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</si>
  <si>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</si>
  <si>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</si>
  <si>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</si>
  <si>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</si>
  <si>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</si>
  <si>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</si>
  <si>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</si>
  <si>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</si>
  <si>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</si>
  <si>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</si>
  <si>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</si>
  <si>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</si>
  <si>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</si>
  <si>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</si>
  <si>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</si>
  <si>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</si>
  <si>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</si>
  <si>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</si>
  <si>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</si>
  <si>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</si>
  <si>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</si>
  <si>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</si>
  <si>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</si>
  <si>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</si>
  <si>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</si>
  <si>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</si>
  <si>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</si>
  <si>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</si>
  <si>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</si>
  <si>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</si>
  <si>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</si>
  <si>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</si>
  <si>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</si>
  <si>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</si>
  <si>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</si>
  <si>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</si>
  <si>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</si>
  <si>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</si>
  <si>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</si>
  <si>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</si>
  <si>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</si>
  <si>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</si>
  <si>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</si>
  <si>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</si>
  <si>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</si>
  <si>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</si>
  <si>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</si>
  <si>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</si>
  <si>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</si>
  <si>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</si>
  <si>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</si>
  <si>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</si>
  <si>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</si>
  <si>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</si>
  <si>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</si>
  <si>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</si>
  <si>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</si>
  <si>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</si>
  <si>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</si>
  <si>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</si>
  <si>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</si>
  <si>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</si>
  <si>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</si>
  <si>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</si>
  <si>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</si>
  <si>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</si>
  <si>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</si>
  <si>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</si>
  <si>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</si>
  <si>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</si>
  <si>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</si>
  <si>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</si>
  <si>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</si>
  <si>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</si>
  <si>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</si>
  <si>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</si>
  <si>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</si>
  <si>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</si>
  <si>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</si>
  <si>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</si>
  <si>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</si>
  <si>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</si>
  <si>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</si>
  <si>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</si>
  <si>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</si>
  <si>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</si>
  <si>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</si>
  <si>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</si>
  <si>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</si>
  <si>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</si>
  <si>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</si>
  <si>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</si>
  <si>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</si>
  <si>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</si>
  <si>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</si>
  <si>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</si>
  <si>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</si>
  <si>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</si>
  <si>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</si>
  <si>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</si>
  <si>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</si>
  <si>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</si>
  <si>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</si>
  <si>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</si>
  <si>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</si>
  <si>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</si>
  <si>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</si>
  <si>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</si>
  <si>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</si>
  <si>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</si>
  <si>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</si>
  <si>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</si>
  <si>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</si>
  <si>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</si>
  <si>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</si>
  <si>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</si>
  <si>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</si>
  <si>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</si>
  <si>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</si>
  <si>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</si>
  <si>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</si>
  <si>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</si>
  <si>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</si>
  <si>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</si>
  <si>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</si>
  <si>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</si>
  <si>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</si>
  <si>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</si>
  <si>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</si>
  <si>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</si>
  <si>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</si>
  <si>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</si>
  <si>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</si>
  <si>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</si>
  <si>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</si>
  <si>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</si>
  <si>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</si>
  <si>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</si>
  <si>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</si>
  <si>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</si>
  <si>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</si>
  <si>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</si>
  <si>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</si>
  <si>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</si>
  <si>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</si>
  <si>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</si>
  <si>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</si>
  <si>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</si>
  <si>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</si>
  <si>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</si>
  <si>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</si>
  <si>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</si>
  <si>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</si>
  <si>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</si>
  <si>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</si>
  <si>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</si>
  <si>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</si>
  <si>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</si>
  <si>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</si>
  <si>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</si>
  <si>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</si>
  <si>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</si>
  <si>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</si>
  <si>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</si>
  <si>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</si>
  <si>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</si>
  <si>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</si>
  <si>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</si>
  <si>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</si>
  <si>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</si>
  <si>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</si>
  <si>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</si>
  <si>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</si>
  <si>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</si>
  <si>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</si>
  <si>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</si>
  <si>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</si>
  <si>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</si>
  <si>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</si>
  <si>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</si>
  <si>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</si>
  <si>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</si>
  <si>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</si>
  <si>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</si>
  <si>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</si>
  <si>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</si>
  <si>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</si>
  <si>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</si>
  <si>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</si>
  <si>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</si>
  <si>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</si>
  <si>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</si>
  <si>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</si>
  <si>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</si>
  <si>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</si>
  <si>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</si>
  <si>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</si>
  <si>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</si>
  <si>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</si>
  <si>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</si>
  <si>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</si>
  <si>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</si>
  <si>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</si>
  <si>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</si>
  <si>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</si>
  <si>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</si>
  <si>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</si>
  <si>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</si>
  <si>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</si>
  <si>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</si>
  <si>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</si>
  <si>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</si>
  <si>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</si>
  <si>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</si>
  <si>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</si>
  <si>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</si>
  <si>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</si>
  <si>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</si>
  <si>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</si>
  <si>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</si>
  <si>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</si>
  <si>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</si>
  <si>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</si>
  <si>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</si>
  <si>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</si>
  <si>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</si>
  <si>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</si>
  <si>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</si>
  <si>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</si>
  <si>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</si>
  <si>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</si>
  <si>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</si>
  <si>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</si>
  <si>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</si>
  <si>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</si>
  <si>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</si>
  <si>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</si>
  <si>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</si>
  <si>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</si>
  <si>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</si>
  <si>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</si>
  <si>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</si>
  <si>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</si>
  <si>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</si>
  <si>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</si>
  <si>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</si>
  <si>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</si>
  <si>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</si>
  <si>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</si>
  <si>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</si>
  <si>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</si>
  <si>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</si>
  <si>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</si>
  <si>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</si>
  <si>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</si>
  <si>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</si>
  <si>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</si>
  <si>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</si>
  <si>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</si>
  <si>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</si>
  <si>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</si>
  <si>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</si>
  <si>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</si>
  <si>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</si>
  <si>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</si>
  <si>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</si>
  <si>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</si>
  <si>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</si>
  <si>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</si>
  <si>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</si>
  <si>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</si>
  <si>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</si>
  <si>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</si>
  <si>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</si>
  <si>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</si>
  <si>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</si>
  <si>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</si>
  <si>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</si>
  <si>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</si>
  <si>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</si>
  <si>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</si>
  <si>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</si>
  <si>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</si>
  <si>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</si>
  <si>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</si>
  <si>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</si>
  <si>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</si>
  <si>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</si>
  <si>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</si>
  <si>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</si>
  <si>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</si>
  <si>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</si>
  <si>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</si>
  <si>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</si>
  <si>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</si>
  <si>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</si>
  <si>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</si>
  <si>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</si>
  <si>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</si>
  <si>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</si>
  <si>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</si>
  <si>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</si>
  <si>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</si>
  <si>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</si>
  <si>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</si>
  <si>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</si>
  <si>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</si>
  <si>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</si>
  <si>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</si>
  <si>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</si>
  <si>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</si>
  <si>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</si>
  <si>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</si>
  <si>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</si>
  <si>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</si>
  <si>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</si>
  <si>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</si>
  <si>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</si>
  <si>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</si>
  <si>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</si>
  <si>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</si>
  <si>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</si>
  <si>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</si>
  <si>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</si>
  <si>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</si>
  <si>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</si>
  <si>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</si>
  <si>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</si>
  <si>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</si>
  <si>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</si>
  <si>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</si>
  <si>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</si>
  <si>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</si>
  <si>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</si>
  <si>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</si>
  <si>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</si>
  <si>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</si>
  <si>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</si>
  <si>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</si>
  <si>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</si>
  <si>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</si>
  <si>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</si>
  <si>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</si>
  <si>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</si>
  <si>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</si>
  <si>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</si>
  <si>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</si>
  <si>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</si>
  <si>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</si>
  <si>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</si>
  <si>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</si>
  <si>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</si>
  <si>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</si>
  <si>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</si>
  <si>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</si>
  <si>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</si>
  <si>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</si>
  <si>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</si>
  <si>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</si>
  <si>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</si>
  <si>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</si>
  <si>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</si>
  <si>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</si>
  <si>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</si>
  <si>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</si>
  <si>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</si>
  <si>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</si>
  <si>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</si>
  <si>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</si>
  <si>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</si>
  <si>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</si>
  <si>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</si>
  <si>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</si>
  <si>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</si>
  <si>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</si>
  <si>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</si>
  <si>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</si>
  <si>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</si>
  <si>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</si>
  <si>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</si>
  <si>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</si>
  <si>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</si>
  <si>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</si>
  <si>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</si>
  <si>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</si>
  <si>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</si>
  <si>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</si>
  <si>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</si>
  <si>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</si>
  <si>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</si>
  <si>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</si>
  <si>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</si>
  <si>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</si>
  <si>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</si>
  <si>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</si>
  <si>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</si>
  <si>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</si>
  <si>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</si>
  <si>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</si>
  <si>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</si>
  <si>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</si>
  <si>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</si>
  <si>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</si>
  <si>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</si>
  <si>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</si>
  <si>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</si>
  <si>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</si>
  <si>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</si>
  <si>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</si>
  <si>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</si>
  <si>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</si>
  <si>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</si>
  <si>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</si>
  <si>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</si>
  <si>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</si>
  <si>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</si>
  <si>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</si>
  <si>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</si>
  <si>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</si>
  <si>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</si>
  <si>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</si>
  <si>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</si>
  <si>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</si>
  <si>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</si>
  <si>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</si>
  <si>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</si>
  <si>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</si>
  <si>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</si>
  <si>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</si>
  <si>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</si>
  <si>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</si>
  <si>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</si>
  <si>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</si>
  <si>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</si>
  <si>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</si>
  <si>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</si>
  <si>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</si>
  <si>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</si>
  <si>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</si>
  <si>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</si>
  <si>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</si>
  <si>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</si>
  <si>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</si>
  <si>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</si>
  <si>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</si>
  <si>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</si>
  <si>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</si>
  <si>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</si>
  <si>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</si>
  <si>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</si>
  <si>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</si>
  <si>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</si>
  <si>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</si>
  <si>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</si>
  <si>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</si>
  <si>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</si>
  <si>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</si>
  <si>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</si>
  <si>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</si>
  <si>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</si>
  <si>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</si>
  <si>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</si>
  <si>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</si>
  <si>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</si>
  <si>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</si>
  <si>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</si>
  <si>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</si>
  <si>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</si>
  <si>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</si>
  <si>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</si>
  <si>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</si>
  <si>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</si>
  <si>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</si>
  <si>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</si>
  <si>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</si>
  <si>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</si>
  <si>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</si>
  <si>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</si>
  <si>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</si>
  <si>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</si>
  <si>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</si>
  <si>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</si>
  <si>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</si>
  <si>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</si>
  <si>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</si>
  <si>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</si>
  <si>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</si>
  <si>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</si>
  <si>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</si>
  <si>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</si>
  <si>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</si>
  <si>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</si>
  <si>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</si>
  <si>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</si>
  <si>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</si>
  <si>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</si>
  <si>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</si>
  <si>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</si>
  <si>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</si>
  <si>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</si>
  <si>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</si>
  <si>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</si>
  <si>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</si>
  <si>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</si>
  <si>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</si>
  <si>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</si>
  <si>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</si>
  <si>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</si>
  <si>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</si>
  <si>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</si>
  <si>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</si>
  <si>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</si>
  <si>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</si>
  <si>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</si>
  <si>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</si>
  <si>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</si>
  <si>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</si>
  <si>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</si>
  <si>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</si>
  <si>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</si>
  <si>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</si>
  <si>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</si>
  <si>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</si>
  <si>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</si>
  <si>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</si>
  <si>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</si>
  <si>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</si>
  <si>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</si>
  <si>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</si>
  <si>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</si>
  <si>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</si>
  <si>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</si>
  <si>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</si>
  <si>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</si>
  <si>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</si>
  <si>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</si>
  <si>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</si>
  <si>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</si>
  <si>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</si>
  <si>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</si>
  <si>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</si>
  <si>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</si>
  <si>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</si>
  <si>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</si>
  <si>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</si>
  <si>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</si>
  <si>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</si>
  <si>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</si>
  <si>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</si>
  <si>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</si>
  <si>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</si>
  <si>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</si>
  <si>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</si>
  <si>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</si>
  <si>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</si>
  <si>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</si>
  <si>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</si>
  <si>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</si>
  <si>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</si>
  <si>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</si>
  <si>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</si>
  <si>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</si>
  <si>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</si>
  <si>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</si>
  <si>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</si>
  <si>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</si>
  <si>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</si>
  <si>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</si>
  <si>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</si>
  <si>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</si>
  <si>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</si>
  <si>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</si>
  <si>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</si>
  <si>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</si>
  <si>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</si>
  <si>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</si>
  <si>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</si>
  <si>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</si>
  <si>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</si>
  <si>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</si>
  <si>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</si>
  <si>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</si>
  <si>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</si>
  <si>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</si>
  <si>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</si>
  <si>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</si>
  <si>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</si>
  <si>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</si>
  <si>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</si>
  <si>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</si>
  <si>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</si>
  <si>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</si>
  <si>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</si>
  <si>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</si>
  <si>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</si>
  <si>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</si>
  <si>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</si>
  <si>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</si>
  <si>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</si>
  <si>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</si>
  <si>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</si>
  <si>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</si>
  <si>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</si>
  <si>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</si>
  <si>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</si>
  <si>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</si>
  <si>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</si>
  <si>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</si>
  <si>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</si>
  <si>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</si>
  <si>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</si>
  <si>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</si>
  <si>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</si>
  <si>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</si>
  <si>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</si>
  <si>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</si>
  <si>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</si>
  <si>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</si>
  <si>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</si>
  <si>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</si>
  <si>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</si>
  <si>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</si>
  <si>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</si>
  <si>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</si>
  <si>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</si>
  <si>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</si>
  <si>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</si>
  <si>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</si>
  <si>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</si>
  <si>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</si>
  <si>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</si>
  <si>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</si>
  <si>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</si>
  <si>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</si>
  <si>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</si>
  <si>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</si>
  <si>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</si>
  <si>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</si>
  <si>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</si>
  <si>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</si>
  <si>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</si>
  <si>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</si>
  <si>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</si>
  <si>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</si>
  <si>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</si>
  <si>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</si>
  <si>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</si>
  <si>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</si>
  <si>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</si>
  <si>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</si>
  <si>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</si>
  <si>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</si>
  <si>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</si>
  <si>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</si>
  <si>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</si>
  <si>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</si>
  <si>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</si>
  <si>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</si>
  <si>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</si>
  <si>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</si>
  <si>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</si>
  <si>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</si>
  <si>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</si>
  <si>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</si>
  <si>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</si>
  <si>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</si>
  <si>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</si>
  <si>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</si>
  <si>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</si>
  <si>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</si>
  <si>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</si>
  <si>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</si>
  <si>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</si>
  <si>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</si>
  <si>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</si>
  <si>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</si>
  <si>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</si>
  <si>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</si>
  <si>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</si>
  <si>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</si>
  <si>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</si>
  <si>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</si>
  <si>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</si>
  <si>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</si>
  <si>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</si>
  <si>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</si>
  <si>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</si>
  <si>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</si>
  <si>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</si>
  <si>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</si>
  <si>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</si>
  <si>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</si>
  <si>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</si>
  <si>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</si>
  <si>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</si>
  <si>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</si>
  <si>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</si>
  <si>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</si>
  <si>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</si>
  <si>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</si>
  <si>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</si>
  <si>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</si>
  <si>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</si>
  <si>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</si>
  <si>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</si>
  <si>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</si>
  <si>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</si>
  <si>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</si>
  <si>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</si>
  <si>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</si>
  <si>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</si>
  <si>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</si>
  <si>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</si>
  <si>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</si>
  <si>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</si>
  <si>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</si>
  <si>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</si>
  <si>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</si>
  <si>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</si>
  <si>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</si>
  <si>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</si>
  <si>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</si>
  <si>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</si>
  <si>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</si>
  <si>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</si>
  <si>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</si>
  <si>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</si>
  <si>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</si>
  <si>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</si>
  <si>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</si>
  <si>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</si>
  <si>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</si>
  <si>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</si>
  <si>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</si>
  <si>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</si>
  <si>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</si>
  <si>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</si>
  <si>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</si>
  <si>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</si>
  <si>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</si>
  <si>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</si>
  <si>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</si>
  <si>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</si>
  <si>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</si>
  <si>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</si>
  <si>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</si>
  <si>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</si>
  <si>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</si>
  <si>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</si>
  <si>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</si>
  <si>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</si>
  <si>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</si>
  <si>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</si>
  <si>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</si>
  <si>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</si>
  <si>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</si>
  <si>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</si>
  <si>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</si>
  <si>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</si>
  <si>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</si>
  <si>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</si>
  <si>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</si>
  <si>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</si>
  <si>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</si>
  <si>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</si>
  <si>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</si>
  <si>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</si>
  <si>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</si>
  <si>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</si>
  <si>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</si>
  <si>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</si>
  <si>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</si>
  <si>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</si>
  <si>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</si>
  <si>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</si>
  <si>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</si>
  <si>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</si>
  <si>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</si>
  <si>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</si>
  <si>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</si>
  <si>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</si>
  <si>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</si>
  <si>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</si>
  <si>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</si>
  <si>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</si>
  <si>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t>I17</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</si>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</sst>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 numFmtId="176" formatCode="0.0E+00"/>
  </numFmts>
  <fonts count="90">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sz val="9"/>
      <color indexed="81"/>
      <name val="Tahoma"/>
      <family val="2"/>
    </font>
    <font>
      <b/>
      <sz val="11"/>
      <color theme="5" tint="-0.499984740745262"/>
      <name val="Calibri"/>
      <family val="2"/>
    </font>
  </fonts>
  <fills count="82">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s>
  <borders count="43">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
      <left style="thick">
        <color auto="1"/>
      </left>
      <right/>
      <top/>
      <bottom/>
      <diagonal/>
    </border>
    <border>
      <left style="thick">
        <color auto="1"/>
      </left>
      <right style="thick">
        <color auto="1"/>
      </right>
      <top/>
      <bottom/>
      <diagonal/>
    </border>
  </borders>
  <cellStyleXfs count="6">
    <xf numFmtId="0" fontId="0" fillId="0" borderId="0"/>
    <xf numFmtId="165" fontId="34" fillId="0" borderId="0" applyBorder="0" applyProtection="0"/>
    <xf numFmtId="0" fontId="9" fillId="0" borderId="0"/>
    <xf numFmtId="0" fontId="8" fillId="0" borderId="0"/>
    <xf numFmtId="0" fontId="75" fillId="0" borderId="0"/>
    <xf numFmtId="0" fontId="7" fillId="0" borderId="0"/>
  </cellStyleXfs>
  <cellXfs count="650">
    <xf numFmtId="0" fontId="0" fillId="0" borderId="0" xfId="0"/>
    <xf numFmtId="0" fontId="55"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10" fillId="2" borderId="0" xfId="0" applyFont="1" applyFill="1"/>
    <xf numFmtId="0" fontId="10"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10"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4" fillId="0" borderId="0" xfId="1" applyNumberFormat="1" applyBorder="1" applyAlignment="1" applyProtection="1">
      <alignment horizontal="center"/>
    </xf>
    <xf numFmtId="165" fontId="34" fillId="0" borderId="0" xfId="1" applyBorder="1" applyAlignment="1" applyProtection="1">
      <alignment horizontal="center"/>
    </xf>
    <xf numFmtId="1" fontId="34" fillId="0" borderId="0" xfId="1" applyNumberFormat="1" applyBorder="1" applyProtection="1"/>
    <xf numFmtId="165" fontId="34" fillId="0" borderId="1" xfId="1" applyBorder="1" applyAlignment="1" applyProtection="1">
      <alignment horizontal="center"/>
    </xf>
    <xf numFmtId="1" fontId="34" fillId="0" borderId="1" xfId="1" applyNumberFormat="1" applyBorder="1" applyProtection="1"/>
    <xf numFmtId="165" fontId="10"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10" fillId="5" borderId="0" xfId="0" applyNumberFormat="1" applyFont="1" applyFill="1" applyAlignment="1">
      <alignment horizontal="center"/>
    </xf>
    <xf numFmtId="0" fontId="0" fillId="7" borderId="2" xfId="0" applyFill="1" applyBorder="1" applyAlignment="1">
      <alignment horizontal="center"/>
    </xf>
    <xf numFmtId="0" fontId="13" fillId="0" borderId="0" xfId="0" applyFont="1" applyAlignment="1">
      <alignment horizontal="right"/>
    </xf>
    <xf numFmtId="2" fontId="0" fillId="0" borderId="0" xfId="0" applyNumberFormat="1" applyAlignment="1">
      <alignment horizontal="center"/>
    </xf>
    <xf numFmtId="0" fontId="0" fillId="8" borderId="0" xfId="0" applyFill="1"/>
    <xf numFmtId="165" fontId="34"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4" fillId="9" borderId="0" xfId="0" applyNumberFormat="1" applyFont="1" applyFill="1" applyAlignment="1">
      <alignment horizontal="center"/>
    </xf>
    <xf numFmtId="0" fontId="15" fillId="9" borderId="0" xfId="0" applyFont="1" applyFill="1" applyAlignment="1">
      <alignment horizontal="center"/>
    </xf>
    <xf numFmtId="0" fontId="13" fillId="0" borderId="0" xfId="0" applyFont="1" applyAlignment="1">
      <alignment horizontal="center"/>
    </xf>
    <xf numFmtId="0" fontId="0" fillId="10" borderId="0" xfId="0" applyFill="1" applyAlignment="1">
      <alignment horizontal="center"/>
    </xf>
    <xf numFmtId="0" fontId="0" fillId="10" borderId="0" xfId="0" applyFill="1"/>
    <xf numFmtId="165" fontId="14" fillId="10" borderId="0" xfId="0" applyNumberFormat="1" applyFont="1" applyFill="1" applyAlignment="1">
      <alignment horizontal="center"/>
    </xf>
    <xf numFmtId="0" fontId="15"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10" fillId="12" borderId="0" xfId="1" applyNumberFormat="1" applyFont="1" applyFill="1" applyBorder="1" applyAlignment="1" applyProtection="1">
      <alignment horizontal="center"/>
    </xf>
    <xf numFmtId="165" fontId="10" fillId="12" borderId="0" xfId="1" applyFont="1" applyFill="1" applyBorder="1" applyAlignment="1" applyProtection="1">
      <alignment horizontal="center"/>
    </xf>
    <xf numFmtId="165" fontId="10"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10"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10"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6" fillId="12" borderId="0" xfId="0" applyFont="1" applyFill="1" applyAlignment="1">
      <alignment horizontal="center"/>
    </xf>
    <xf numFmtId="168" fontId="0" fillId="12" borderId="11" xfId="0" applyNumberFormat="1" applyFill="1" applyBorder="1" applyAlignment="1">
      <alignment horizontal="center"/>
    </xf>
    <xf numFmtId="1" fontId="16"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6"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6"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7" fillId="0" borderId="2" xfId="0" applyFont="1" applyBorder="1"/>
    <xf numFmtId="0" fontId="18" fillId="0" borderId="0" xfId="0" applyFont="1"/>
    <xf numFmtId="0" fontId="17" fillId="13" borderId="2" xfId="0" applyFont="1" applyFill="1" applyBorder="1"/>
    <xf numFmtId="3" fontId="0" fillId="0" borderId="0" xfId="0" applyNumberFormat="1"/>
    <xf numFmtId="0" fontId="19" fillId="13" borderId="2" xfId="0" applyFont="1" applyFill="1" applyBorder="1"/>
    <xf numFmtId="0" fontId="0" fillId="12" borderId="14" xfId="0" applyFill="1" applyBorder="1" applyAlignment="1">
      <alignment horizontal="center"/>
    </xf>
    <xf numFmtId="1" fontId="16"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10" fillId="12" borderId="0" xfId="0" applyFont="1" applyFill="1" applyAlignment="1">
      <alignment horizontal="center"/>
    </xf>
    <xf numFmtId="0" fontId="20" fillId="12" borderId="0" xfId="0" applyFont="1" applyFill="1" applyAlignment="1">
      <alignment horizontal="center"/>
    </xf>
    <xf numFmtId="0" fontId="16" fillId="12" borderId="15" xfId="0" applyFont="1" applyFill="1" applyBorder="1" applyAlignment="1">
      <alignment horizontal="center"/>
    </xf>
    <xf numFmtId="0" fontId="10" fillId="0" borderId="0" xfId="0" applyFont="1"/>
    <xf numFmtId="0" fontId="0" fillId="14" borderId="0" xfId="0" applyFill="1" applyAlignment="1">
      <alignment horizontal="center"/>
    </xf>
    <xf numFmtId="0" fontId="0" fillId="0" borderId="0" xfId="0" applyAlignment="1">
      <alignment horizontal="left"/>
    </xf>
    <xf numFmtId="0" fontId="16" fillId="0" borderId="0" xfId="0" applyFont="1" applyAlignment="1">
      <alignment horizontal="center"/>
    </xf>
    <xf numFmtId="0" fontId="0" fillId="0" borderId="17" xfId="0" applyBorder="1" applyAlignment="1">
      <alignment horizontal="center"/>
    </xf>
    <xf numFmtId="0" fontId="16" fillId="2" borderId="0" xfId="0" applyFont="1" applyFill="1" applyAlignment="1">
      <alignment horizontal="center"/>
    </xf>
    <xf numFmtId="1" fontId="0" fillId="0" borderId="0" xfId="0" applyNumberFormat="1" applyAlignment="1">
      <alignment horizontal="center"/>
    </xf>
    <xf numFmtId="0" fontId="10" fillId="15" borderId="3" xfId="0" applyFont="1" applyFill="1" applyBorder="1"/>
    <xf numFmtId="0" fontId="0" fillId="15" borderId="6" xfId="0" applyFill="1" applyBorder="1" applyAlignment="1">
      <alignment horizontal="left"/>
    </xf>
    <xf numFmtId="0" fontId="10" fillId="15" borderId="7" xfId="0" applyFont="1" applyFill="1" applyBorder="1"/>
    <xf numFmtId="0" fontId="0" fillId="15" borderId="9" xfId="0" applyFill="1" applyBorder="1" applyAlignment="1">
      <alignment horizontal="left"/>
    </xf>
    <xf numFmtId="0" fontId="10"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6"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6"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21" fillId="2" borderId="2" xfId="0" applyFont="1" applyFill="1" applyBorder="1" applyAlignment="1">
      <alignment horizontal="center"/>
    </xf>
    <xf numFmtId="0" fontId="22"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6" fillId="2" borderId="0" xfId="0" applyNumberFormat="1" applyFont="1" applyFill="1" applyAlignment="1">
      <alignment horizontal="center"/>
    </xf>
    <xf numFmtId="0" fontId="20"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7" fillId="0" borderId="2" xfId="0" applyFont="1" applyBorder="1" applyAlignment="1">
      <alignment horizontal="center"/>
    </xf>
    <xf numFmtId="0" fontId="19" fillId="0" borderId="2" xfId="0" applyFont="1" applyBorder="1" applyAlignment="1">
      <alignment horizontal="center"/>
    </xf>
    <xf numFmtId="0" fontId="23" fillId="0" borderId="2" xfId="0" applyFont="1" applyBorder="1" applyAlignment="1">
      <alignment horizontal="center"/>
    </xf>
    <xf numFmtId="0" fontId="19"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10" fillId="15" borderId="3" xfId="0" applyFont="1" applyFill="1" applyBorder="1" applyAlignment="1">
      <alignment horizontal="center"/>
    </xf>
    <xf numFmtId="0" fontId="0" fillId="15" borderId="6" xfId="0" applyFill="1" applyBorder="1" applyAlignment="1">
      <alignment horizontal="center"/>
    </xf>
    <xf numFmtId="0" fontId="24" fillId="0" borderId="0" xfId="0" applyFont="1" applyAlignment="1">
      <alignment vertical="center"/>
    </xf>
    <xf numFmtId="0" fontId="10" fillId="15" borderId="7" xfId="0" applyFont="1" applyFill="1" applyBorder="1" applyAlignment="1">
      <alignment horizontal="center"/>
    </xf>
    <xf numFmtId="0" fontId="0" fillId="15" borderId="9" xfId="0" applyFill="1" applyBorder="1" applyAlignment="1">
      <alignment horizontal="center"/>
    </xf>
    <xf numFmtId="0" fontId="10" fillId="15" borderId="14" xfId="0" applyFont="1" applyFill="1" applyBorder="1" applyAlignment="1">
      <alignment horizontal="center"/>
    </xf>
    <xf numFmtId="0" fontId="0" fillId="15" borderId="16" xfId="0" applyFill="1" applyBorder="1" applyAlignment="1">
      <alignment horizontal="center"/>
    </xf>
    <xf numFmtId="0" fontId="18" fillId="0" borderId="0" xfId="0" applyFont="1" applyAlignment="1">
      <alignment horizontal="right"/>
    </xf>
    <xf numFmtId="1" fontId="10" fillId="0" borderId="0" xfId="0" applyNumberFormat="1" applyFont="1" applyAlignment="1">
      <alignment horizontal="center"/>
    </xf>
    <xf numFmtId="1" fontId="10" fillId="12" borderId="0" xfId="0" applyNumberFormat="1" applyFont="1" applyFill="1" applyAlignment="1">
      <alignment horizontal="center"/>
    </xf>
    <xf numFmtId="169" fontId="0" fillId="0" borderId="0" xfId="0" applyNumberFormat="1" applyAlignment="1">
      <alignment horizontal="center"/>
    </xf>
    <xf numFmtId="0" fontId="10" fillId="0" borderId="0" xfId="0" applyFont="1" applyAlignment="1">
      <alignment horizontal="center"/>
    </xf>
    <xf numFmtId="0" fontId="10"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6" fillId="12" borderId="0" xfId="0" applyNumberFormat="1" applyFont="1" applyFill="1" applyAlignment="1">
      <alignment horizontal="center"/>
    </xf>
    <xf numFmtId="0" fontId="18" fillId="0" borderId="2" xfId="0" applyFont="1" applyBorder="1" applyAlignment="1">
      <alignment horizontal="center"/>
    </xf>
    <xf numFmtId="0" fontId="17" fillId="22" borderId="2" xfId="0" applyFont="1" applyFill="1" applyBorder="1"/>
    <xf numFmtId="0" fontId="19" fillId="22" borderId="2" xfId="0" applyFont="1" applyFill="1" applyBorder="1"/>
    <xf numFmtId="0" fontId="17" fillId="22" borderId="2" xfId="0" applyFont="1" applyFill="1" applyBorder="1" applyAlignment="1">
      <alignment horizontal="center"/>
    </xf>
    <xf numFmtId="0" fontId="19"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7"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5" fillId="2" borderId="0" xfId="2" applyFont="1" applyFill="1"/>
    <xf numFmtId="0" fontId="9" fillId="2" borderId="0" xfId="2" applyFill="1"/>
    <xf numFmtId="0" fontId="10" fillId="12" borderId="7" xfId="0" applyFont="1" applyFill="1" applyBorder="1" applyAlignment="1">
      <alignment horizontal="center"/>
    </xf>
    <xf numFmtId="1" fontId="10" fillId="20" borderId="0" xfId="0" applyNumberFormat="1" applyFont="1" applyFill="1" applyAlignment="1">
      <alignment horizontal="center"/>
    </xf>
    <xf numFmtId="0" fontId="25"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7" fillId="0" borderId="0" xfId="0" applyFont="1"/>
    <xf numFmtId="164" fontId="0" fillId="0" borderId="0" xfId="0" applyNumberFormat="1" applyAlignment="1">
      <alignment horizontal="right"/>
    </xf>
    <xf numFmtId="0" fontId="26" fillId="0" borderId="0" xfId="0" applyFont="1"/>
    <xf numFmtId="0" fontId="25" fillId="11" borderId="0" xfId="2" applyFont="1" applyFill="1"/>
    <xf numFmtId="0" fontId="10" fillId="23" borderId="2" xfId="0" applyFont="1" applyFill="1" applyBorder="1" applyAlignment="1">
      <alignment horizontal="center"/>
    </xf>
    <xf numFmtId="20" fontId="9" fillId="2" borderId="0" xfId="2" applyNumberFormat="1" applyFill="1" applyAlignment="1">
      <alignment vertical="center" wrapText="1"/>
    </xf>
    <xf numFmtId="0" fontId="9" fillId="2" borderId="0" xfId="2" applyFill="1" applyAlignment="1">
      <alignment vertical="center" wrapText="1"/>
    </xf>
    <xf numFmtId="0" fontId="9" fillId="4" borderId="0" xfId="2" applyFill="1" applyAlignment="1">
      <alignment vertical="center"/>
    </xf>
    <xf numFmtId="171" fontId="0" fillId="0" borderId="0" xfId="0" applyNumberFormat="1" applyAlignment="1">
      <alignment horizontal="center"/>
    </xf>
    <xf numFmtId="0" fontId="27" fillId="0" borderId="0" xfId="0" applyFont="1" applyAlignment="1">
      <alignment horizontal="center"/>
    </xf>
    <xf numFmtId="0" fontId="28" fillId="12" borderId="3" xfId="0" applyFont="1" applyFill="1" applyBorder="1" applyAlignment="1">
      <alignment horizontal="center"/>
    </xf>
    <xf numFmtId="1" fontId="28" fillId="20" borderId="0" xfId="0" applyNumberFormat="1" applyFont="1" applyFill="1" applyAlignment="1">
      <alignment horizontal="center"/>
    </xf>
    <xf numFmtId="164" fontId="27" fillId="0" borderId="0" xfId="0" applyNumberFormat="1" applyFont="1" applyAlignment="1">
      <alignment horizontal="center"/>
    </xf>
    <xf numFmtId="1" fontId="27" fillId="12" borderId="0" xfId="0" applyNumberFormat="1" applyFont="1" applyFill="1" applyAlignment="1">
      <alignment horizontal="center"/>
    </xf>
    <xf numFmtId="1" fontId="27" fillId="0" borderId="0" xfId="0" applyNumberFormat="1" applyFont="1" applyAlignment="1">
      <alignment horizontal="center"/>
    </xf>
    <xf numFmtId="1" fontId="27" fillId="12" borderId="9" xfId="0" applyNumberFormat="1" applyFont="1" applyFill="1" applyBorder="1" applyAlignment="1">
      <alignment horizontal="center"/>
    </xf>
    <xf numFmtId="0" fontId="29" fillId="11" borderId="0" xfId="2" applyFont="1" applyFill="1"/>
    <xf numFmtId="0" fontId="30" fillId="2" borderId="0" xfId="2" applyFont="1" applyFill="1"/>
    <xf numFmtId="20" fontId="30" fillId="2" borderId="0" xfId="2" applyNumberFormat="1" applyFont="1" applyFill="1" applyAlignment="1">
      <alignment vertical="center" wrapText="1"/>
    </xf>
    <xf numFmtId="0" fontId="0" fillId="24" borderId="0" xfId="0" applyFill="1" applyAlignment="1">
      <alignment horizontal="center"/>
    </xf>
    <xf numFmtId="1" fontId="10" fillId="24" borderId="0" xfId="0" applyNumberFormat="1" applyFont="1" applyFill="1" applyAlignment="1">
      <alignment horizontal="center"/>
    </xf>
    <xf numFmtId="0" fontId="10" fillId="12" borderId="3" xfId="0" applyFont="1" applyFill="1" applyBorder="1" applyAlignment="1">
      <alignment horizontal="left"/>
    </xf>
    <xf numFmtId="172" fontId="10" fillId="0" borderId="0" xfId="0" applyNumberFormat="1" applyFont="1" applyAlignment="1">
      <alignment horizontal="center"/>
    </xf>
    <xf numFmtId="0" fontId="0" fillId="25" borderId="0" xfId="0" applyFill="1" applyAlignment="1">
      <alignment horizontal="center"/>
    </xf>
    <xf numFmtId="1" fontId="10" fillId="26" borderId="0" xfId="0" applyNumberFormat="1" applyFont="1" applyFill="1" applyAlignment="1">
      <alignment horizontal="center"/>
    </xf>
    <xf numFmtId="0" fontId="10" fillId="27" borderId="0" xfId="0" applyFont="1" applyFill="1"/>
    <xf numFmtId="1" fontId="10" fillId="25" borderId="0" xfId="0" applyNumberFormat="1" applyFont="1" applyFill="1" applyAlignment="1">
      <alignment horizontal="center"/>
    </xf>
    <xf numFmtId="173" fontId="0" fillId="25" borderId="0" xfId="0" applyNumberFormat="1" applyFill="1" applyAlignment="1">
      <alignment horizontal="center"/>
    </xf>
    <xf numFmtId="164" fontId="10" fillId="0" borderId="0" xfId="0" applyNumberFormat="1" applyFont="1" applyAlignment="1">
      <alignment horizontal="center"/>
    </xf>
    <xf numFmtId="0" fontId="10" fillId="15" borderId="3" xfId="0" applyFont="1" applyFill="1" applyBorder="1" applyAlignment="1">
      <alignment horizontal="right"/>
    </xf>
    <xf numFmtId="0" fontId="33"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4" fillId="0" borderId="0" xfId="0" applyFont="1"/>
    <xf numFmtId="0" fontId="34" fillId="0" borderId="0" xfId="0" applyFont="1" applyAlignment="1">
      <alignment horizontal="right"/>
    </xf>
    <xf numFmtId="0" fontId="34" fillId="0" borderId="0" xfId="0" applyFont="1" applyAlignment="1">
      <alignment horizontal="center"/>
    </xf>
    <xf numFmtId="0" fontId="35" fillId="15" borderId="3" xfId="0" applyFont="1" applyFill="1" applyBorder="1" applyAlignment="1">
      <alignment horizontal="center"/>
    </xf>
    <xf numFmtId="169" fontId="34" fillId="15" borderId="6" xfId="0" applyNumberFormat="1" applyFont="1" applyFill="1" applyBorder="1" applyAlignment="1">
      <alignment horizontal="center"/>
    </xf>
    <xf numFmtId="0" fontId="17" fillId="29" borderId="2" xfId="0" applyFont="1" applyFill="1" applyBorder="1"/>
    <xf numFmtId="0" fontId="19" fillId="29" borderId="2" xfId="0" applyFont="1" applyFill="1" applyBorder="1"/>
    <xf numFmtId="0" fontId="0" fillId="30" borderId="0" xfId="0" applyFill="1" applyAlignment="1">
      <alignment horizontal="center"/>
    </xf>
    <xf numFmtId="0" fontId="0" fillId="30" borderId="0" xfId="0" applyFill="1"/>
    <xf numFmtId="0" fontId="9" fillId="30" borderId="0" xfId="2" applyFill="1" applyAlignment="1">
      <alignment vertical="center" wrapText="1"/>
    </xf>
    <xf numFmtId="0" fontId="25" fillId="11" borderId="0" xfId="2" applyFont="1" applyFill="1" applyAlignment="1">
      <alignment horizontal="center"/>
    </xf>
    <xf numFmtId="1" fontId="25" fillId="11" borderId="24" xfId="2" applyNumberFormat="1" applyFont="1" applyFill="1" applyBorder="1" applyAlignment="1">
      <alignment horizontal="center"/>
    </xf>
    <xf numFmtId="169" fontId="25" fillId="11" borderId="25" xfId="2" applyNumberFormat="1" applyFont="1" applyFill="1" applyBorder="1" applyAlignment="1">
      <alignment horizontal="center"/>
    </xf>
    <xf numFmtId="0" fontId="36" fillId="0" borderId="0" xfId="0" applyFont="1"/>
    <xf numFmtId="0" fontId="25" fillId="11" borderId="26" xfId="2" applyFont="1" applyFill="1" applyBorder="1" applyAlignment="1">
      <alignment horizontal="center"/>
    </xf>
    <xf numFmtId="0" fontId="25" fillId="11" borderId="27" xfId="2" applyFont="1" applyFill="1" applyBorder="1" applyAlignment="1">
      <alignment horizontal="center"/>
    </xf>
    <xf numFmtId="1" fontId="25" fillId="11" borderId="0" xfId="2" applyNumberFormat="1" applyFont="1" applyFill="1" applyAlignment="1">
      <alignment horizontal="center"/>
    </xf>
    <xf numFmtId="169" fontId="25"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5"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7" fillId="0" borderId="0" xfId="0" applyFont="1" applyAlignment="1">
      <alignment vertical="center" wrapText="1"/>
    </xf>
    <xf numFmtId="0" fontId="37" fillId="15" borderId="0" xfId="0" applyFont="1" applyFill="1" applyAlignment="1">
      <alignment vertical="center" wrapText="1"/>
    </xf>
    <xf numFmtId="0" fontId="38" fillId="15" borderId="0" xfId="0" applyFont="1" applyFill="1" applyAlignment="1">
      <alignment vertical="center" wrapText="1"/>
    </xf>
    <xf numFmtId="173" fontId="0" fillId="0" borderId="0" xfId="0" applyNumberFormat="1" applyAlignment="1">
      <alignment horizontal="center"/>
    </xf>
    <xf numFmtId="0" fontId="38" fillId="0" borderId="0" xfId="0" applyFont="1"/>
    <xf numFmtId="0" fontId="38" fillId="0" borderId="0" xfId="0" applyFont="1" applyAlignment="1">
      <alignment vertical="center" wrapText="1"/>
    </xf>
    <xf numFmtId="0" fontId="37" fillId="33" borderId="0" xfId="0" applyFont="1" applyFill="1" applyAlignment="1">
      <alignment vertical="center" wrapText="1"/>
    </xf>
    <xf numFmtId="0" fontId="38" fillId="33" borderId="0" xfId="0" applyFont="1" applyFill="1" applyAlignment="1">
      <alignment vertical="center" wrapText="1"/>
    </xf>
    <xf numFmtId="0" fontId="0" fillId="30" borderId="0" xfId="0" applyFill="1" applyAlignment="1">
      <alignment horizontal="left"/>
    </xf>
    <xf numFmtId="0" fontId="25" fillId="15" borderId="0" xfId="2" applyFont="1" applyFill="1"/>
    <xf numFmtId="0" fontId="0" fillId="34" borderId="0" xfId="0" applyFill="1"/>
    <xf numFmtId="0" fontId="0" fillId="13" borderId="0" xfId="0" applyFill="1" applyAlignment="1">
      <alignment horizontal="left"/>
    </xf>
    <xf numFmtId="0" fontId="25" fillId="33" borderId="0" xfId="2" applyFont="1" applyFill="1"/>
    <xf numFmtId="0" fontId="10" fillId="13" borderId="0" xfId="0" applyFont="1" applyFill="1" applyAlignment="1">
      <alignment horizontal="center"/>
    </xf>
    <xf numFmtId="0" fontId="25" fillId="35" borderId="0" xfId="2" applyFont="1" applyFill="1"/>
    <xf numFmtId="0" fontId="37" fillId="35" borderId="0" xfId="0" applyFont="1" applyFill="1" applyAlignment="1">
      <alignment vertical="center" wrapText="1"/>
    </xf>
    <xf numFmtId="0" fontId="38" fillId="35" borderId="0" xfId="0" applyFont="1" applyFill="1" applyAlignment="1">
      <alignment vertical="center" wrapText="1"/>
    </xf>
    <xf numFmtId="0" fontId="19" fillId="25" borderId="2" xfId="0" applyFont="1" applyFill="1" applyBorder="1"/>
    <xf numFmtId="0" fontId="38" fillId="0" borderId="0" xfId="0" applyFont="1" applyAlignment="1">
      <alignment horizontal="center" vertical="center" wrapText="1"/>
    </xf>
    <xf numFmtId="0" fontId="25" fillId="2" borderId="0" xfId="2" applyFont="1" applyFill="1" applyAlignment="1">
      <alignment vertical="center" wrapText="1"/>
    </xf>
    <xf numFmtId="1" fontId="10" fillId="12" borderId="0" xfId="0" applyNumberFormat="1" applyFont="1" applyFill="1" applyAlignment="1">
      <alignment horizontal="center" wrapText="1"/>
    </xf>
    <xf numFmtId="1" fontId="10" fillId="36" borderId="0" xfId="0" applyNumberFormat="1" applyFont="1" applyFill="1" applyAlignment="1">
      <alignment horizontal="center"/>
    </xf>
    <xf numFmtId="1" fontId="36" fillId="12" borderId="9" xfId="0" applyNumberFormat="1" applyFont="1" applyFill="1" applyBorder="1" applyAlignment="1">
      <alignment horizontal="center"/>
    </xf>
    <xf numFmtId="0" fontId="25"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10" fillId="25" borderId="0" xfId="0" applyFont="1" applyFill="1" applyAlignment="1">
      <alignment horizontal="center" wrapText="1"/>
    </xf>
    <xf numFmtId="0" fontId="0" fillId="36" borderId="0" xfId="0" applyFill="1"/>
    <xf numFmtId="0" fontId="25" fillId="13" borderId="0" xfId="2" applyFont="1" applyFill="1" applyAlignment="1">
      <alignment horizontal="center"/>
    </xf>
    <xf numFmtId="0" fontId="10" fillId="30" borderId="0" xfId="0" applyFont="1" applyFill="1" applyAlignment="1">
      <alignment horizontal="center"/>
    </xf>
    <xf numFmtId="0" fontId="0" fillId="30" borderId="0" xfId="0" applyFill="1" applyAlignment="1">
      <alignment vertical="center" wrapText="1"/>
    </xf>
    <xf numFmtId="0" fontId="25" fillId="30" borderId="0" xfId="2" applyFont="1" applyFill="1" applyAlignment="1">
      <alignment horizontal="center"/>
    </xf>
    <xf numFmtId="0" fontId="0" fillId="0" borderId="0" xfId="0" applyAlignment="1">
      <alignment vertical="center" wrapText="1"/>
    </xf>
    <xf numFmtId="2" fontId="25" fillId="11" borderId="0" xfId="2" applyNumberFormat="1" applyFont="1" applyFill="1" applyAlignment="1">
      <alignment horizontal="center"/>
    </xf>
    <xf numFmtId="2" fontId="0" fillId="0" borderId="0" xfId="0" applyNumberFormat="1"/>
    <xf numFmtId="1" fontId="10" fillId="25" borderId="0" xfId="0" applyNumberFormat="1" applyFont="1" applyFill="1" applyAlignment="1">
      <alignment horizontal="center" wrapText="1"/>
    </xf>
    <xf numFmtId="1" fontId="36" fillId="0" borderId="0" xfId="0" applyNumberFormat="1" applyFont="1" applyAlignment="1">
      <alignment horizontal="center"/>
    </xf>
    <xf numFmtId="0" fontId="36" fillId="0" borderId="0" xfId="0" applyFont="1" applyAlignment="1">
      <alignment horizontal="center"/>
    </xf>
    <xf numFmtId="172" fontId="25" fillId="33" borderId="0" xfId="2" applyNumberFormat="1" applyFont="1" applyFill="1"/>
    <xf numFmtId="0" fontId="39" fillId="0" borderId="0" xfId="0" applyFont="1" applyAlignment="1">
      <alignment horizontal="center"/>
    </xf>
    <xf numFmtId="0" fontId="39" fillId="0" borderId="0" xfId="0" applyFont="1"/>
    <xf numFmtId="0" fontId="39" fillId="0" borderId="0" xfId="0" applyFont="1" applyAlignment="1">
      <alignment horizontal="right"/>
    </xf>
    <xf numFmtId="172" fontId="0" fillId="13" borderId="0" xfId="0" applyNumberFormat="1" applyFill="1"/>
    <xf numFmtId="173" fontId="10" fillId="13" borderId="0" xfId="0" applyNumberFormat="1" applyFont="1" applyFill="1" applyAlignment="1">
      <alignment horizontal="center"/>
    </xf>
    <xf numFmtId="172" fontId="25" fillId="13" borderId="0" xfId="2" applyNumberFormat="1" applyFont="1" applyFill="1" applyAlignment="1">
      <alignment horizontal="center"/>
    </xf>
    <xf numFmtId="172" fontId="25"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40" fillId="0" borderId="0" xfId="0" applyFont="1" applyAlignment="1">
      <alignment horizontal="right"/>
    </xf>
    <xf numFmtId="0" fontId="17" fillId="15" borderId="2" xfId="0" applyFont="1" applyFill="1" applyBorder="1"/>
    <xf numFmtId="0" fontId="41" fillId="15" borderId="2" xfId="0" applyFont="1" applyFill="1" applyBorder="1"/>
    <xf numFmtId="0" fontId="10" fillId="15" borderId="0" xfId="0" applyFont="1" applyFill="1" applyAlignment="1">
      <alignment horizontal="center"/>
    </xf>
    <xf numFmtId="1" fontId="42" fillId="15" borderId="0" xfId="0" applyNumberFormat="1" applyFont="1" applyFill="1" applyAlignment="1">
      <alignment horizontal="center"/>
    </xf>
    <xf numFmtId="2" fontId="25" fillId="13" borderId="0" xfId="2" applyNumberFormat="1" applyFont="1" applyFill="1" applyAlignment="1">
      <alignment horizontal="center"/>
    </xf>
    <xf numFmtId="0" fontId="43" fillId="13" borderId="0" xfId="0" applyFont="1" applyFill="1" applyAlignment="1">
      <alignment horizontal="center"/>
    </xf>
    <xf numFmtId="1" fontId="0" fillId="15" borderId="0" xfId="0" applyNumberFormat="1" applyFill="1" applyAlignment="1">
      <alignment horizontal="center" wrapText="1"/>
    </xf>
    <xf numFmtId="1" fontId="39" fillId="25" borderId="0" xfId="0" applyNumberFormat="1" applyFont="1" applyFill="1" applyAlignment="1">
      <alignment horizontal="center"/>
    </xf>
    <xf numFmtId="0" fontId="44"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9" fillId="12" borderId="9" xfId="0" applyNumberFormat="1" applyFont="1" applyFill="1" applyBorder="1" applyAlignment="1">
      <alignment horizontal="center"/>
    </xf>
    <xf numFmtId="1" fontId="36" fillId="25" borderId="0" xfId="0" applyNumberFormat="1" applyFont="1" applyFill="1" applyAlignment="1">
      <alignment horizontal="center"/>
    </xf>
    <xf numFmtId="1" fontId="36" fillId="12" borderId="0" xfId="0" applyNumberFormat="1" applyFont="1" applyFill="1" applyAlignment="1">
      <alignment horizontal="center" wrapText="1"/>
    </xf>
    <xf numFmtId="1" fontId="0" fillId="25" borderId="0" xfId="0" applyNumberFormat="1" applyFill="1" applyAlignment="1">
      <alignment horizontal="center"/>
    </xf>
    <xf numFmtId="2" fontId="25" fillId="30" borderId="0" xfId="2" applyNumberFormat="1" applyFont="1" applyFill="1" applyAlignment="1">
      <alignment horizontal="center"/>
    </xf>
    <xf numFmtId="0" fontId="33" fillId="0" borderId="0" xfId="0" applyFont="1"/>
    <xf numFmtId="1" fontId="45" fillId="12" borderId="0" xfId="0" applyNumberFormat="1" applyFont="1" applyFill="1" applyAlignment="1">
      <alignment horizontal="center" wrapText="1"/>
    </xf>
    <xf numFmtId="1" fontId="39"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4" fillId="0" borderId="0" xfId="0" applyNumberFormat="1" applyFont="1" applyAlignment="1">
      <alignment horizontal="center"/>
    </xf>
    <xf numFmtId="0" fontId="0" fillId="37" borderId="0" xfId="0" applyFill="1"/>
    <xf numFmtId="0" fontId="46" fillId="0" borderId="0" xfId="0" applyFont="1"/>
    <xf numFmtId="1" fontId="39" fillId="38" borderId="9" xfId="0" applyNumberFormat="1" applyFont="1" applyFill="1" applyBorder="1" applyAlignment="1">
      <alignment horizontal="center"/>
    </xf>
    <xf numFmtId="172" fontId="39" fillId="38" borderId="9" xfId="0" applyNumberFormat="1" applyFont="1" applyFill="1" applyBorder="1" applyAlignment="1">
      <alignment horizontal="center"/>
    </xf>
    <xf numFmtId="1" fontId="10"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10" fillId="40" borderId="0" xfId="0" applyFont="1" applyFill="1" applyAlignment="1">
      <alignment horizontal="center"/>
    </xf>
    <xf numFmtId="0" fontId="0" fillId="41" borderId="0" xfId="0" applyFill="1" applyAlignment="1">
      <alignment horizontal="center"/>
    </xf>
    <xf numFmtId="0" fontId="10"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10"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10" fillId="40" borderId="0" xfId="0" applyNumberFormat="1" applyFont="1" applyFill="1" applyAlignment="1">
      <alignment horizontal="center"/>
    </xf>
    <xf numFmtId="0" fontId="10" fillId="16" borderId="2" xfId="0" applyFont="1" applyFill="1" applyBorder="1" applyAlignment="1">
      <alignment horizontal="center"/>
    </xf>
    <xf numFmtId="0" fontId="10"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10" fillId="42" borderId="2"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53" fillId="0" borderId="0" xfId="0" applyFont="1"/>
    <xf numFmtId="0" fontId="52" fillId="0" borderId="0" xfId="0" applyFont="1"/>
    <xf numFmtId="0" fontId="53" fillId="0" borderId="0" xfId="0" applyFont="1" applyAlignment="1">
      <alignment horizontal="center"/>
    </xf>
    <xf numFmtId="0" fontId="54" fillId="0" borderId="0" xfId="0" applyFont="1" applyAlignment="1">
      <alignment horizontal="center"/>
    </xf>
    <xf numFmtId="0" fontId="10" fillId="0" borderId="2" xfId="0" applyFont="1" applyBorder="1" applyAlignment="1">
      <alignment horizontal="left"/>
    </xf>
    <xf numFmtId="0" fontId="55" fillId="43" borderId="24" xfId="0" applyFont="1" applyFill="1" applyBorder="1" applyAlignment="1">
      <alignment vertical="center" wrapText="1"/>
    </xf>
    <xf numFmtId="0" fontId="55" fillId="43" borderId="2" xfId="0" applyFont="1" applyFill="1" applyBorder="1" applyAlignment="1">
      <alignment vertical="center" wrapText="1"/>
    </xf>
    <xf numFmtId="0" fontId="57" fillId="0" borderId="2" xfId="0" applyFont="1" applyBorder="1" applyAlignment="1">
      <alignment horizontal="center" wrapText="1" readingOrder="1"/>
    </xf>
    <xf numFmtId="171" fontId="57" fillId="0" borderId="8" xfId="0" applyNumberFormat="1" applyFont="1" applyBorder="1" applyAlignment="1">
      <alignment horizontal="right" wrapText="1" readingOrder="1"/>
    </xf>
    <xf numFmtId="171" fontId="57" fillId="0" borderId="8" xfId="0" applyNumberFormat="1" applyFont="1" applyBorder="1" applyAlignment="1">
      <alignment horizontal="right"/>
    </xf>
    <xf numFmtId="171" fontId="57" fillId="0" borderId="2" xfId="0" applyNumberFormat="1" applyFont="1" applyBorder="1" applyAlignment="1">
      <alignment horizontal="right" wrapText="1" readingOrder="1"/>
    </xf>
    <xf numFmtId="171" fontId="57" fillId="0" borderId="2" xfId="0" applyNumberFormat="1" applyFont="1" applyBorder="1" applyAlignment="1">
      <alignment horizontal="right"/>
    </xf>
    <xf numFmtId="0" fontId="57" fillId="0" borderId="2" xfId="0" applyFont="1" applyBorder="1"/>
    <xf numFmtId="0" fontId="58" fillId="0" borderId="0" xfId="0" applyFont="1"/>
    <xf numFmtId="0" fontId="9" fillId="0" borderId="3" xfId="0" applyFont="1" applyBorder="1"/>
    <xf numFmtId="0" fontId="9" fillId="0" borderId="4" xfId="0" applyFont="1" applyBorder="1"/>
    <xf numFmtId="0" fontId="9" fillId="0" borderId="6" xfId="0" applyFont="1" applyBorder="1"/>
    <xf numFmtId="0" fontId="9" fillId="0" borderId="7" xfId="0" applyFont="1" applyBorder="1"/>
    <xf numFmtId="0" fontId="9" fillId="0" borderId="0" xfId="0" applyFont="1"/>
    <xf numFmtId="2" fontId="9" fillId="0" borderId="9" xfId="0" applyNumberFormat="1" applyFont="1" applyBorder="1"/>
    <xf numFmtId="0" fontId="9" fillId="0" borderId="9" xfId="0" applyFont="1" applyBorder="1"/>
    <xf numFmtId="0" fontId="0" fillId="0" borderId="9" xfId="0" applyBorder="1"/>
    <xf numFmtId="1" fontId="9" fillId="0" borderId="9" xfId="0" applyNumberFormat="1" applyFont="1" applyBorder="1"/>
    <xf numFmtId="1" fontId="25" fillId="0" borderId="9" xfId="0" applyNumberFormat="1" applyFont="1" applyBorder="1"/>
    <xf numFmtId="0" fontId="9" fillId="0" borderId="14" xfId="0" applyFont="1" applyBorder="1"/>
    <xf numFmtId="0" fontId="9" fillId="0" borderId="15" xfId="0" applyFont="1" applyBorder="1"/>
    <xf numFmtId="1" fontId="25" fillId="0" borderId="16" xfId="0" applyNumberFormat="1" applyFont="1" applyBorder="1"/>
    <xf numFmtId="0" fontId="0" fillId="33" borderId="0" xfId="0" applyFill="1" applyAlignment="1">
      <alignment horizontal="center"/>
    </xf>
    <xf numFmtId="0" fontId="0" fillId="33" borderId="0" xfId="0" applyFill="1"/>
    <xf numFmtId="0" fontId="10"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4" fillId="8" borderId="0" xfId="1" applyFill="1" applyBorder="1" applyProtection="1"/>
    <xf numFmtId="0" fontId="15" fillId="9" borderId="0" xfId="0" applyFont="1" applyFill="1"/>
    <xf numFmtId="0" fontId="15"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1" fontId="60" fillId="0" borderId="0" xfId="0" applyNumberFormat="1" applyFont="1" applyAlignment="1">
      <alignment horizontal="center"/>
    </xf>
    <xf numFmtId="0" fontId="0" fillId="49" borderId="0" xfId="0" applyFill="1"/>
    <xf numFmtId="1" fontId="0" fillId="52" borderId="0" xfId="0" applyNumberFormat="1" applyFill="1" applyAlignment="1">
      <alignment horizontal="center"/>
    </xf>
    <xf numFmtId="2" fontId="25" fillId="13" borderId="1" xfId="2" applyNumberFormat="1" applyFont="1" applyFill="1" applyBorder="1" applyAlignment="1">
      <alignment horizontal="center"/>
    </xf>
    <xf numFmtId="1" fontId="36" fillId="54" borderId="9" xfId="0" applyNumberFormat="1" applyFont="1" applyFill="1" applyBorder="1" applyAlignment="1">
      <alignment horizontal="center"/>
    </xf>
    <xf numFmtId="1" fontId="64" fillId="0" borderId="0" xfId="0" applyNumberFormat="1" applyFont="1" applyAlignment="1">
      <alignment horizontal="center"/>
    </xf>
    <xf numFmtId="2" fontId="25" fillId="13" borderId="31" xfId="2" applyNumberFormat="1" applyFont="1" applyFill="1" applyBorder="1" applyAlignment="1">
      <alignment horizontal="center"/>
    </xf>
    <xf numFmtId="1" fontId="0" fillId="55" borderId="0" xfId="0" applyNumberFormat="1" applyFill="1" applyAlignment="1">
      <alignment horizontal="center"/>
    </xf>
    <xf numFmtId="0" fontId="66" fillId="30" borderId="0" xfId="0" applyFont="1" applyFill="1" applyAlignment="1">
      <alignment horizontal="center"/>
    </xf>
    <xf numFmtId="1" fontId="64" fillId="12" borderId="0" xfId="0" applyNumberFormat="1" applyFont="1" applyFill="1" applyAlignment="1">
      <alignment horizontal="center"/>
    </xf>
    <xf numFmtId="0" fontId="0" fillId="56" borderId="0" xfId="0" applyFill="1" applyAlignment="1">
      <alignment horizontal="center"/>
    </xf>
    <xf numFmtId="1" fontId="66" fillId="0" borderId="0" xfId="0" applyNumberFormat="1" applyFont="1" applyAlignment="1">
      <alignment horizontal="center"/>
    </xf>
    <xf numFmtId="2" fontId="25" fillId="58" borderId="0" xfId="2" applyNumberFormat="1" applyFont="1" applyFill="1" applyAlignment="1">
      <alignment horizontal="center"/>
    </xf>
    <xf numFmtId="0" fontId="0" fillId="56" borderId="0" xfId="0" applyFill="1" applyAlignment="1">
      <alignment horizontal="right"/>
    </xf>
    <xf numFmtId="1" fontId="0" fillId="59" borderId="0" xfId="0" applyNumberFormat="1" applyFill="1" applyAlignment="1">
      <alignment horizontal="center"/>
    </xf>
    <xf numFmtId="1" fontId="36" fillId="12" borderId="0" xfId="0" applyNumberFormat="1" applyFont="1" applyFill="1" applyAlignment="1">
      <alignment horizontal="center"/>
    </xf>
    <xf numFmtId="1" fontId="66" fillId="12" borderId="9" xfId="0" applyNumberFormat="1" applyFont="1" applyFill="1" applyBorder="1" applyAlignment="1">
      <alignment horizontal="center"/>
    </xf>
    <xf numFmtId="1" fontId="0" fillId="61" borderId="0" xfId="0" applyNumberFormat="1" applyFill="1" applyAlignment="1">
      <alignment horizontal="center"/>
    </xf>
    <xf numFmtId="2" fontId="10" fillId="49" borderId="0" xfId="0" applyNumberFormat="1" applyFont="1" applyFill="1" applyAlignment="1">
      <alignment horizontal="center"/>
    </xf>
    <xf numFmtId="1" fontId="0" fillId="63" borderId="0" xfId="0" applyNumberFormat="1" applyFill="1" applyAlignment="1">
      <alignment horizontal="center"/>
    </xf>
    <xf numFmtId="1" fontId="70" fillId="0" borderId="0" xfId="0" applyNumberFormat="1" applyFont="1" applyAlignment="1">
      <alignment horizontal="center"/>
    </xf>
    <xf numFmtId="1" fontId="70" fillId="0" borderId="0" xfId="0" applyNumberFormat="1" applyFont="1" applyAlignment="1">
      <alignment horizontal="left"/>
    </xf>
    <xf numFmtId="0" fontId="71" fillId="0" borderId="0" xfId="0" applyFont="1" applyAlignment="1">
      <alignment horizontal="center"/>
    </xf>
    <xf numFmtId="0" fontId="71" fillId="0" borderId="0" xfId="0" applyFont="1" applyAlignment="1">
      <alignment horizontal="right"/>
    </xf>
    <xf numFmtId="1" fontId="72" fillId="12" borderId="9" xfId="0" applyNumberFormat="1" applyFont="1" applyFill="1" applyBorder="1" applyAlignment="1">
      <alignment horizontal="center"/>
    </xf>
    <xf numFmtId="0" fontId="73" fillId="13" borderId="0" xfId="0" applyFont="1" applyFill="1" applyAlignment="1">
      <alignment horizontal="center"/>
    </xf>
    <xf numFmtId="1" fontId="72" fillId="67" borderId="0" xfId="0" applyNumberFormat="1" applyFont="1" applyFill="1" applyAlignment="1">
      <alignment horizontal="center"/>
    </xf>
    <xf numFmtId="0" fontId="74" fillId="0" borderId="0" xfId="0" applyFont="1"/>
    <xf numFmtId="0" fontId="75" fillId="0" borderId="0" xfId="4"/>
    <xf numFmtId="22" fontId="75" fillId="0" borderId="0" xfId="4" applyNumberFormat="1"/>
    <xf numFmtId="0" fontId="10" fillId="70" borderId="0" xfId="0" applyFont="1" applyFill="1"/>
    <xf numFmtId="0" fontId="0" fillId="70" borderId="0" xfId="0" applyFill="1"/>
    <xf numFmtId="0" fontId="15" fillId="71" borderId="0" xfId="0" applyFont="1" applyFill="1" applyAlignment="1">
      <alignment horizontal="center"/>
    </xf>
    <xf numFmtId="0" fontId="15"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6" fillId="73" borderId="0" xfId="0" applyFont="1" applyFill="1" applyAlignment="1">
      <alignment horizontal="center"/>
    </xf>
    <xf numFmtId="0" fontId="76"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7" fillId="0" borderId="0" xfId="0" applyNumberFormat="1" applyFont="1" applyAlignment="1">
      <alignment horizontal="right"/>
    </xf>
    <xf numFmtId="0" fontId="77" fillId="0" borderId="0" xfId="0" applyFont="1"/>
    <xf numFmtId="0" fontId="10" fillId="0" borderId="0" xfId="0" applyFont="1" applyAlignment="1">
      <alignment horizontal="center" wrapText="1"/>
    </xf>
    <xf numFmtId="1" fontId="10" fillId="0" borderId="0" xfId="0" applyNumberFormat="1" applyFont="1" applyAlignment="1">
      <alignment horizontal="center" wrapText="1"/>
    </xf>
    <xf numFmtId="0" fontId="10" fillId="65" borderId="0" xfId="0" applyFont="1" applyFill="1" applyAlignment="1">
      <alignment horizontal="center" wrapText="1"/>
    </xf>
    <xf numFmtId="0" fontId="10" fillId="0" borderId="0" xfId="0" applyFont="1" applyAlignment="1">
      <alignment horizontal="right" wrapText="1"/>
    </xf>
    <xf numFmtId="0" fontId="10" fillId="65" borderId="0" xfId="0" applyFont="1" applyFill="1" applyAlignment="1">
      <alignment horizontal="right" wrapText="1"/>
    </xf>
    <xf numFmtId="170" fontId="10" fillId="57" borderId="0" xfId="0" applyNumberFormat="1" applyFont="1" applyFill="1" applyAlignment="1">
      <alignment horizontal="center" wrapText="1"/>
    </xf>
    <xf numFmtId="0" fontId="10" fillId="57" borderId="0" xfId="0" applyFont="1" applyFill="1" applyAlignment="1">
      <alignment horizontal="center" wrapText="1"/>
    </xf>
    <xf numFmtId="0" fontId="10"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8" fillId="0" borderId="26" xfId="0" applyFont="1" applyBorder="1" applyAlignment="1">
      <alignment horizontal="center" wrapText="1"/>
    </xf>
    <xf numFmtId="0" fontId="78" fillId="0" borderId="1" xfId="0" applyFont="1" applyBorder="1" applyAlignment="1">
      <alignment horizontal="center" wrapText="1"/>
    </xf>
    <xf numFmtId="0" fontId="78"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10" fillId="0" borderId="0" xfId="0" applyNumberFormat="1" applyFont="1" applyAlignment="1">
      <alignment horizontal="right" wrapText="1"/>
    </xf>
    <xf numFmtId="1" fontId="79" fillId="74" borderId="0" xfId="3" applyNumberFormat="1" applyFont="1" applyFill="1"/>
    <xf numFmtId="0" fontId="61" fillId="46" borderId="0" xfId="3" applyFont="1" applyFill="1" applyAlignment="1">
      <alignment horizontal="center"/>
    </xf>
    <xf numFmtId="0" fontId="61"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7" fillId="0" borderId="0" xfId="5"/>
    <xf numFmtId="164" fontId="34" fillId="65" borderId="0" xfId="5" applyNumberFormat="1" applyFont="1" applyFill="1" applyAlignment="1">
      <alignment horizontal="right"/>
    </xf>
    <xf numFmtId="164" fontId="7" fillId="65" borderId="0" xfId="5" applyNumberFormat="1" applyFill="1"/>
    <xf numFmtId="0" fontId="7" fillId="0" borderId="0" xfId="5" applyAlignment="1">
      <alignment horizontal="right"/>
    </xf>
    <xf numFmtId="1" fontId="7" fillId="0" borderId="0" xfId="5" applyNumberFormat="1" applyAlignment="1">
      <alignment horizontal="right"/>
    </xf>
    <xf numFmtId="0" fontId="7" fillId="0" borderId="0" xfId="5" applyAlignment="1">
      <alignment horizontal="center"/>
    </xf>
    <xf numFmtId="0" fontId="10" fillId="0" borderId="0" xfId="5" applyFont="1" applyAlignment="1">
      <alignment horizontal="center" wrapText="1"/>
    </xf>
    <xf numFmtId="0" fontId="78" fillId="0" borderId="27" xfId="5" applyFont="1" applyBorder="1" applyAlignment="1">
      <alignment horizontal="center" wrapText="1"/>
    </xf>
    <xf numFmtId="0" fontId="78" fillId="0" borderId="1" xfId="5" applyFont="1" applyBorder="1" applyAlignment="1">
      <alignment horizontal="center" wrapText="1"/>
    </xf>
    <xf numFmtId="0" fontId="78" fillId="0" borderId="26" xfId="5" applyFont="1" applyBorder="1" applyAlignment="1">
      <alignment horizontal="center" wrapText="1"/>
    </xf>
    <xf numFmtId="0" fontId="80" fillId="57" borderId="0" xfId="5" applyFont="1" applyFill="1" applyAlignment="1">
      <alignment horizontal="center" wrapText="1"/>
    </xf>
    <xf numFmtId="0" fontId="80" fillId="51" borderId="0" xfId="5" applyFont="1" applyFill="1" applyAlignment="1">
      <alignment horizontal="center" wrapText="1"/>
    </xf>
    <xf numFmtId="170" fontId="80" fillId="57" borderId="0" xfId="5" applyNumberFormat="1" applyFont="1" applyFill="1" applyAlignment="1">
      <alignment horizontal="center" wrapText="1"/>
    </xf>
    <xf numFmtId="1" fontId="10" fillId="0" borderId="0" xfId="5" applyNumberFormat="1" applyFont="1" applyAlignment="1">
      <alignment horizontal="center" wrapText="1"/>
    </xf>
    <xf numFmtId="1" fontId="10" fillId="0" borderId="0" xfId="5" applyNumberFormat="1" applyFont="1" applyAlignment="1">
      <alignment horizontal="right" wrapText="1"/>
    </xf>
    <xf numFmtId="0" fontId="10" fillId="0" borderId="0" xfId="5" applyFont="1" applyAlignment="1">
      <alignment horizontal="right" wrapText="1"/>
    </xf>
    <xf numFmtId="0" fontId="7" fillId="0" borderId="25" xfId="5" applyBorder="1" applyAlignment="1">
      <alignment horizontal="center"/>
    </xf>
    <xf numFmtId="0" fontId="7" fillId="0" borderId="32" xfId="5" applyBorder="1" applyAlignment="1">
      <alignment horizontal="center"/>
    </xf>
    <xf numFmtId="0" fontId="7" fillId="0" borderId="24" xfId="5" applyBorder="1" applyAlignment="1">
      <alignment horizontal="center"/>
    </xf>
    <xf numFmtId="0" fontId="7" fillId="57" borderId="0" xfId="5" applyFill="1" applyAlignment="1">
      <alignment horizontal="center"/>
    </xf>
    <xf numFmtId="0" fontId="7" fillId="51" borderId="0" xfId="5" applyFill="1" applyAlignment="1">
      <alignment horizontal="center"/>
    </xf>
    <xf numFmtId="1" fontId="7" fillId="0" borderId="0" xfId="5" applyNumberFormat="1"/>
    <xf numFmtId="170" fontId="7" fillId="0" borderId="0" xfId="5" applyNumberFormat="1" applyAlignment="1">
      <alignment horizontal="center"/>
    </xf>
    <xf numFmtId="170" fontId="7" fillId="0" borderId="0" xfId="5" applyNumberFormat="1"/>
    <xf numFmtId="1" fontId="7" fillId="76" borderId="0" xfId="5" applyNumberFormat="1" applyFill="1" applyAlignment="1">
      <alignment horizontal="right"/>
    </xf>
    <xf numFmtId="0" fontId="7" fillId="76" borderId="0" xfId="5" applyFill="1" applyAlignment="1">
      <alignment horizontal="right"/>
    </xf>
    <xf numFmtId="164" fontId="7" fillId="76" borderId="0" xfId="5" applyNumberFormat="1" applyFill="1"/>
    <xf numFmtId="0" fontId="7" fillId="76" borderId="0" xfId="5" applyFill="1"/>
    <xf numFmtId="164" fontId="7" fillId="0" borderId="0" xfId="5" applyNumberFormat="1"/>
    <xf numFmtId="164" fontId="7" fillId="0" borderId="0" xfId="5" applyNumberFormat="1" applyAlignment="1">
      <alignment horizontal="right"/>
    </xf>
    <xf numFmtId="164" fontId="7" fillId="0" borderId="0" xfId="5" applyNumberFormat="1" applyAlignment="1">
      <alignment horizontal="center"/>
    </xf>
    <xf numFmtId="1" fontId="0" fillId="45" borderId="0" xfId="0" applyNumberFormat="1" applyFill="1" applyAlignment="1">
      <alignment horizontal="center"/>
    </xf>
    <xf numFmtId="0" fontId="6" fillId="0" borderId="0" xfId="5" applyFont="1" applyAlignment="1">
      <alignment horizontal="center"/>
    </xf>
    <xf numFmtId="175" fontId="7" fillId="0" borderId="0" xfId="5" applyNumberFormat="1"/>
    <xf numFmtId="164" fontId="0" fillId="65" borderId="0" xfId="5" applyNumberFormat="1" applyFont="1" applyFill="1" applyAlignment="1">
      <alignment horizontal="right"/>
    </xf>
    <xf numFmtId="1" fontId="7" fillId="76" borderId="0" xfId="5" applyNumberFormat="1" applyFill="1"/>
    <xf numFmtId="0" fontId="10" fillId="0" borderId="0" xfId="5" applyFont="1" applyAlignment="1">
      <alignment wrapText="1"/>
    </xf>
    <xf numFmtId="0" fontId="5" fillId="0" borderId="0" xfId="5" applyFont="1" applyAlignment="1">
      <alignment horizontal="right"/>
    </xf>
    <xf numFmtId="1" fontId="4" fillId="0" borderId="0" xfId="5" applyNumberFormat="1" applyFont="1"/>
    <xf numFmtId="0" fontId="84" fillId="0" borderId="0" xfId="5" applyFont="1"/>
    <xf numFmtId="0" fontId="4" fillId="0" borderId="0" xfId="5" applyFont="1"/>
    <xf numFmtId="164" fontId="3" fillId="0" borderId="0" xfId="5" applyNumberFormat="1" applyFont="1" applyAlignment="1">
      <alignment horizontal="right"/>
    </xf>
    <xf numFmtId="0" fontId="85" fillId="0" borderId="0" xfId="5" applyFont="1" applyAlignment="1">
      <alignment horizontal="center"/>
    </xf>
    <xf numFmtId="0" fontId="68" fillId="0" borderId="0" xfId="5" applyFont="1" applyAlignment="1">
      <alignment horizontal="center"/>
    </xf>
    <xf numFmtId="0" fontId="2" fillId="0" borderId="0" xfId="5" applyFont="1"/>
    <xf numFmtId="0" fontId="0" fillId="12" borderId="35" xfId="0" applyFill="1" applyBorder="1" applyAlignment="1">
      <alignment horizontal="center"/>
    </xf>
    <xf numFmtId="0" fontId="16" fillId="12" borderId="35" xfId="0" applyFont="1" applyFill="1" applyBorder="1" applyAlignment="1">
      <alignment horizontal="center"/>
    </xf>
    <xf numFmtId="168" fontId="0" fillId="12" borderId="35" xfId="0" applyNumberFormat="1" applyFill="1" applyBorder="1" applyAlignment="1">
      <alignment horizontal="center"/>
    </xf>
    <xf numFmtId="0" fontId="0" fillId="12" borderId="36" xfId="0" applyFill="1" applyBorder="1" applyAlignment="1">
      <alignment horizontal="center"/>
    </xf>
    <xf numFmtId="0" fontId="10" fillId="0" borderId="37" xfId="0" applyFont="1" applyBorder="1" applyAlignment="1">
      <alignment horizontal="right"/>
    </xf>
    <xf numFmtId="0" fontId="10" fillId="0" borderId="38" xfId="0" applyFont="1" applyBorder="1" applyAlignment="1">
      <alignment horizontal="center"/>
    </xf>
    <xf numFmtId="0" fontId="0" fillId="0" borderId="35" xfId="0" applyBorder="1" applyAlignment="1">
      <alignment horizontal="center"/>
    </xf>
    <xf numFmtId="0" fontId="0" fillId="0" borderId="39" xfId="0" applyBorder="1" applyAlignment="1">
      <alignment horizontal="center"/>
    </xf>
    <xf numFmtId="0" fontId="0" fillId="45" borderId="0" xfId="0" applyFill="1" applyAlignment="1">
      <alignment horizontal="center"/>
    </xf>
    <xf numFmtId="0" fontId="0" fillId="45" borderId="15" xfId="0" applyFill="1" applyBorder="1" applyAlignment="1">
      <alignment horizontal="center"/>
    </xf>
    <xf numFmtId="1" fontId="0" fillId="77" borderId="0" xfId="0" applyNumberFormat="1" applyFill="1" applyAlignment="1">
      <alignment horizontal="right"/>
    </xf>
    <xf numFmtId="1" fontId="0" fillId="77" borderId="15" xfId="0" applyNumberFormat="1" applyFill="1" applyBorder="1" applyAlignment="1">
      <alignment horizontal="right"/>
    </xf>
    <xf numFmtId="0" fontId="0" fillId="77" borderId="0" xfId="0" applyFill="1" applyAlignment="1">
      <alignment horizontal="center"/>
    </xf>
    <xf numFmtId="0" fontId="0" fillId="78" borderId="0" xfId="0" applyFill="1" applyAlignment="1">
      <alignment horizontal="center"/>
    </xf>
    <xf numFmtId="1" fontId="11" fillId="78" borderId="0" xfId="0" applyNumberFormat="1" applyFont="1" applyFill="1" applyAlignment="1">
      <alignment horizontal="center"/>
    </xf>
    <xf numFmtId="1" fontId="0" fillId="78" borderId="0" xfId="0" applyNumberFormat="1" applyFill="1" applyAlignment="1">
      <alignment horizontal="center"/>
    </xf>
    <xf numFmtId="1" fontId="0" fillId="78" borderId="15" xfId="0" quotePrefix="1" applyNumberFormat="1" applyFill="1" applyBorder="1" applyAlignment="1">
      <alignment horizontal="center"/>
    </xf>
    <xf numFmtId="1" fontId="11" fillId="77" borderId="0" xfId="0" applyNumberFormat="1" applyFont="1" applyFill="1" applyAlignment="1">
      <alignment horizontal="center"/>
    </xf>
    <xf numFmtId="1" fontId="72" fillId="77" borderId="15" xfId="0" applyNumberFormat="1" applyFont="1" applyFill="1" applyBorder="1" applyAlignment="1">
      <alignment horizontal="center"/>
    </xf>
    <xf numFmtId="0" fontId="27" fillId="0" borderId="0" xfId="0" applyFont="1"/>
    <xf numFmtId="0" fontId="0" fillId="79" borderId="0" xfId="0" applyFill="1"/>
    <xf numFmtId="0" fontId="0" fillId="0" borderId="10" xfId="0" applyBorder="1" applyAlignment="1">
      <alignment horizontal="center"/>
    </xf>
    <xf numFmtId="164" fontId="1" fillId="65" borderId="0" xfId="5" applyNumberFormat="1" applyFont="1" applyFill="1" applyAlignment="1">
      <alignment horizontal="right"/>
    </xf>
    <xf numFmtId="175" fontId="0" fillId="28" borderId="0" xfId="0" applyNumberFormat="1" applyFill="1" applyAlignment="1">
      <alignment horizontal="center"/>
    </xf>
    <xf numFmtId="175" fontId="0" fillId="28" borderId="0" xfId="0" applyNumberFormat="1" applyFill="1" applyAlignment="1">
      <alignment horizontal="right"/>
    </xf>
    <xf numFmtId="0" fontId="0" fillId="0" borderId="11" xfId="0" applyBorder="1" applyAlignment="1">
      <alignment horizontal="center"/>
    </xf>
    <xf numFmtId="0" fontId="0" fillId="0" borderId="8"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37" fillId="0" borderId="0" xfId="0" applyFont="1" applyAlignment="1">
      <alignment horizontal="center"/>
    </xf>
    <xf numFmtId="0" fontId="0" fillId="81" borderId="41" xfId="0" applyFill="1" applyBorder="1" applyAlignment="1">
      <alignment horizontal="center"/>
    </xf>
    <xf numFmtId="171" fontId="0" fillId="81" borderId="41" xfId="0" applyNumberFormat="1" applyFill="1" applyBorder="1" applyAlignment="1">
      <alignment horizontal="center"/>
    </xf>
    <xf numFmtId="0" fontId="0" fillId="80" borderId="10" xfId="0" applyFill="1" applyBorder="1" applyAlignment="1">
      <alignment horizontal="center"/>
    </xf>
    <xf numFmtId="0" fontId="0" fillId="80" borderId="24" xfId="0" applyFill="1" applyBorder="1" applyAlignment="1">
      <alignment horizontal="center"/>
    </xf>
    <xf numFmtId="0" fontId="0" fillId="80" borderId="8" xfId="0" applyFill="1" applyBorder="1" applyAlignment="1">
      <alignment horizontal="center"/>
    </xf>
    <xf numFmtId="0" fontId="0" fillId="80" borderId="26" xfId="0" applyFill="1" applyBorder="1" applyAlignment="1">
      <alignment horizontal="center"/>
    </xf>
    <xf numFmtId="0" fontId="0" fillId="0" borderId="42" xfId="0" applyBorder="1"/>
    <xf numFmtId="0" fontId="0" fillId="0" borderId="41" xfId="0" applyBorder="1"/>
    <xf numFmtId="0" fontId="0" fillId="45" borderId="0" xfId="0" applyFill="1"/>
    <xf numFmtId="0" fontId="0" fillId="51" borderId="0" xfId="0" applyFill="1"/>
    <xf numFmtId="0" fontId="0" fillId="80" borderId="10" xfId="0" applyFill="1" applyBorder="1"/>
    <xf numFmtId="0" fontId="0" fillId="0" borderId="10" xfId="0" applyBorder="1"/>
    <xf numFmtId="0" fontId="0" fillId="80" borderId="11" xfId="0" applyFill="1" applyBorder="1"/>
    <xf numFmtId="0" fontId="0" fillId="0" borderId="11" xfId="0" applyBorder="1"/>
    <xf numFmtId="0" fontId="0" fillId="80" borderId="8" xfId="0" applyFill="1" applyBorder="1"/>
    <xf numFmtId="0" fontId="0" fillId="0" borderId="8" xfId="0" applyBorder="1"/>
    <xf numFmtId="0" fontId="9" fillId="30" borderId="0" xfId="2" applyFill="1" applyAlignment="1">
      <alignment vertical="center"/>
    </xf>
    <xf numFmtId="0" fontId="9" fillId="2" borderId="0" xfId="2" applyFill="1" applyAlignment="1">
      <alignment vertical="center"/>
    </xf>
    <xf numFmtId="0" fontId="37" fillId="0" borderId="0" xfId="0" applyFont="1" applyAlignment="1">
      <alignment vertical="center"/>
    </xf>
    <xf numFmtId="0" fontId="37" fillId="15" borderId="0" xfId="0" applyFont="1" applyFill="1" applyAlignment="1">
      <alignment vertical="center"/>
    </xf>
    <xf numFmtId="0" fontId="38" fillId="15" borderId="0" xfId="0" applyFont="1" applyFill="1" applyAlignment="1">
      <alignment vertical="center"/>
    </xf>
    <xf numFmtId="0" fontId="38" fillId="0" borderId="0" xfId="0" applyFont="1" applyAlignment="1">
      <alignment vertical="center"/>
    </xf>
    <xf numFmtId="0" fontId="37" fillId="33" borderId="0" xfId="0" applyFont="1" applyFill="1" applyAlignment="1">
      <alignment vertical="center"/>
    </xf>
    <xf numFmtId="0" fontId="38" fillId="33" borderId="0" xfId="0" applyFont="1" applyFill="1" applyAlignment="1">
      <alignment vertical="center"/>
    </xf>
    <xf numFmtId="0" fontId="37" fillId="35" borderId="0" xfId="0" applyFont="1" applyFill="1" applyAlignment="1">
      <alignment vertical="center"/>
    </xf>
    <xf numFmtId="0" fontId="38" fillId="35" borderId="0" xfId="0" applyFont="1" applyFill="1" applyAlignment="1">
      <alignment vertical="center"/>
    </xf>
    <xf numFmtId="0" fontId="38" fillId="0" borderId="0" xfId="0" applyFont="1" applyAlignment="1">
      <alignment horizontal="center" vertical="center"/>
    </xf>
    <xf numFmtId="0" fontId="25" fillId="2" borderId="0" xfId="2" applyFont="1" applyFill="1" applyAlignment="1">
      <alignment vertical="center"/>
    </xf>
    <xf numFmtId="0" fontId="0" fillId="36" borderId="0" xfId="0" applyFill="1" applyAlignment="1">
      <alignment vertical="center"/>
    </xf>
    <xf numFmtId="0" fontId="10" fillId="25" borderId="0" xfId="0" applyFont="1" applyFill="1" applyAlignment="1">
      <alignment horizontal="center"/>
    </xf>
    <xf numFmtId="0" fontId="0" fillId="30" borderId="0" xfId="0" applyFill="1" applyAlignment="1">
      <alignment vertical="center"/>
    </xf>
    <xf numFmtId="0" fontId="0" fillId="0" borderId="0" xfId="0" applyAlignment="1">
      <alignment vertical="center"/>
    </xf>
    <xf numFmtId="0" fontId="47" fillId="38" borderId="0" xfId="0" applyFont="1" applyFill="1"/>
    <xf numFmtId="1" fontId="0" fillId="15" borderId="0" xfId="0" applyNumberFormat="1" applyFill="1" applyAlignment="1">
      <alignment horizontal="center"/>
    </xf>
    <xf numFmtId="1" fontId="45" fillId="12" borderId="0" xfId="0" applyNumberFormat="1" applyFont="1" applyFill="1" applyAlignment="1">
      <alignment horizontal="center"/>
    </xf>
    <xf numFmtId="0" fontId="48" fillId="38" borderId="0" xfId="0" applyFont="1" applyFill="1"/>
    <xf numFmtId="0" fontId="0" fillId="15" borderId="0" xfId="0" applyFill="1" applyAlignment="1">
      <alignment vertical="center"/>
    </xf>
    <xf numFmtId="0" fontId="33" fillId="15" borderId="0" xfId="0" applyFont="1" applyFill="1"/>
    <xf numFmtId="0" fontId="61" fillId="46" borderId="30" xfId="3" applyFont="1" applyFill="1" applyBorder="1"/>
    <xf numFmtId="0" fontId="62" fillId="46" borderId="30" xfId="3" applyFont="1" applyFill="1" applyBorder="1"/>
    <xf numFmtId="0" fontId="61" fillId="46" borderId="0" xfId="3" applyFont="1" applyFill="1"/>
    <xf numFmtId="0" fontId="61" fillId="46" borderId="30" xfId="0" applyFont="1" applyFill="1" applyBorder="1"/>
    <xf numFmtId="0" fontId="34" fillId="2" borderId="0" xfId="2" applyFont="1" applyFill="1"/>
    <xf numFmtId="0" fontId="34" fillId="2" borderId="0" xfId="2" applyFont="1" applyFill="1" applyAlignment="1">
      <alignment vertical="center"/>
    </xf>
    <xf numFmtId="0" fontId="0" fillId="47" borderId="0" xfId="0" applyFill="1"/>
    <xf numFmtId="0" fontId="61" fillId="48" borderId="30" xfId="0" applyFont="1" applyFill="1" applyBorder="1"/>
    <xf numFmtId="0" fontId="62" fillId="48" borderId="30" xfId="0" applyFont="1" applyFill="1" applyBorder="1"/>
    <xf numFmtId="1" fontId="11" fillId="12" borderId="0" xfId="0" applyNumberFormat="1" applyFont="1" applyFill="1" applyAlignment="1">
      <alignment horizontal="center"/>
    </xf>
    <xf numFmtId="0" fontId="61" fillId="53" borderId="30" xfId="0" applyFont="1" applyFill="1" applyBorder="1"/>
    <xf numFmtId="0" fontId="61" fillId="50" borderId="2" xfId="0" applyFont="1" applyFill="1" applyBorder="1"/>
    <xf numFmtId="0" fontId="62" fillId="50" borderId="2" xfId="0" applyFont="1" applyFill="1" applyBorder="1"/>
    <xf numFmtId="0" fontId="63" fillId="50" borderId="2" xfId="0" applyFont="1" applyFill="1" applyBorder="1"/>
    <xf numFmtId="0" fontId="0" fillId="56" borderId="0" xfId="0" applyFill="1"/>
    <xf numFmtId="0" fontId="0" fillId="57" borderId="0" xfId="0" applyFill="1"/>
    <xf numFmtId="0" fontId="63" fillId="0" borderId="2" xfId="0" applyFont="1" applyBorder="1"/>
    <xf numFmtId="0" fontId="62" fillId="62" borderId="2" xfId="0" applyFont="1" applyFill="1" applyBorder="1"/>
    <xf numFmtId="0" fontId="9" fillId="2" borderId="0" xfId="2" applyFill="1" applyAlignment="1">
      <alignment horizontal="right" vertical="center"/>
    </xf>
    <xf numFmtId="0" fontId="63" fillId="60" borderId="2" xfId="0" applyFont="1" applyFill="1" applyBorder="1"/>
    <xf numFmtId="0" fontId="62" fillId="49" borderId="2" xfId="0" applyFont="1" applyFill="1" applyBorder="1"/>
    <xf numFmtId="0" fontId="63" fillId="66" borderId="2" xfId="0" applyFont="1" applyFill="1" applyBorder="1"/>
    <xf numFmtId="0" fontId="71" fillId="68" borderId="0" xfId="0" applyFont="1" applyFill="1"/>
    <xf numFmtId="0" fontId="71" fillId="0" borderId="0" xfId="0" applyFont="1"/>
    <xf numFmtId="0" fontId="63" fillId="69" borderId="2" xfId="0" applyFont="1" applyFill="1" applyBorder="1"/>
    <xf numFmtId="0" fontId="69" fillId="0" borderId="0" xfId="0" applyFont="1"/>
    <xf numFmtId="0" fontId="69" fillId="57" borderId="0" xfId="0" applyFont="1" applyFill="1"/>
    <xf numFmtId="0" fontId="61" fillId="49" borderId="30" xfId="0" applyFont="1" applyFill="1" applyBorder="1"/>
    <xf numFmtId="0" fontId="61" fillId="56" borderId="30" xfId="0" applyFont="1" applyFill="1" applyBorder="1"/>
    <xf numFmtId="0" fontId="61" fillId="65" borderId="30" xfId="0" applyFont="1" applyFill="1" applyBorder="1"/>
    <xf numFmtId="0" fontId="62" fillId="49" borderId="30" xfId="0" applyFont="1" applyFill="1" applyBorder="1"/>
    <xf numFmtId="1" fontId="0" fillId="64" borderId="0" xfId="0" applyNumberFormat="1" applyFill="1" applyAlignment="1">
      <alignment horizontal="center"/>
    </xf>
    <xf numFmtId="0" fontId="62" fillId="46" borderId="30" xfId="0" applyFont="1" applyFill="1" applyBorder="1"/>
    <xf numFmtId="0" fontId="68" fillId="0" borderId="0" xfId="0" applyFont="1"/>
    <xf numFmtId="0" fontId="68" fillId="57" borderId="0" xfId="0" applyFont="1" applyFill="1"/>
    <xf numFmtId="0" fontId="67" fillId="0" borderId="0" xfId="0" applyFont="1"/>
    <xf numFmtId="0" fontId="0" fillId="0" borderId="37" xfId="0" applyBorder="1"/>
    <xf numFmtId="0" fontId="0" fillId="0" borderId="38" xfId="0" applyBorder="1"/>
    <xf numFmtId="0" fontId="0" fillId="0" borderId="7" xfId="0" applyBorder="1"/>
    <xf numFmtId="0" fontId="0" fillId="77" borderId="0" xfId="0" applyFill="1"/>
    <xf numFmtId="0" fontId="0" fillId="78" borderId="0" xfId="0" applyFill="1"/>
    <xf numFmtId="176" fontId="76" fillId="78" borderId="0" xfId="0" applyNumberFormat="1" applyFont="1" applyFill="1"/>
    <xf numFmtId="1" fontId="0" fillId="45" borderId="0" xfId="0" applyNumberFormat="1" applyFill="1"/>
    <xf numFmtId="1" fontId="0" fillId="77" borderId="0" xfId="0" applyNumberFormat="1" applyFill="1"/>
    <xf numFmtId="1" fontId="0" fillId="45" borderId="9" xfId="0" applyNumberFormat="1" applyFill="1" applyBorder="1"/>
    <xf numFmtId="176" fontId="0" fillId="78" borderId="0" xfId="0" applyNumberFormat="1" applyFill="1"/>
    <xf numFmtId="0" fontId="61" fillId="0" borderId="30" xfId="0" applyFont="1" applyBorder="1"/>
    <xf numFmtId="0" fontId="0" fillId="0" borderId="14" xfId="0" applyBorder="1"/>
    <xf numFmtId="0" fontId="0" fillId="77" borderId="15" xfId="0" applyFill="1" applyBorder="1"/>
    <xf numFmtId="0" fontId="0" fillId="0" borderId="15" xfId="0" applyBorder="1"/>
    <xf numFmtId="0" fontId="0" fillId="78" borderId="15" xfId="0" applyFill="1" applyBorder="1"/>
    <xf numFmtId="176" fontId="0" fillId="78" borderId="15" xfId="0" applyNumberFormat="1" applyFill="1" applyBorder="1"/>
    <xf numFmtId="1" fontId="0" fillId="45" borderId="15" xfId="0" applyNumberFormat="1" applyFill="1" applyBorder="1"/>
    <xf numFmtId="1" fontId="0" fillId="77" borderId="15" xfId="0" applyNumberFormat="1" applyFill="1" applyBorder="1"/>
    <xf numFmtId="1" fontId="0" fillId="45" borderId="16" xfId="0" applyNumberFormat="1" applyFill="1" applyBorder="1"/>
    <xf numFmtId="1" fontId="11" fillId="0" borderId="0" xfId="0" applyNumberFormat="1" applyFont="1"/>
    <xf numFmtId="0" fontId="0" fillId="0" borderId="0" xfId="0" quotePrefix="1"/>
    <xf numFmtId="0" fontId="61" fillId="0" borderId="40" xfId="0" applyFont="1" applyBorder="1"/>
    <xf numFmtId="0" fontId="37" fillId="0" borderId="0" xfId="0" applyFont="1" applyAlignment="1">
      <alignment horizontal="left"/>
    </xf>
    <xf numFmtId="1" fontId="0" fillId="0" borderId="2" xfId="0" applyNumberFormat="1" applyBorder="1" applyAlignment="1">
      <alignment horizont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11" fillId="7" borderId="2" xfId="0" applyFont="1" applyFill="1" applyBorder="1" applyAlignment="1">
      <alignment horizontal="right"/>
    </xf>
    <xf numFmtId="0" fontId="59" fillId="0" borderId="23" xfId="0" applyFont="1" applyBorder="1" applyAlignment="1">
      <alignment horizontal="center"/>
    </xf>
    <xf numFmtId="0" fontId="55" fillId="43" borderId="29" xfId="0" applyFont="1" applyFill="1" applyBorder="1" applyAlignment="1">
      <alignment horizontal="center" vertical="center" wrapText="1" readingOrder="1"/>
    </xf>
    <xf numFmtId="0" fontId="56" fillId="0" borderId="28" xfId="0" applyFont="1" applyBorder="1" applyAlignment="1">
      <alignment horizontal="left" vertical="top" wrapText="1"/>
    </xf>
    <xf numFmtId="0" fontId="58" fillId="20" borderId="0" xfId="0" applyFont="1" applyFill="1" applyAlignment="1">
      <alignment horizontal="center"/>
    </xf>
    <xf numFmtId="0" fontId="49" fillId="16" borderId="2" xfId="0" applyFont="1" applyFill="1" applyBorder="1" applyAlignment="1">
      <alignment horizontal="center"/>
    </xf>
    <xf numFmtId="0" fontId="0" fillId="0" borderId="10" xfId="0" applyBorder="1" applyAlignment="1">
      <alignment horizontal="center"/>
    </xf>
    <xf numFmtId="0" fontId="51" fillId="16" borderId="2" xfId="0" applyFont="1" applyFill="1" applyBorder="1" applyAlignment="1">
      <alignment horizontal="center"/>
    </xf>
    <xf numFmtId="0" fontId="53" fillId="0" borderId="28" xfId="0" applyFont="1" applyBorder="1" applyAlignment="1">
      <alignment horizontal="left"/>
    </xf>
    <xf numFmtId="0" fontId="0" fillId="0" borderId="2" xfId="0" applyBorder="1" applyAlignment="1">
      <alignment horizontal="center"/>
    </xf>
    <xf numFmtId="0" fontId="52" fillId="0" borderId="28" xfId="0" applyFont="1" applyBorder="1" applyAlignment="1">
      <alignment horizontal="left" wrapText="1"/>
    </xf>
    <xf numFmtId="0" fontId="52"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7">
    <dxf>
      <fill>
        <patternFill>
          <bgColor theme="9" tint="0.39994506668294322"/>
        </patternFill>
      </fill>
    </dxf>
    <dxf>
      <fill>
        <patternFill>
          <bgColor theme="9" tint="0.39994506668294322"/>
        </patternFill>
      </fill>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0" formatCode="0.0000"/>
      <fill>
        <patternFill>
          <bgColor rgb="FFFF8989"/>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66FFFF"/>
      <color rgb="FFFF8989"/>
      <color rgb="FFDEDCE6"/>
      <color rgb="FFCBA9E5"/>
      <color rgb="FFE0C2CD"/>
      <color rgb="FFCCFFCC"/>
      <color rgb="FF8439BD"/>
      <color rgb="FFA7F7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161925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6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6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6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6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6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6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3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106" dataCellStyle="Normal 5"/>
    <tableColumn id="4" xr3:uid="{E3799C3A-4B31-4D4E-8397-EE7909C117C2}" uniqueName="4" name="MET" queryTableFieldId="4" dataDxfId="105" dataCellStyle="Normal 5"/>
    <tableColumn id="5" xr3:uid="{DE120A99-B5F2-4B1A-A22E-A9BEEE9C55B0}" uniqueName="5" name="cmd" queryTableFieldId="5" dataDxfId="104" dataCellStyle="Normal 5"/>
    <tableColumn id="6" xr3:uid="{19AF7F27-0D9D-4BCE-A533-94878B619783}" uniqueName="6" name="arg" queryTableFieldId="6" dataDxfId="103" dataCellStyle="Normal 5"/>
    <tableColumn id="14" xr3:uid="{662EB3B0-32F5-402D-80A6-61D3564CADAD}" uniqueName="14" name="a" queryTableFieldId="14" dataDxfId="102" dataCellStyle="Normal 5"/>
    <tableColumn id="1" xr3:uid="{7CF75EA0-B63F-443B-B61A-2AE13C55F8DA}" uniqueName="1" name="MET→UTC" queryTableFieldId="68" dataDxfId="101" dataCellStyle="Normal 5">
      <calculatedColumnFormula array="1">MID(met2utc(PEPSSI_Commanding[[#This Row],[MET]]),3,15)</calculatedColumnFormula>
    </tableColumn>
    <tableColumn id="15" xr3:uid="{9C5328F3-FA02-47D1-83DC-B1DBCA9D89BA}" uniqueName="15" name="cmd+arg" queryTableFieldId="15" dataDxfId="100" dataCellStyle="Normal 5">
      <calculatedColumnFormula>_xlfn.TEXTJOIN("+",TRUE,$C14:$D14)</calculatedColumnFormula>
    </tableColumn>
    <tableColumn id="16" xr3:uid="{F4B97D7B-76B9-472C-BE55-DDF523C91B54}" uniqueName="16" name="Segment_x000a_MET Start" queryTableFieldId="16" dataDxfId="99" dataCellStyle="Normal 5">
      <calculatedColumnFormula>IF($C14="ON",$B14,IF(RIGHT($H13,9)="MET Start","",IF(AND($K14&lt;&gt;0,$K13=1),$B14,$H13)))</calculatedColumnFormula>
    </tableColumn>
    <tableColumn id="17" xr3:uid="{75D7A893-75C0-4A6D-8B25-0B595F60D7D7}" uniqueName="17" name="Segment_x000a_MET End" queryTableFieldId="17" dataDxfId="98" dataCellStyle="Normal 5">
      <calculatedColumnFormula>IF($C14="OFF",$B14,IF($B15="",$B14+31500000,IF($K14=1,$B15,I15)))</calculatedColumnFormula>
    </tableColumn>
    <tableColumn id="18" xr3:uid="{FE7FC58F-1F68-4601-9509-6833A5279466}" uniqueName="18" name="Offset_x000a_fr ON" queryTableFieldId="18" dataDxfId="97" dataCellStyle="Normal 5">
      <calculatedColumnFormula>IF($G14="ON",0,IF(OR(J13="",LEFT(J13,6)="Offset"),"",J13+1))</calculatedColumnFormula>
    </tableColumn>
    <tableColumn id="19" xr3:uid="{2E9987EA-D81C-4D54-957D-0506DB032AC5}" uniqueName="19" name="Offset_x000a_to End" queryTableFieldId="19" dataDxfId="96" dataCellStyle="Normal 5">
      <calculatedColumnFormula>IF($G14="OFF",0,IF(AND($J15&lt;&gt;0,$J14&lt;&gt;9,$G15&lt;&gt;"MAC+111",($B15-$B14)&lt;7200),K15+1,1))</calculatedColumnFormula>
    </tableColumn>
    <tableColumn id="20" xr3:uid="{462F98F8-6248-4D4E-8AD2-6EC7109B2E52}" uniqueName="20" name="b" queryTableFieldId="20" dataDxfId="95" dataCellStyle="Normal 5"/>
    <tableColumn id="21" xr3:uid="{0FBD6B38-B1E1-4E9C-81A5-CA14B2F9084A}" uniqueName="21" name="N1" queryTableFieldId="21" dataDxfId="94" dataCellStyle="Normal 5">
      <calculatedColumnFormula>IF($C14="ON","",IF($C14="N1",$D14,IF(M13="N1","",M13)))</calculatedColumnFormula>
    </tableColumn>
    <tableColumn id="22" xr3:uid="{A5045F8C-7AE0-4763-BBC4-A4CC8954069F}" uniqueName="22" name="N2" queryTableFieldId="22" dataDxfId="93" dataCellStyle="Normal 5">
      <calculatedColumnFormula>IF($C14="ON","",IF($C14="N2",$D14,IF($G14="MAC+103",3,IF($G14="MAC+104",2,IF(N13="N2","",N13)))))</calculatedColumnFormula>
    </tableColumn>
    <tableColumn id="23" xr3:uid="{9B014DB1-4E67-4325-A7FF-B51BB73C144C}" uniqueName="23" name="N3" queryTableFieldId="23" dataDxfId="92" dataCellStyle="Normal 5">
      <calculatedColumnFormula>IF($C14="ON","",IF($C14="N3",$D14,IF(O13="N3","",O13)))</calculatedColumnFormula>
    </tableColumn>
    <tableColumn id="24" xr3:uid="{5660ED6E-B39C-41E9-9202-1674D6671C41}" uniqueName="24" name="STAT" queryTableFieldId="24" dataDxfId="91" dataCellStyle="Normal 5">
      <calculatedColumnFormula>IF($C14="ON","",IF($C14="STAT",$D14,IF(P13="STAT","",P13)))</calculatedColumnFormula>
    </tableColumn>
    <tableColumn id="25" xr3:uid="{12FF0207-469E-4F94-A1F8-EBA478DE17D3}" uniqueName="25" name="N2 disabled" queryTableFieldId="25" dataDxfId="90"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89"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88" dataCellStyle="Normal 5">
      <calculatedColumnFormula>IF($C14="ON","",IF($G14="MAC+102","102",IF(RIGHT(S13,1)="?","",S13)))</calculatedColumnFormula>
    </tableColumn>
    <tableColumn id="28" xr3:uid="{EBBF58EA-A53F-4BBA-A5D0-7897A48C89F7}" uniqueName="28" name="c" queryTableFieldId="28" dataDxfId="87" dataCellStyle="Normal 5"/>
    <tableColumn id="29" xr3:uid="{3369BB1D-534B-4412-A3BF-FEC6F2C8BBA1}" uniqueName="29" name="TrgAssess_x000a_bit/s" queryTableFieldId="29" dataDxfId="86" dataCellStyle="Normal 5">
      <calculatedColumnFormula>IF($N14="",0,U$1/64/$N14)</calculatedColumnFormula>
    </tableColumn>
    <tableColumn id="30" xr3:uid="{55B18AA0-1F9B-467A-B1E9-BA2EE8619FDC}" uniqueName="30" name="BRD_x000a_bit/s" queryTableFieldId="30" dataDxfId="85" dataCellStyle="Normal 5">
      <calculatedColumnFormula>IF($N14="",0,V$1/64/$N14)</calculatedColumnFormula>
    </tableColumn>
    <tableColumn id="31" xr3:uid="{090EFE20-88EA-4674-BD37-BEF6B463F4DB}" uniqueName="31" name="STAT_x000a_bit/s" queryTableFieldId="31" dataDxfId="84" dataCellStyle="Normal 5">
      <calculatedColumnFormula>IF($P14="",0,W$1/$P14)</calculatedColumnFormula>
    </tableColumn>
    <tableColumn id="32" xr3:uid="{B18EAE2A-70E1-4898-A71B-5A3C36BF4EE0}" uniqueName="32" name="N1_x000a_bit/s" queryTableFieldId="32" dataDxfId="83" dataCellStyle="Normal 5">
      <calculatedColumnFormula>IF($M14="",0,X$1/$M14)</calculatedColumnFormula>
    </tableColumn>
    <tableColumn id="33" xr3:uid="{E4838A52-964A-4DE1-B5E0-0AE42E730F68}" uniqueName="33" name="N2_x000a_bit/s" queryTableFieldId="33" dataDxfId="82" dataCellStyle="Normal 5">
      <calculatedColumnFormula>IF(OR($N14="",$Q14&lt;&gt;""),0,Y$1/$N14)</calculatedColumnFormula>
    </tableColumn>
    <tableColumn id="34" xr3:uid="{FB6527D2-6F60-4531-AE7F-873F0C6AB8D6}" uniqueName="34" name="N2_x000a_bit/s2" queryTableFieldId="34" dataDxfId="81" dataCellStyle="Normal 5">
      <calculatedColumnFormula>IF($N14="",0,IF($R14="",1,R14/43200)*Y14)</calculatedColumnFormula>
    </tableColumn>
    <tableColumn id="35" xr3:uid="{9E653D53-4500-4832-A022-C911049DBBA5}" uniqueName="35" name="N3_x000a_bit/s" queryTableFieldId="35" dataDxfId="80" dataCellStyle="Normal 5">
      <calculatedColumnFormula>IF($O14="",0,AA$1/$O14)</calculatedColumnFormula>
    </tableColumn>
    <tableColumn id="36" xr3:uid="{8ED16EFB-45C9-4EDA-AF99-AA59788EFFC4}" uniqueName="36" name="d" queryTableFieldId="36" dataDxfId="79" dataCellStyle="Normal 5"/>
    <tableColumn id="37" xr3:uid="{84B53164-2455-4095-84F3-40F1C7BB6A8F}" uniqueName="37" name="DT1" queryTableFieldId="37" dataDxfId="7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7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7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7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7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6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6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6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6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5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5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5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E103"/>
  <sheetViews>
    <sheetView tabSelected="1" topLeftCell="A49" workbookViewId="0">
      <selection activeCell="B70" sqref="B70"/>
    </sheetView>
  </sheetViews>
  <sheetFormatPr defaultRowHeight="15"/>
  <cols>
    <col min="2" max="2" width="4.28515625" customWidth="1"/>
    <col min="3" max="3" width="4" customWidth="1"/>
    <col min="4" max="4" width="3" customWidth="1"/>
  </cols>
  <sheetData>
    <row r="1" spans="1:3" s="416" customFormat="1">
      <c r="A1" s="415"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8391</v>
      </c>
    </row>
    <row r="17" spans="2:3">
      <c r="B17" t="s">
        <v>8394</v>
      </c>
    </row>
    <row r="18" spans="2:3">
      <c r="B18" s="17" t="s">
        <v>4386</v>
      </c>
      <c r="C18" t="s">
        <v>8392</v>
      </c>
    </row>
    <row r="19" spans="2:3">
      <c r="B19" s="17" t="s">
        <v>4386</v>
      </c>
      <c r="C19" t="s">
        <v>8395</v>
      </c>
    </row>
    <row r="20" spans="2:3">
      <c r="B20" s="17" t="s">
        <v>4386</v>
      </c>
      <c r="C20" t="s">
        <v>8396</v>
      </c>
    </row>
    <row r="21" spans="2:3">
      <c r="B21" s="17" t="s">
        <v>4386</v>
      </c>
      <c r="C21" t="s">
        <v>8397</v>
      </c>
    </row>
    <row r="22" spans="2:3">
      <c r="B22" s="17" t="s">
        <v>4386</v>
      </c>
      <c r="C22" t="s">
        <v>8393</v>
      </c>
    </row>
    <row r="24" spans="2:3">
      <c r="B24" t="s">
        <v>8398</v>
      </c>
    </row>
    <row r="26" spans="2:3">
      <c r="B26" t="s">
        <v>8400</v>
      </c>
    </row>
    <row r="28" spans="2:3">
      <c r="B28" t="s">
        <v>8399</v>
      </c>
    </row>
    <row r="30" spans="2:3">
      <c r="B30" t="s">
        <v>8434</v>
      </c>
    </row>
    <row r="32" spans="2:3">
      <c r="B32" t="s">
        <v>8435</v>
      </c>
    </row>
    <row r="34" spans="2:3">
      <c r="B34" t="s">
        <v>8436</v>
      </c>
    </row>
    <row r="36" spans="2:3">
      <c r="B36" t="s">
        <v>8494</v>
      </c>
    </row>
    <row r="38" spans="2:3">
      <c r="B38" t="s">
        <v>8501</v>
      </c>
    </row>
    <row r="39" spans="2:3">
      <c r="B39" s="17" t="s">
        <v>4386</v>
      </c>
      <c r="C39" t="s">
        <v>8505</v>
      </c>
    </row>
    <row r="40" spans="2:3">
      <c r="B40" s="17" t="s">
        <v>4386</v>
      </c>
      <c r="C40" t="s">
        <v>8502</v>
      </c>
    </row>
    <row r="41" spans="2:3">
      <c r="B41" s="17" t="s">
        <v>4386</v>
      </c>
      <c r="C41" t="s">
        <v>8503</v>
      </c>
    </row>
    <row r="43" spans="2:3">
      <c r="B43" t="s">
        <v>8506</v>
      </c>
    </row>
    <row r="45" spans="2:3">
      <c r="B45" t="s">
        <v>8508</v>
      </c>
    </row>
    <row r="47" spans="2:3">
      <c r="B47" t="s">
        <v>8511</v>
      </c>
    </row>
    <row r="49" spans="2:3">
      <c r="B49" t="s">
        <v>8512</v>
      </c>
    </row>
    <row r="51" spans="2:3">
      <c r="B51" t="s">
        <v>8517</v>
      </c>
    </row>
    <row r="52" spans="2:3">
      <c r="B52" s="17" t="s">
        <v>4386</v>
      </c>
      <c r="C52" t="s">
        <v>8516</v>
      </c>
    </row>
    <row r="53" spans="2:3">
      <c r="B53" s="17" t="s">
        <v>4386</v>
      </c>
      <c r="C53" t="s">
        <v>8514</v>
      </c>
    </row>
    <row r="54" spans="2:3">
      <c r="B54" s="17" t="s">
        <v>4386</v>
      </c>
      <c r="C54" t="s">
        <v>8513</v>
      </c>
    </row>
    <row r="55" spans="2:3">
      <c r="B55" s="17" t="s">
        <v>4386</v>
      </c>
      <c r="C55" t="s">
        <v>8515</v>
      </c>
    </row>
    <row r="57" spans="2:3">
      <c r="B57" t="s">
        <v>8524</v>
      </c>
    </row>
    <row r="58" spans="2:3">
      <c r="B58" s="17" t="s">
        <v>4386</v>
      </c>
      <c r="C58" t="s">
        <v>8525</v>
      </c>
    </row>
    <row r="59" spans="2:3">
      <c r="B59" s="17" t="s">
        <v>4386</v>
      </c>
      <c r="C59" t="s">
        <v>8526</v>
      </c>
    </row>
    <row r="60" spans="2:3">
      <c r="B60" s="17" t="s">
        <v>4386</v>
      </c>
      <c r="C60" t="s">
        <v>8527</v>
      </c>
    </row>
    <row r="61" spans="2:3">
      <c r="B61" s="17" t="s">
        <v>4386</v>
      </c>
    </row>
    <row r="63" spans="2:3">
      <c r="B63" t="s">
        <v>8528</v>
      </c>
    </row>
    <row r="64" spans="2:3">
      <c r="B64" s="17" t="s">
        <v>4386</v>
      </c>
      <c r="C64" t="s">
        <v>8530</v>
      </c>
    </row>
    <row r="65" spans="1:5">
      <c r="B65" s="17" t="s">
        <v>4386</v>
      </c>
      <c r="C65" t="s">
        <v>8529</v>
      </c>
    </row>
    <row r="67" spans="1:5">
      <c r="B67" t="s">
        <v>8573</v>
      </c>
    </row>
    <row r="69" spans="1:5">
      <c r="B69" t="s">
        <v>8574</v>
      </c>
    </row>
    <row r="70" spans="1:5">
      <c r="B70" s="17"/>
    </row>
    <row r="72" spans="1:5" s="416" customFormat="1">
      <c r="A72" s="415" t="s">
        <v>4397</v>
      </c>
    </row>
    <row r="73" spans="1:5">
      <c r="A73" s="412"/>
    </row>
    <row r="74" spans="1:5">
      <c r="B74" s="527" t="s">
        <v>8532</v>
      </c>
      <c r="C74" s="527"/>
      <c r="D74" s="527"/>
      <c r="E74" s="527"/>
    </row>
    <row r="75" spans="1:5">
      <c r="B75" s="17" t="s">
        <v>4386</v>
      </c>
      <c r="C75" t="s">
        <v>8535</v>
      </c>
    </row>
    <row r="76" spans="1:5">
      <c r="B76" s="17" t="s">
        <v>4386</v>
      </c>
      <c r="C76" s="526" t="s">
        <v>4398</v>
      </c>
    </row>
    <row r="77" spans="1:5">
      <c r="B77" s="17" t="s">
        <v>4386</v>
      </c>
      <c r="C77" s="526" t="s">
        <v>4406</v>
      </c>
    </row>
    <row r="78" spans="1:5">
      <c r="B78" s="17" t="s">
        <v>4386</v>
      </c>
      <c r="C78" s="526" t="s">
        <v>4407</v>
      </c>
    </row>
    <row r="79" spans="1:5">
      <c r="B79" s="17"/>
    </row>
    <row r="80" spans="1:5">
      <c r="B80" t="s">
        <v>8537</v>
      </c>
    </row>
    <row r="81" spans="2:5">
      <c r="B81" s="17" t="s">
        <v>4386</v>
      </c>
      <c r="C81" t="s">
        <v>8542</v>
      </c>
    </row>
    <row r="82" spans="2:5">
      <c r="B82" s="17" t="s">
        <v>4386</v>
      </c>
      <c r="C82" t="s">
        <v>8536</v>
      </c>
    </row>
    <row r="83" spans="2:5">
      <c r="B83" s="17" t="s">
        <v>4386</v>
      </c>
      <c r="C83" t="s">
        <v>8531</v>
      </c>
    </row>
    <row r="84" spans="2:5">
      <c r="B84" s="17" t="s">
        <v>4386</v>
      </c>
      <c r="C84" s="93" t="s">
        <v>4399</v>
      </c>
    </row>
    <row r="85" spans="2:5">
      <c r="B85" s="17"/>
      <c r="C85" s="17" t="s">
        <v>4386</v>
      </c>
      <c r="D85" t="s">
        <v>4404</v>
      </c>
    </row>
    <row r="86" spans="2:5">
      <c r="D86" s="17" t="s">
        <v>4386</v>
      </c>
      <c r="E86" t="s">
        <v>4401</v>
      </c>
    </row>
    <row r="87" spans="2:5">
      <c r="D87" s="17" t="s">
        <v>4386</v>
      </c>
      <c r="E87" t="s">
        <v>8533</v>
      </c>
    </row>
    <row r="88" spans="2:5">
      <c r="D88" s="17" t="s">
        <v>4386</v>
      </c>
      <c r="E88" t="s">
        <v>8543</v>
      </c>
    </row>
    <row r="89" spans="2:5">
      <c r="D89" s="17" t="s">
        <v>4386</v>
      </c>
      <c r="E89" t="s">
        <v>4402</v>
      </c>
    </row>
    <row r="90" spans="2:5">
      <c r="D90" s="17" t="s">
        <v>4386</v>
      </c>
      <c r="E90" t="s">
        <v>4403</v>
      </c>
    </row>
    <row r="91" spans="2:5">
      <c r="C91" s="17" t="s">
        <v>4386</v>
      </c>
      <c r="D91" t="s">
        <v>4400</v>
      </c>
    </row>
    <row r="93" spans="2:5">
      <c r="B93" t="s">
        <v>8534</v>
      </c>
    </row>
    <row r="94" spans="2:5">
      <c r="B94" s="17" t="s">
        <v>4386</v>
      </c>
      <c r="C94" t="s">
        <v>4405</v>
      </c>
    </row>
    <row r="96" spans="2:5">
      <c r="B96" t="s">
        <v>8538</v>
      </c>
    </row>
    <row r="97" spans="1:3">
      <c r="B97" s="17" t="s">
        <v>4386</v>
      </c>
      <c r="C97" t="s">
        <v>8539</v>
      </c>
    </row>
    <row r="98" spans="1:3">
      <c r="B98" s="17" t="s">
        <v>8540</v>
      </c>
      <c r="C98" t="s">
        <v>8541</v>
      </c>
    </row>
    <row r="100" spans="1:3" s="416" customFormat="1">
      <c r="A100" s="415" t="s">
        <v>4396</v>
      </c>
    </row>
    <row r="101" spans="1:3">
      <c r="A101" s="412"/>
    </row>
    <row r="102" spans="1:3">
      <c r="B102" t="s">
        <v>4409</v>
      </c>
    </row>
    <row r="103" spans="1:3">
      <c r="B103" t="s">
        <v>4408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14" activePane="bottomRight" state="frozen"/>
      <selection pane="topRight" activeCell="F1" sqref="F1"/>
      <selection pane="bottomLeft" activeCell="A14" sqref="A14"/>
      <selection pane="bottomRight" activeCell="Y17" sqref="Y17"/>
    </sheetView>
  </sheetViews>
  <sheetFormatPr defaultRowHeight="15"/>
  <cols>
    <col min="1" max="1" width="33.140625" style="465" bestFit="1" customWidth="1"/>
    <col min="2" max="2" width="11.7109375" style="483" bestFit="1" customWidth="1"/>
    <col min="3" max="3" width="6.28515625" style="462" bestFit="1" customWidth="1"/>
    <col min="4" max="4" width="5.85546875" style="462" bestFit="1" customWidth="1"/>
    <col min="5" max="5" width="2.28515625" style="464" bestFit="1" customWidth="1"/>
    <col min="6" max="6" width="13.85546875" style="491" bestFit="1" customWidth="1"/>
    <col min="7" max="7" width="12.140625" style="462" bestFit="1" customWidth="1"/>
    <col min="8" max="9" width="11.7109375" style="462" bestFit="1" customWidth="1"/>
    <col min="10" max="11" width="6.5703125" style="462" bestFit="1" customWidth="1"/>
    <col min="12" max="12" width="2.28515625" style="464" bestFit="1" customWidth="1"/>
    <col min="13" max="13" width="5.85546875" style="462" bestFit="1" customWidth="1"/>
    <col min="14" max="14" width="4.7109375" style="462" bestFit="1" customWidth="1"/>
    <col min="15" max="16" width="5.85546875" style="462" bestFit="1" customWidth="1"/>
    <col min="17" max="17" width="11.42578125" style="462" bestFit="1" customWidth="1"/>
    <col min="18" max="18" width="7.85546875" style="462" bestFit="1" customWidth="1"/>
    <col min="19" max="19" width="7.28515625" style="462" bestFit="1" customWidth="1"/>
    <col min="20" max="20" width="2.28515625" style="464" bestFit="1" customWidth="1"/>
    <col min="21" max="21" width="9.5703125" style="462" bestFit="1" customWidth="1"/>
    <col min="22" max="22" width="11" style="462" bestFit="1" customWidth="1"/>
    <col min="23" max="26" width="11.28515625" style="462" bestFit="1" customWidth="1"/>
    <col min="27" max="27" width="10" style="462" bestFit="1" customWidth="1"/>
    <col min="28" max="28" width="2.140625" style="463" bestFit="1" customWidth="1"/>
    <col min="29" max="29" width="11.28515625" style="462" bestFit="1" customWidth="1"/>
    <col min="30" max="30" width="10" style="462" bestFit="1" customWidth="1"/>
    <col min="31" max="34" width="11.28515625" style="462" bestFit="1" customWidth="1"/>
    <col min="35" max="35" width="11.7109375" style="462" customWidth="1"/>
    <col min="36" max="36" width="8.85546875" style="462" bestFit="1" customWidth="1"/>
    <col min="37" max="37" width="11.28515625" style="462" bestFit="1" customWidth="1"/>
    <col min="38" max="38" width="10" style="462" bestFit="1" customWidth="1"/>
    <col min="39" max="39" width="11.7109375" style="462" bestFit="1" customWidth="1"/>
    <col min="40" max="40" width="11.28515625" style="462" bestFit="1" customWidth="1"/>
    <col min="41" max="41" width="11.7109375" style="462" bestFit="1" customWidth="1"/>
    <col min="42" max="59" width="11.28515625" style="462" bestFit="1" customWidth="1"/>
    <col min="60" max="80" width="9.140625" style="462"/>
    <col min="81" max="81" width="11.7109375" style="462" bestFit="1" customWidth="1"/>
    <col min="82" max="16384" width="9.140625" style="462"/>
  </cols>
  <sheetData>
    <row r="1" spans="1:59" s="490" customFormat="1">
      <c r="A1" s="492"/>
      <c r="B1" s="483"/>
      <c r="E1" s="464"/>
      <c r="F1" s="491"/>
      <c r="G1" s="491"/>
      <c r="H1" s="466"/>
      <c r="I1" s="466"/>
      <c r="J1" s="491"/>
      <c r="K1" s="491"/>
      <c r="L1" s="464"/>
      <c r="Q1" s="492"/>
      <c r="S1" s="491"/>
      <c r="T1" s="529" t="s">
        <v>8545</v>
      </c>
      <c r="U1" s="490">
        <v>564</v>
      </c>
      <c r="V1" s="490">
        <v>2340</v>
      </c>
      <c r="W1" s="490">
        <v>512</v>
      </c>
      <c r="X1" s="490">
        <v>1988</v>
      </c>
      <c r="Y1" s="490">
        <v>1330</v>
      </c>
      <c r="Z1" s="490">
        <f>Y1</f>
        <v>1330</v>
      </c>
      <c r="AA1" s="490">
        <v>19908</v>
      </c>
      <c r="AB1" s="463"/>
    </row>
    <row r="2" spans="1:59">
      <c r="A2" s="465" t="s">
        <v>8493</v>
      </c>
      <c r="B2" s="497" t="s">
        <v>8492</v>
      </c>
      <c r="C2" s="489"/>
      <c r="D2" s="489"/>
      <c r="E2" s="488"/>
      <c r="F2" s="487"/>
      <c r="G2" s="486"/>
      <c r="H2" s="466"/>
      <c r="I2" s="466"/>
      <c r="J2" s="465"/>
      <c r="K2" s="465"/>
      <c r="Q2" s="467"/>
      <c r="S2" s="465"/>
      <c r="T2" s="529" t="s">
        <v>8544</v>
      </c>
      <c r="U2" s="490">
        <v>526</v>
      </c>
      <c r="V2" s="490">
        <v>2087</v>
      </c>
      <c r="W2" s="490">
        <v>512</v>
      </c>
      <c r="X2" s="490">
        <v>1988</v>
      </c>
      <c r="Y2" s="490">
        <v>1266</v>
      </c>
      <c r="Z2" s="490">
        <f>Y2</f>
        <v>1266</v>
      </c>
      <c r="AA2" s="490">
        <v>18176</v>
      </c>
    </row>
    <row r="3" spans="1:59">
      <c r="A3" s="4"/>
      <c r="B3" s="493" t="s">
        <v>8495</v>
      </c>
      <c r="I3" s="466"/>
      <c r="J3" s="465"/>
      <c r="K3" s="465"/>
      <c r="Q3" s="467"/>
      <c r="S3" s="465"/>
      <c r="U3" s="485"/>
      <c r="V3" s="485"/>
      <c r="AA3" s="465" t="s">
        <v>766</v>
      </c>
      <c r="AB3" s="463" t="s">
        <v>8430</v>
      </c>
      <c r="AR3" s="465" t="str">
        <f t="shared" ref="AR3:BG3" si="0">$AA3</f>
        <v>HSK3</v>
      </c>
      <c r="AS3" s="465" t="str">
        <f t="shared" si="0"/>
        <v>HSK3</v>
      </c>
      <c r="AT3" s="465" t="str">
        <f t="shared" si="0"/>
        <v>HSK3</v>
      </c>
      <c r="AU3" s="465" t="str">
        <f t="shared" si="0"/>
        <v>HSK3</v>
      </c>
      <c r="AV3" s="465" t="str">
        <f t="shared" si="0"/>
        <v>HSK3</v>
      </c>
      <c r="AW3" s="465" t="str">
        <f t="shared" si="0"/>
        <v>HSK3</v>
      </c>
      <c r="AX3" s="465" t="str">
        <f t="shared" si="0"/>
        <v>HSK3</v>
      </c>
      <c r="AY3" s="465" t="str">
        <f t="shared" si="0"/>
        <v>HSK3</v>
      </c>
      <c r="AZ3" s="465" t="str">
        <f t="shared" si="0"/>
        <v>HSK3</v>
      </c>
      <c r="BA3" s="465" t="str">
        <f t="shared" si="0"/>
        <v>HSK3</v>
      </c>
      <c r="BB3" s="465" t="str">
        <f t="shared" si="0"/>
        <v>HSK3</v>
      </c>
      <c r="BC3" s="465" t="str">
        <f t="shared" si="0"/>
        <v>HSK3</v>
      </c>
      <c r="BD3" s="465" t="str">
        <f t="shared" si="0"/>
        <v>HSK3</v>
      </c>
      <c r="BE3" s="465" t="str">
        <f t="shared" si="0"/>
        <v>HSK3</v>
      </c>
      <c r="BF3" s="465" t="str">
        <f t="shared" si="0"/>
        <v>HSK3</v>
      </c>
      <c r="BG3" s="465" t="str">
        <f t="shared" si="0"/>
        <v>HSK3</v>
      </c>
    </row>
    <row r="4" spans="1:59">
      <c r="A4" s="3" t="s">
        <v>8498</v>
      </c>
      <c r="B4" s="5" t="s">
        <v>8438</v>
      </c>
      <c r="I4" s="466"/>
      <c r="J4" s="465"/>
      <c r="K4" s="465"/>
      <c r="Q4" s="467"/>
      <c r="S4" s="465"/>
      <c r="U4" s="485"/>
      <c r="V4" s="485"/>
      <c r="AA4" s="465" t="s">
        <v>769</v>
      </c>
      <c r="AB4" s="463" t="s">
        <v>8430</v>
      </c>
      <c r="AC4" s="465"/>
      <c r="AJ4" s="465" t="str">
        <f t="shared" ref="AJ4:AQ4" si="1">$AA4</f>
        <v>DT4</v>
      </c>
      <c r="AK4" s="465" t="str">
        <f t="shared" si="1"/>
        <v>DT4</v>
      </c>
      <c r="AL4" s="465" t="str">
        <f t="shared" si="1"/>
        <v>DT4</v>
      </c>
      <c r="AM4" s="465" t="str">
        <f t="shared" si="1"/>
        <v>DT4</v>
      </c>
      <c r="AN4" s="465" t="str">
        <f t="shared" si="1"/>
        <v>DT4</v>
      </c>
      <c r="AO4" s="465" t="str">
        <f t="shared" si="1"/>
        <v>DT4</v>
      </c>
      <c r="AP4" s="465" t="str">
        <f t="shared" si="1"/>
        <v>DT4</v>
      </c>
      <c r="AQ4" s="465" t="str">
        <f t="shared" si="1"/>
        <v>DT4</v>
      </c>
      <c r="AS4" s="465"/>
      <c r="AZ4" s="465" t="str">
        <f t="shared" ref="AZ4:BG4" si="2">$AA4</f>
        <v>DT4</v>
      </c>
      <c r="BA4" s="465" t="str">
        <f t="shared" si="2"/>
        <v>DT4</v>
      </c>
      <c r="BB4" s="465" t="str">
        <f t="shared" si="2"/>
        <v>DT4</v>
      </c>
      <c r="BC4" s="465" t="str">
        <f t="shared" si="2"/>
        <v>DT4</v>
      </c>
      <c r="BD4" s="465" t="str">
        <f t="shared" si="2"/>
        <v>DT4</v>
      </c>
      <c r="BE4" s="465" t="str">
        <f t="shared" si="2"/>
        <v>DT4</v>
      </c>
      <c r="BF4" s="465" t="str">
        <f t="shared" si="2"/>
        <v>DT4</v>
      </c>
      <c r="BG4" s="465" t="str">
        <f t="shared" si="2"/>
        <v>DT4</v>
      </c>
    </row>
    <row r="5" spans="1:59">
      <c r="A5" s="3" t="s">
        <v>8509</v>
      </c>
      <c r="B5" s="5" t="s">
        <v>8439</v>
      </c>
      <c r="G5" s="465"/>
      <c r="H5" s="466"/>
      <c r="I5" s="466"/>
      <c r="J5" s="465"/>
      <c r="K5" s="465"/>
      <c r="Q5" s="467"/>
      <c r="S5" s="465"/>
      <c r="U5" s="485"/>
      <c r="V5" s="485"/>
      <c r="AA5" s="465" t="s">
        <v>768</v>
      </c>
      <c r="AB5" s="463" t="s">
        <v>8430</v>
      </c>
      <c r="AC5" s="465"/>
      <c r="AF5" s="465" t="str">
        <f>$AA5</f>
        <v>DT3</v>
      </c>
      <c r="AG5" s="465" t="str">
        <f>$AA5</f>
        <v>DT3</v>
      </c>
      <c r="AH5" s="465" t="str">
        <f>$AA5</f>
        <v>DT3</v>
      </c>
      <c r="AI5" s="465" t="str">
        <f>$AA5</f>
        <v>DT3</v>
      </c>
      <c r="AK5" s="465"/>
      <c r="AN5" s="465" t="str">
        <f>$AA5</f>
        <v>DT3</v>
      </c>
      <c r="AO5" s="465" t="str">
        <f>$AA5</f>
        <v>DT3</v>
      </c>
      <c r="AP5" s="465" t="str">
        <f>$AA5</f>
        <v>DT3</v>
      </c>
      <c r="AQ5" s="465" t="str">
        <f>$AA5</f>
        <v>DT3</v>
      </c>
      <c r="AS5" s="465"/>
      <c r="AV5" s="465" t="str">
        <f>$AA5</f>
        <v>DT3</v>
      </c>
      <c r="AW5" s="465" t="str">
        <f>$AA5</f>
        <v>DT3</v>
      </c>
      <c r="AX5" s="465" t="str">
        <f>$AA5</f>
        <v>DT3</v>
      </c>
      <c r="AY5" s="465" t="str">
        <f>$AA5</f>
        <v>DT3</v>
      </c>
      <c r="BA5" s="465"/>
      <c r="BD5" s="465" t="str">
        <f>$AA5</f>
        <v>DT3</v>
      </c>
      <c r="BE5" s="465" t="str">
        <f>$AA5</f>
        <v>DT3</v>
      </c>
      <c r="BF5" s="465" t="str">
        <f>$AA5</f>
        <v>DT3</v>
      </c>
      <c r="BG5" s="465" t="str">
        <f>$AA5</f>
        <v>DT3</v>
      </c>
    </row>
    <row r="6" spans="1:59">
      <c r="A6" s="467"/>
      <c r="G6" s="465"/>
      <c r="H6" s="466"/>
      <c r="I6" s="466"/>
      <c r="J6" s="465"/>
      <c r="K6" s="465"/>
      <c r="Q6" s="467"/>
      <c r="S6" s="465"/>
      <c r="U6" s="485"/>
      <c r="V6" s="485"/>
      <c r="AA6" s="465" t="s">
        <v>765</v>
      </c>
      <c r="AB6" s="463" t="s">
        <v>8430</v>
      </c>
      <c r="AC6" s="465"/>
      <c r="AD6" s="465" t="str">
        <f>$AA6</f>
        <v>DT2</v>
      </c>
      <c r="AE6" s="465" t="str">
        <f>$AA6</f>
        <v>DT2</v>
      </c>
      <c r="AG6" s="465"/>
      <c r="AH6" s="465" t="str">
        <f>$AA6</f>
        <v>DT2</v>
      </c>
      <c r="AI6" s="465" t="str">
        <f>$AA6</f>
        <v>DT2</v>
      </c>
      <c r="AK6" s="465"/>
      <c r="AL6" s="465" t="str">
        <f>$AA6</f>
        <v>DT2</v>
      </c>
      <c r="AM6" s="465" t="str">
        <f>$AA6</f>
        <v>DT2</v>
      </c>
      <c r="AO6" s="465"/>
      <c r="AP6" s="465" t="str">
        <f>$AA6</f>
        <v>DT2</v>
      </c>
      <c r="AQ6" s="465" t="str">
        <f>$AA6</f>
        <v>DT2</v>
      </c>
      <c r="AS6" s="465"/>
      <c r="AT6" s="465" t="str">
        <f>$AA6</f>
        <v>DT2</v>
      </c>
      <c r="AU6" s="465" t="str">
        <f>$AA6</f>
        <v>DT2</v>
      </c>
      <c r="AW6" s="465"/>
      <c r="AX6" s="465" t="str">
        <f>$AA6</f>
        <v>DT2</v>
      </c>
      <c r="AY6" s="465" t="str">
        <f>$AA6</f>
        <v>DT2</v>
      </c>
      <c r="BA6" s="465"/>
      <c r="BB6" s="465" t="str">
        <f>$AA6</f>
        <v>DT2</v>
      </c>
      <c r="BC6" s="465" t="str">
        <f>$AA6</f>
        <v>DT2</v>
      </c>
      <c r="BE6" s="465"/>
      <c r="BF6" s="465" t="str">
        <f>$AA6</f>
        <v>DT2</v>
      </c>
      <c r="BG6" s="465" t="str">
        <f>$AA6</f>
        <v>DT2</v>
      </c>
    </row>
    <row r="7" spans="1:59">
      <c r="A7" s="504"/>
      <c r="B7" s="500"/>
      <c r="G7" s="465"/>
      <c r="H7" s="466"/>
      <c r="I7" s="466"/>
      <c r="J7" s="465"/>
      <c r="K7" s="465"/>
      <c r="Q7" s="467"/>
      <c r="S7" s="465"/>
      <c r="U7" s="485"/>
      <c r="V7" s="485"/>
      <c r="AA7" s="465" t="s">
        <v>764</v>
      </c>
      <c r="AB7" s="463" t="s">
        <v>8430</v>
      </c>
      <c r="AC7" s="465" t="str">
        <f>$AA7</f>
        <v>DT1</v>
      </c>
      <c r="AE7" s="465" t="str">
        <f>$AA7</f>
        <v>DT1</v>
      </c>
      <c r="AG7" s="465" t="str">
        <f>$AA7</f>
        <v>DT1</v>
      </c>
      <c r="AI7" s="465" t="str">
        <f>$AA7</f>
        <v>DT1</v>
      </c>
      <c r="AK7" s="465" t="str">
        <f>$AA7</f>
        <v>DT1</v>
      </c>
      <c r="AM7" s="465" t="str">
        <f>$AA7</f>
        <v>DT1</v>
      </c>
      <c r="AO7" s="465" t="str">
        <f>$AA7</f>
        <v>DT1</v>
      </c>
      <c r="AQ7" s="465" t="str">
        <f>$AA7</f>
        <v>DT1</v>
      </c>
      <c r="AS7" s="465" t="str">
        <f>$AA7</f>
        <v>DT1</v>
      </c>
      <c r="AU7" s="465" t="str">
        <f>$AA7</f>
        <v>DT1</v>
      </c>
      <c r="AW7" s="465" t="str">
        <f>$AA7</f>
        <v>DT1</v>
      </c>
      <c r="AY7" s="465" t="str">
        <f>$AA7</f>
        <v>DT1</v>
      </c>
      <c r="BA7" s="465" t="str">
        <f>$AA7</f>
        <v>DT1</v>
      </c>
      <c r="BC7" s="465" t="str">
        <f>$AA7</f>
        <v>DT1</v>
      </c>
      <c r="BE7" s="465" t="str">
        <f>$AA7</f>
        <v>DT1</v>
      </c>
      <c r="BG7" s="465" t="str">
        <f>$AA7</f>
        <v>DT1</v>
      </c>
    </row>
    <row r="8" spans="1:59">
      <c r="A8" s="501"/>
      <c r="G8" s="465"/>
      <c r="H8" s="466"/>
      <c r="I8" s="466"/>
      <c r="J8" s="465"/>
      <c r="K8" s="465"/>
      <c r="Q8" s="467"/>
      <c r="S8" s="465"/>
      <c r="U8" s="485"/>
      <c r="V8" s="485"/>
      <c r="AA8" s="465" t="s">
        <v>8431</v>
      </c>
      <c r="AB8" s="463" t="s">
        <v>8430</v>
      </c>
      <c r="AC8" s="462">
        <f t="shared" ref="AC8:BG8" si="3">IF(AC7="",0,1)+IF(AC6="",0,2)+IF(AC5="",0,4)+IF(AC4="",0,8)+IF(AC3="",0,16)</f>
        <v>1</v>
      </c>
      <c r="AD8" s="462">
        <f t="shared" si="3"/>
        <v>2</v>
      </c>
      <c r="AE8" s="462">
        <f t="shared" si="3"/>
        <v>3</v>
      </c>
      <c r="AF8" s="462">
        <f t="shared" si="3"/>
        <v>4</v>
      </c>
      <c r="AG8" s="462">
        <f t="shared" si="3"/>
        <v>5</v>
      </c>
      <c r="AH8" s="462">
        <f t="shared" si="3"/>
        <v>6</v>
      </c>
      <c r="AI8" s="462">
        <f t="shared" si="3"/>
        <v>7</v>
      </c>
      <c r="AJ8" s="462">
        <f t="shared" si="3"/>
        <v>8</v>
      </c>
      <c r="AK8" s="462">
        <f t="shared" si="3"/>
        <v>9</v>
      </c>
      <c r="AL8" s="462">
        <f t="shared" si="3"/>
        <v>10</v>
      </c>
      <c r="AM8" s="462">
        <f t="shared" si="3"/>
        <v>11</v>
      </c>
      <c r="AN8" s="462">
        <f t="shared" si="3"/>
        <v>12</v>
      </c>
      <c r="AO8" s="462">
        <f t="shared" si="3"/>
        <v>13</v>
      </c>
      <c r="AP8" s="462">
        <f t="shared" si="3"/>
        <v>14</v>
      </c>
      <c r="AQ8" s="462">
        <f t="shared" si="3"/>
        <v>15</v>
      </c>
      <c r="AR8" s="462">
        <f t="shared" si="3"/>
        <v>16</v>
      </c>
      <c r="AS8" s="462">
        <f t="shared" si="3"/>
        <v>17</v>
      </c>
      <c r="AT8" s="462">
        <f t="shared" si="3"/>
        <v>18</v>
      </c>
      <c r="AU8" s="462">
        <f t="shared" si="3"/>
        <v>19</v>
      </c>
      <c r="AV8" s="462">
        <f t="shared" si="3"/>
        <v>20</v>
      </c>
      <c r="AW8" s="462">
        <f t="shared" si="3"/>
        <v>21</v>
      </c>
      <c r="AX8" s="462">
        <f t="shared" si="3"/>
        <v>22</v>
      </c>
      <c r="AY8" s="462">
        <f t="shared" si="3"/>
        <v>23</v>
      </c>
      <c r="AZ8" s="462">
        <f t="shared" si="3"/>
        <v>24</v>
      </c>
      <c r="BA8" s="462">
        <f t="shared" si="3"/>
        <v>25</v>
      </c>
      <c r="BB8" s="462">
        <f t="shared" si="3"/>
        <v>26</v>
      </c>
      <c r="BC8" s="462">
        <f t="shared" si="3"/>
        <v>27</v>
      </c>
      <c r="BD8" s="462">
        <f t="shared" si="3"/>
        <v>28</v>
      </c>
      <c r="BE8" s="462">
        <f t="shared" si="3"/>
        <v>29</v>
      </c>
      <c r="BF8" s="462">
        <f t="shared" si="3"/>
        <v>30</v>
      </c>
      <c r="BG8" s="462">
        <f t="shared" si="3"/>
        <v>31</v>
      </c>
    </row>
    <row r="9" spans="1:59">
      <c r="A9" s="467"/>
      <c r="G9" s="465"/>
      <c r="H9" s="466"/>
      <c r="I9" s="466"/>
      <c r="J9" s="465"/>
      <c r="K9" s="465"/>
      <c r="Q9" s="467"/>
      <c r="S9" s="465"/>
      <c r="U9" s="485"/>
      <c r="V9" s="485"/>
    </row>
    <row r="10" spans="1:59">
      <c r="A10" s="467"/>
      <c r="G10" s="465"/>
      <c r="H10" s="466"/>
      <c r="I10" s="466"/>
      <c r="J10" s="465"/>
      <c r="K10" s="465"/>
      <c r="Q10" s="467"/>
      <c r="S10" s="465"/>
      <c r="U10" s="485"/>
      <c r="V10" s="485"/>
    </row>
    <row r="11" spans="1:59">
      <c r="A11" s="467"/>
      <c r="G11" s="465"/>
      <c r="H11" s="466"/>
      <c r="I11" s="466"/>
      <c r="J11" s="465"/>
      <c r="K11" s="465"/>
      <c r="Q11" s="467"/>
      <c r="S11" s="465"/>
      <c r="U11" s="484" t="s">
        <v>8412</v>
      </c>
      <c r="V11" s="484" t="s">
        <v>8413</v>
      </c>
      <c r="W11" s="467" t="s">
        <v>8414</v>
      </c>
      <c r="X11" s="467" t="s">
        <v>8415</v>
      </c>
      <c r="Y11" s="467"/>
      <c r="Z11" s="467" t="s">
        <v>8416</v>
      </c>
      <c r="AA11" s="467" t="s">
        <v>8417</v>
      </c>
    </row>
    <row r="12" spans="1:59">
      <c r="A12" s="467"/>
      <c r="G12" s="465"/>
      <c r="H12" s="466"/>
      <c r="I12" s="466"/>
      <c r="J12" s="465"/>
      <c r="K12" s="465"/>
      <c r="M12" s="494" t="s">
        <v>8496</v>
      </c>
      <c r="N12" s="494" t="s">
        <v>8496</v>
      </c>
      <c r="O12" s="494" t="s">
        <v>8496</v>
      </c>
      <c r="P12" s="494" t="s">
        <v>8496</v>
      </c>
      <c r="Q12" s="467"/>
      <c r="R12" s="505" t="s">
        <v>8497</v>
      </c>
      <c r="S12" s="467" t="s">
        <v>8411</v>
      </c>
      <c r="U12" s="481" t="s">
        <v>8408</v>
      </c>
      <c r="V12" s="481" t="s">
        <v>8408</v>
      </c>
      <c r="W12" s="481" t="s">
        <v>8408</v>
      </c>
      <c r="X12" s="481" t="s">
        <v>8408</v>
      </c>
      <c r="Y12" s="482" t="s">
        <v>8407</v>
      </c>
      <c r="Z12" s="481" t="s">
        <v>8408</v>
      </c>
      <c r="AA12" s="481" t="s">
        <v>8408</v>
      </c>
      <c r="AC12" s="480" t="str">
        <f t="shared" ref="AC12:BG12" si="4">IF(OR(AC$8=1,AC$8=2,AC$8=4,AC$8=8,AC$8=16),"Single","")</f>
        <v>Single</v>
      </c>
      <c r="AD12" s="479" t="str">
        <f t="shared" si="4"/>
        <v>Single</v>
      </c>
      <c r="AE12" s="479" t="str">
        <f t="shared" si="4"/>
        <v/>
      </c>
      <c r="AF12" s="479" t="str">
        <f t="shared" si="4"/>
        <v>Single</v>
      </c>
      <c r="AG12" s="479" t="str">
        <f t="shared" si="4"/>
        <v/>
      </c>
      <c r="AH12" s="479" t="str">
        <f t="shared" si="4"/>
        <v/>
      </c>
      <c r="AI12" s="479" t="str">
        <f t="shared" si="4"/>
        <v/>
      </c>
      <c r="AJ12" s="479" t="str">
        <f t="shared" si="4"/>
        <v>Single</v>
      </c>
      <c r="AK12" s="479" t="str">
        <f t="shared" si="4"/>
        <v/>
      </c>
      <c r="AL12" s="479" t="str">
        <f t="shared" si="4"/>
        <v/>
      </c>
      <c r="AM12" s="479" t="str">
        <f t="shared" si="4"/>
        <v/>
      </c>
      <c r="AN12" s="479" t="str">
        <f t="shared" si="4"/>
        <v/>
      </c>
      <c r="AO12" s="479" t="str">
        <f t="shared" si="4"/>
        <v/>
      </c>
      <c r="AP12" s="479" t="str">
        <f t="shared" si="4"/>
        <v/>
      </c>
      <c r="AQ12" s="479" t="str">
        <f t="shared" si="4"/>
        <v/>
      </c>
      <c r="AR12" s="479" t="str">
        <f t="shared" si="4"/>
        <v>Single</v>
      </c>
      <c r="AS12" s="479" t="str">
        <f t="shared" si="4"/>
        <v/>
      </c>
      <c r="AT12" s="479" t="str">
        <f t="shared" si="4"/>
        <v/>
      </c>
      <c r="AU12" s="479" t="str">
        <f t="shared" si="4"/>
        <v/>
      </c>
      <c r="AV12" s="479" t="str">
        <f t="shared" si="4"/>
        <v/>
      </c>
      <c r="AW12" s="479" t="str">
        <f t="shared" si="4"/>
        <v/>
      </c>
      <c r="AX12" s="479" t="str">
        <f t="shared" si="4"/>
        <v/>
      </c>
      <c r="AY12" s="479" t="str">
        <f t="shared" si="4"/>
        <v/>
      </c>
      <c r="AZ12" s="479" t="str">
        <f t="shared" si="4"/>
        <v/>
      </c>
      <c r="BA12" s="479" t="str">
        <f t="shared" si="4"/>
        <v/>
      </c>
      <c r="BB12" s="479" t="str">
        <f t="shared" si="4"/>
        <v/>
      </c>
      <c r="BC12" s="479" t="str">
        <f t="shared" si="4"/>
        <v/>
      </c>
      <c r="BD12" s="479" t="str">
        <f t="shared" si="4"/>
        <v/>
      </c>
      <c r="BE12" s="479" t="str">
        <f t="shared" si="4"/>
        <v/>
      </c>
      <c r="BF12" s="479" t="str">
        <f t="shared" si="4"/>
        <v/>
      </c>
      <c r="BG12" s="478" t="str">
        <f t="shared" si="4"/>
        <v/>
      </c>
    </row>
    <row r="13" spans="1:59" s="468" customFormat="1" ht="30">
      <c r="A13" s="465" t="s">
        <v>8491</v>
      </c>
      <c r="B13" s="483" t="s">
        <v>8401</v>
      </c>
      <c r="C13" s="462" t="s">
        <v>8402</v>
      </c>
      <c r="D13" s="462" t="s">
        <v>8406</v>
      </c>
      <c r="E13" s="464" t="s">
        <v>33</v>
      </c>
      <c r="F13" s="503" t="s">
        <v>8510</v>
      </c>
      <c r="G13" s="477" t="s">
        <v>8432</v>
      </c>
      <c r="H13" s="476" t="s">
        <v>8504</v>
      </c>
      <c r="I13" s="475" t="s">
        <v>8507</v>
      </c>
      <c r="J13" s="468" t="s">
        <v>8499</v>
      </c>
      <c r="K13" s="498" t="s">
        <v>8500</v>
      </c>
      <c r="L13" s="464" t="s">
        <v>34</v>
      </c>
      <c r="M13" s="468" t="s">
        <v>12</v>
      </c>
      <c r="N13" s="468" t="s">
        <v>776</v>
      </c>
      <c r="O13" s="468" t="s">
        <v>773</v>
      </c>
      <c r="P13" s="468" t="s">
        <v>8403</v>
      </c>
      <c r="Q13" s="468" t="s">
        <v>8428</v>
      </c>
      <c r="R13" s="468" t="s">
        <v>8425</v>
      </c>
      <c r="S13" s="468" t="s">
        <v>8426</v>
      </c>
      <c r="T13" s="464" t="s">
        <v>8490</v>
      </c>
      <c r="U13" s="474" t="s">
        <v>8424</v>
      </c>
      <c r="V13" s="474" t="s">
        <v>8419</v>
      </c>
      <c r="W13" s="472" t="s">
        <v>8420</v>
      </c>
      <c r="X13" s="472" t="s">
        <v>8421</v>
      </c>
      <c r="Y13" s="473" t="s">
        <v>8422</v>
      </c>
      <c r="Z13" s="472" t="s">
        <v>8489</v>
      </c>
      <c r="AA13" s="472" t="s">
        <v>8423</v>
      </c>
      <c r="AB13" s="463" t="s">
        <v>8488</v>
      </c>
      <c r="AC13" s="471" t="s">
        <v>764</v>
      </c>
      <c r="AD13" s="470" t="s">
        <v>765</v>
      </c>
      <c r="AE13" s="470" t="s">
        <v>8487</v>
      </c>
      <c r="AF13" s="470" t="s">
        <v>768</v>
      </c>
      <c r="AG13" s="470" t="s">
        <v>8486</v>
      </c>
      <c r="AH13" s="470" t="s">
        <v>8485</v>
      </c>
      <c r="AI13" s="470" t="s">
        <v>8484</v>
      </c>
      <c r="AJ13" s="470" t="s">
        <v>769</v>
      </c>
      <c r="AK13" s="470" t="s">
        <v>8483</v>
      </c>
      <c r="AL13" s="470" t="s">
        <v>8482</v>
      </c>
      <c r="AM13" s="470" t="s">
        <v>8481</v>
      </c>
      <c r="AN13" s="470" t="s">
        <v>8480</v>
      </c>
      <c r="AO13" s="470" t="s">
        <v>8479</v>
      </c>
      <c r="AP13" s="470" t="s">
        <v>8478</v>
      </c>
      <c r="AQ13" s="470" t="s">
        <v>8477</v>
      </c>
      <c r="AR13" s="470" t="s">
        <v>766</v>
      </c>
      <c r="AS13" s="470" t="s">
        <v>8476</v>
      </c>
      <c r="AT13" s="470" t="s">
        <v>8475</v>
      </c>
      <c r="AU13" s="470" t="s">
        <v>8474</v>
      </c>
      <c r="AV13" s="470" t="s">
        <v>8473</v>
      </c>
      <c r="AW13" s="470" t="s">
        <v>8472</v>
      </c>
      <c r="AX13" s="470" t="s">
        <v>8471</v>
      </c>
      <c r="AY13" s="470" t="s">
        <v>8470</v>
      </c>
      <c r="AZ13" s="470" t="s">
        <v>8469</v>
      </c>
      <c r="BA13" s="470" t="s">
        <v>8468</v>
      </c>
      <c r="BB13" s="470" t="s">
        <v>8467</v>
      </c>
      <c r="BC13" s="470" t="s">
        <v>8466</v>
      </c>
      <c r="BD13" s="470" t="s">
        <v>8465</v>
      </c>
      <c r="BE13" s="470" t="s">
        <v>8464</v>
      </c>
      <c r="BF13" s="470" t="s">
        <v>8463</v>
      </c>
      <c r="BG13" s="469" t="s">
        <v>8462</v>
      </c>
    </row>
    <row r="14" spans="1:59">
      <c r="A14" s="465" t="s">
        <v>8441</v>
      </c>
      <c r="B14" s="483">
        <v>556768386</v>
      </c>
      <c r="C14" s="506" t="s">
        <v>8461</v>
      </c>
      <c r="F14" s="491" t="str" cm="1">
        <f t="array" aca="1" ref="F14" ca="1">MID(met2utc(PEPSSI_Commanding[[#This Row],[MET]]),3,15)</f>
        <v>23-254/20:01:10</v>
      </c>
      <c r="G14" s="465" t="str">
        <f t="shared" ref="G14:G45" si="5">_xlfn.TEXTJOIN("+",TRUE,$C14:$D14)</f>
        <v>OFF</v>
      </c>
      <c r="H14" s="466" t="str">
        <f t="shared" ref="H14:H45" si="6">IF($C14="ON",$B14,IF(RIGHT($H13,9)="MET Start","",IF(AND($K14&lt;&gt;0,$K13=1),$B14,$H13)))</f>
        <v/>
      </c>
      <c r="I14" s="466">
        <f t="shared" ref="I14:I45" si="7">IF($C14="OFF",$B14,IF($B15="",$B14+31500000,IF($K14=1,$B15,I15)))</f>
        <v>556768386</v>
      </c>
      <c r="J14" s="465" t="str">
        <f t="shared" ref="J14:J45" si="8">IF($G14="ON",0,IF(OR(J13="",LEFT(J13,6)="Offset"),"",J13+1))</f>
        <v/>
      </c>
      <c r="K14" s="465">
        <f t="shared" ref="K14:K45" si="9">IF($G14="OFF",0,IF(AND($J15&lt;&gt;0,$J14&lt;&gt;9,$G15&lt;&gt;"MAC+111",($B15-$B14)&lt;7200),K15+1,1))</f>
        <v>0</v>
      </c>
      <c r="M14" s="462" t="str">
        <f t="shared" ref="M14:M45" si="10">IF($C14="ON","",IF($C14="N1",$D14,IF(M13="N1","",M13)))</f>
        <v/>
      </c>
      <c r="N14" s="462" t="str">
        <f t="shared" ref="N14:N45" si="11">IF($C14="ON","",IF($C14="N2",$D14,IF($G14="MAC+103",3,IF($G14="MAC+104",2,IF(N13="N2","",N13)))))</f>
        <v/>
      </c>
      <c r="O14" s="462" t="str">
        <f t="shared" ref="O14:O45" si="12">IF($C14="ON","",IF($C14="N3",$D14,IF(O13="N3","",O13)))</f>
        <v/>
      </c>
      <c r="P14" s="462" t="str">
        <f t="shared" ref="P14:P45" si="13">IF($C14="ON","",IF($C14="STAT",$D14,IF(P13="STAT","",P13)))</f>
        <v/>
      </c>
      <c r="Q14" s="462" t="str">
        <f t="shared" ref="Q14:Q45" si="14">IF($C14="ON","",IF(AND($C14="MAC",105&lt;=$D14,$D14&lt;=110),"",IF(AND($C14="MAC",103&lt;=$D14,$D14&lt;=104),"disabled",IF(Q13="N2 disabled","",Q13))))</f>
        <v/>
      </c>
      <c r="R14" s="462" t="str">
        <f t="shared" ref="R14:R45" si="15">IF(OR($G14="ON",$G14="MAC+111"),"",IF($G14="MAC+105",300,IF($G14="MAC+106",600,IF($G14="MAC+107",840,IF($G14="MAC+108",1200,IF($G14="MAC+109",1800,IF($G14="MAC+110",43200,IF(LEFT(R13,4)="105-","",R13))))))))</f>
        <v/>
      </c>
      <c r="S14" s="462" t="str">
        <f t="shared" ref="S14:S45" si="16">IF($C14="ON","",IF($G14="MAC+102","102",IF(RIGHT(S13,1)="?","",S13)))</f>
        <v/>
      </c>
      <c r="U14" s="495">
        <f t="shared" ref="U14:U45" si="17">IF($N14="",0,U$1/64/$N14)</f>
        <v>0</v>
      </c>
      <c r="V14" s="495">
        <f t="shared" ref="V14:V45" si="18">IF($N14="",0,V$1/64/$N14)</f>
        <v>0</v>
      </c>
      <c r="W14" s="495">
        <f t="shared" ref="W14:W45" si="19">IF($P14="",0,W$1/$P14)</f>
        <v>0</v>
      </c>
      <c r="X14" s="495">
        <f t="shared" ref="X14:X45" si="20">IF($M14="",0,X$1/$M14)</f>
        <v>0</v>
      </c>
      <c r="Y14" s="495">
        <f t="shared" ref="Y14:Y45" si="21">IF(OR($N14="",$Q14&lt;&gt;""),0,Y$1/$N14)</f>
        <v>0</v>
      </c>
      <c r="Z14" s="495">
        <f t="shared" ref="Z14:Z45" si="22">IF($N14="",0,IF($R14="",1,R14/43200)*Y14)</f>
        <v>0</v>
      </c>
      <c r="AA14" s="495">
        <f t="shared" ref="AA14:AA45" si="23">IF($O14="",0,AA$1/$O14)</f>
        <v>0</v>
      </c>
      <c r="AB14" s="496"/>
      <c r="AC14" s="495">
        <f t="shared" ref="AC14:AC45" si="24">IF(AC$3&lt;&gt;"",$W14,0)+IF(AC$4&lt;&gt;"",$U14,0)+IF(AC$5&lt;&gt;"",$Z14+IF($S14&lt;&gt;"102",$V14,0),0)+IF(AC$6&lt;&gt;"",$AA14+IF($S14="102",$V14,0),0)+IF(AC$7&lt;&gt;"",$X14,0)</f>
        <v>0</v>
      </c>
      <c r="AD14" s="495">
        <f t="shared" ref="AD14:AD45" si="25">IF(AD$3&lt;&gt;"",$W14,0)+IF(AD$4&lt;&gt;"",$U14,0)+IF(AD$5&lt;&gt;"",$Z14+IF($S14&lt;&gt;"102",$V14,0),0)+IF(AD$6&lt;&gt;"",$AA14+IF($S14="102",$V14,0),0)+IF(AD$7&lt;&gt;"",$X14,0)</f>
        <v>0</v>
      </c>
      <c r="AE14" s="495">
        <f t="shared" ref="AE14:AE45" si="26">IF(AE$3&lt;&gt;"",$W14,0)+IF(AE$4&lt;&gt;"",$U14,0)+IF(AE$5&lt;&gt;"",$Z14+IF($S14&lt;&gt;"102",$V14,0),0)+IF(AE$6&lt;&gt;"",$AA14+IF($S14="102",$V14,0),0)+IF(AE$7&lt;&gt;"",$X14,0)</f>
        <v>0</v>
      </c>
      <c r="AF14" s="495">
        <f t="shared" ref="AF14:AF45" si="27">IF(AF$3&lt;&gt;"",$W14,0)+IF(AF$4&lt;&gt;"",$U14,0)+IF(AF$5&lt;&gt;"",$Z14+IF($S14&lt;&gt;"102",$V14,0),0)+IF(AF$6&lt;&gt;"",$AA14+IF($S14="102",$V14,0),0)+IF(AF$7&lt;&gt;"",$X14,0)</f>
        <v>0</v>
      </c>
      <c r="AG14" s="495">
        <f t="shared" ref="AG14:AG45" si="28">IF(AG$3&lt;&gt;"",$W14,0)+IF(AG$4&lt;&gt;"",$U14,0)+IF(AG$5&lt;&gt;"",$Z14+IF($S14&lt;&gt;"102",$V14,0),0)+IF(AG$6&lt;&gt;"",$AA14+IF($S14="102",$V14,0),0)+IF(AG$7&lt;&gt;"",$X14,0)</f>
        <v>0</v>
      </c>
      <c r="AH14" s="495">
        <f t="shared" ref="AH14:AH45" si="29">IF(AH$3&lt;&gt;"",$W14,0)+IF(AH$4&lt;&gt;"",$U14,0)+IF(AH$5&lt;&gt;"",$Z14+IF($S14&lt;&gt;"102",$V14,0),0)+IF(AH$6&lt;&gt;"",$AA14+IF($S14="102",$V14,0),0)+IF(AH$7&lt;&gt;"",$X14,0)</f>
        <v>0</v>
      </c>
      <c r="AI14" s="495">
        <f t="shared" ref="AI14:AI45" si="30">IF(AI$3&lt;&gt;"",$W14,0)+IF(AI$4&lt;&gt;"",$U14,0)+IF(AI$5&lt;&gt;"",$Z14+IF($S14&lt;&gt;"102",$V14,0),0)+IF(AI$6&lt;&gt;"",$AA14+IF($S14="102",$V14,0),0)+IF(AI$7&lt;&gt;"",$X14,0)</f>
        <v>0</v>
      </c>
      <c r="AJ14" s="495">
        <f t="shared" ref="AJ14:AJ45" si="31">IF(AJ$3&lt;&gt;"",$W14,0)+IF(AJ$4&lt;&gt;"",$U14,0)+IF(AJ$5&lt;&gt;"",$Z14+IF($S14&lt;&gt;"102",$V14,0),0)+IF(AJ$6&lt;&gt;"",$AA14+IF($S14="102",$V14,0),0)+IF(AJ$7&lt;&gt;"",$X14,0)</f>
        <v>0</v>
      </c>
      <c r="AK14" s="495">
        <f t="shared" ref="AK14:AK45" si="32">IF(AK$3&lt;&gt;"",$W14,0)+IF(AK$4&lt;&gt;"",$U14,0)+IF(AK$5&lt;&gt;"",$Z14+IF($S14&lt;&gt;"102",$V14,0),0)+IF(AK$6&lt;&gt;"",$AA14+IF($S14="102",$V14,0),0)+IF(AK$7&lt;&gt;"",$X14,0)</f>
        <v>0</v>
      </c>
      <c r="AL14" s="495">
        <f t="shared" ref="AL14:AL45" si="33">IF(AL$3&lt;&gt;"",$W14,0)+IF(AL$4&lt;&gt;"",$U14,0)+IF(AL$5&lt;&gt;"",$Z14+IF($S14&lt;&gt;"102",$V14,0),0)+IF(AL$6&lt;&gt;"",$AA14+IF($S14="102",$V14,0),0)+IF(AL$7&lt;&gt;"",$X14,0)</f>
        <v>0</v>
      </c>
      <c r="AM14" s="495">
        <f t="shared" ref="AM14:AM45" si="34">IF(AM$3&lt;&gt;"",$W14,0)+IF(AM$4&lt;&gt;"",$U14,0)+IF(AM$5&lt;&gt;"",$Z14+IF($S14&lt;&gt;"102",$V14,0),0)+IF(AM$6&lt;&gt;"",$AA14+IF($S14="102",$V14,0),0)+IF(AM$7&lt;&gt;"",$X14,0)</f>
        <v>0</v>
      </c>
      <c r="AN14" s="495">
        <f t="shared" ref="AN14:AN45" si="35">IF(AN$3&lt;&gt;"",$W14,0)+IF(AN$4&lt;&gt;"",$U14,0)+IF(AN$5&lt;&gt;"",$Z14+IF($S14&lt;&gt;"102",$V14,0),0)+IF(AN$6&lt;&gt;"",$AA14+IF($S14="102",$V14,0),0)+IF(AN$7&lt;&gt;"",$X14,0)</f>
        <v>0</v>
      </c>
      <c r="AO14" s="495">
        <f t="shared" ref="AO14:AO45" si="36">IF(AO$3&lt;&gt;"",$W14,0)+IF(AO$4&lt;&gt;"",$U14,0)+IF(AO$5&lt;&gt;"",$Z14+IF($S14&lt;&gt;"102",$V14,0),0)+IF(AO$6&lt;&gt;"",$AA14+IF($S14="102",$V14,0),0)+IF(AO$7&lt;&gt;"",$X14,0)</f>
        <v>0</v>
      </c>
      <c r="AP14" s="495">
        <f t="shared" ref="AP14:AP45" si="37">IF(AP$3&lt;&gt;"",$W14,0)+IF(AP$4&lt;&gt;"",$U14,0)+IF(AP$5&lt;&gt;"",$Z14+IF($S14&lt;&gt;"102",$V14,0),0)+IF(AP$6&lt;&gt;"",$AA14+IF($S14="102",$V14,0),0)+IF(AP$7&lt;&gt;"",$X14,0)</f>
        <v>0</v>
      </c>
      <c r="AQ14" s="495">
        <f t="shared" ref="AQ14:AQ45" si="38">IF(AQ$3&lt;&gt;"",$W14,0)+IF(AQ$4&lt;&gt;"",$U14,0)+IF(AQ$5&lt;&gt;"",$Z14+IF($S14&lt;&gt;"102",$V14,0),0)+IF(AQ$6&lt;&gt;"",$AA14+IF($S14="102",$V14,0),0)+IF(AQ$7&lt;&gt;"",$X14,0)</f>
        <v>0</v>
      </c>
      <c r="AR14" s="495">
        <f t="shared" ref="AR14:AR45" si="39">IF(AR$3&lt;&gt;"",$W14,0)+IF(AR$4&lt;&gt;"",$U14,0)+IF(AR$5&lt;&gt;"",$Z14+IF($S14&lt;&gt;"102",$V14,0),0)+IF(AR$6&lt;&gt;"",$AA14+IF($S14="102",$V14,0),0)+IF(AR$7&lt;&gt;"",$X14,0)</f>
        <v>0</v>
      </c>
      <c r="AS14" s="495">
        <f t="shared" ref="AS14:AS45" si="40">IF(AS$3&lt;&gt;"",$W14,0)+IF(AS$4&lt;&gt;"",$U14,0)+IF(AS$5&lt;&gt;"",$Z14+IF($S14&lt;&gt;"102",$V14,0),0)+IF(AS$6&lt;&gt;"",$AA14+IF($S14="102",$V14,0),0)+IF(AS$7&lt;&gt;"",$X14,0)</f>
        <v>0</v>
      </c>
      <c r="AT14" s="495">
        <f t="shared" ref="AT14:AT45" si="41">IF(AT$3&lt;&gt;"",$W14,0)+IF(AT$4&lt;&gt;"",$U14,0)+IF(AT$5&lt;&gt;"",$Z14+IF($S14&lt;&gt;"102",$V14,0),0)+IF(AT$6&lt;&gt;"",$AA14+IF($S14="102",$V14,0),0)+IF(AT$7&lt;&gt;"",$X14,0)</f>
        <v>0</v>
      </c>
      <c r="AU14" s="495">
        <f t="shared" ref="AU14:AU45" si="42">IF(AU$3&lt;&gt;"",$W14,0)+IF(AU$4&lt;&gt;"",$U14,0)+IF(AU$5&lt;&gt;"",$Z14+IF($S14&lt;&gt;"102",$V14,0),0)+IF(AU$6&lt;&gt;"",$AA14+IF($S14="102",$V14,0),0)+IF(AU$7&lt;&gt;"",$X14,0)</f>
        <v>0</v>
      </c>
      <c r="AV14" s="495">
        <f t="shared" ref="AV14:AV45" si="43">IF(AV$3&lt;&gt;"",$W14,0)+IF(AV$4&lt;&gt;"",$U14,0)+IF(AV$5&lt;&gt;"",$Z14+IF($S14&lt;&gt;"102",$V14,0),0)+IF(AV$6&lt;&gt;"",$AA14+IF($S14="102",$V14,0),0)+IF(AV$7&lt;&gt;"",$X14,0)</f>
        <v>0</v>
      </c>
      <c r="AW14" s="495">
        <f t="shared" ref="AW14:AW45" si="44">IF(AW$3&lt;&gt;"",$W14,0)+IF(AW$4&lt;&gt;"",$U14,0)+IF(AW$5&lt;&gt;"",$Z14+IF($S14&lt;&gt;"102",$V14,0),0)+IF(AW$6&lt;&gt;"",$AA14+IF($S14="102",$V14,0),0)+IF(AW$7&lt;&gt;"",$X14,0)</f>
        <v>0</v>
      </c>
      <c r="AX14" s="495">
        <f t="shared" ref="AX14:AX45" si="45">IF(AX$3&lt;&gt;"",$W14,0)+IF(AX$4&lt;&gt;"",$U14,0)+IF(AX$5&lt;&gt;"",$Z14+IF($S14&lt;&gt;"102",$V14,0),0)+IF(AX$6&lt;&gt;"",$AA14+IF($S14="102",$V14,0),0)+IF(AX$7&lt;&gt;"",$X14,0)</f>
        <v>0</v>
      </c>
      <c r="AY14" s="495">
        <f t="shared" ref="AY14:AY45" si="46">IF(AY$3&lt;&gt;"",$W14,0)+IF(AY$4&lt;&gt;"",$U14,0)+IF(AY$5&lt;&gt;"",$Z14+IF($S14&lt;&gt;"102",$V14,0),0)+IF(AY$6&lt;&gt;"",$AA14+IF($S14="102",$V14,0),0)+IF(AY$7&lt;&gt;"",$X14,0)</f>
        <v>0</v>
      </c>
      <c r="AZ14" s="495">
        <f t="shared" ref="AZ14:AZ45" si="47">IF(AZ$3&lt;&gt;"",$W14,0)+IF(AZ$4&lt;&gt;"",$U14,0)+IF(AZ$5&lt;&gt;"",$Z14+IF($S14&lt;&gt;"102",$V14,0),0)+IF(AZ$6&lt;&gt;"",$AA14+IF($S14="102",$V14,0),0)+IF(AZ$7&lt;&gt;"",$X14,0)</f>
        <v>0</v>
      </c>
      <c r="BA14" s="495">
        <f t="shared" ref="BA14:BA45" si="48">IF(BA$3&lt;&gt;"",$W14,0)+IF(BA$4&lt;&gt;"",$U14,0)+IF(BA$5&lt;&gt;"",$Z14+IF($S14&lt;&gt;"102",$V14,0),0)+IF(BA$6&lt;&gt;"",$AA14+IF($S14="102",$V14,0),0)+IF(BA$7&lt;&gt;"",$X14,0)</f>
        <v>0</v>
      </c>
      <c r="BB14" s="495">
        <f t="shared" ref="BB14:BB45" si="49">IF(BB$3&lt;&gt;"",$W14,0)+IF(BB$4&lt;&gt;"",$U14,0)+IF(BB$5&lt;&gt;"",$Z14+IF($S14&lt;&gt;"102",$V14,0),0)+IF(BB$6&lt;&gt;"",$AA14+IF($S14="102",$V14,0),0)+IF(BB$7&lt;&gt;"",$X14,0)</f>
        <v>0</v>
      </c>
      <c r="BC14" s="495">
        <f t="shared" ref="BC14:BC45" si="50">IF(BC$3&lt;&gt;"",$W14,0)+IF(BC$4&lt;&gt;"",$U14,0)+IF(BC$5&lt;&gt;"",$Z14+IF($S14&lt;&gt;"102",$V14,0),0)+IF(BC$6&lt;&gt;"",$AA14+IF($S14="102",$V14,0),0)+IF(BC$7&lt;&gt;"",$X14,0)</f>
        <v>0</v>
      </c>
      <c r="BD14" s="495">
        <f t="shared" ref="BD14:BD45" si="51">IF(BD$3&lt;&gt;"",$W14,0)+IF(BD$4&lt;&gt;"",$U14,0)+IF(BD$5&lt;&gt;"",$Z14+IF($S14&lt;&gt;"102",$V14,0),0)+IF(BD$6&lt;&gt;"",$AA14+IF($S14="102",$V14,0),0)+IF(BD$7&lt;&gt;"",$X14,0)</f>
        <v>0</v>
      </c>
      <c r="BE14" s="495">
        <f t="shared" ref="BE14:BE45" si="52">IF(BE$3&lt;&gt;"",$W14,0)+IF(BE$4&lt;&gt;"",$U14,0)+IF(BE$5&lt;&gt;"",$Z14+IF($S14&lt;&gt;"102",$V14,0),0)+IF(BE$6&lt;&gt;"",$AA14+IF($S14="102",$V14,0),0)+IF(BE$7&lt;&gt;"",$X14,0)</f>
        <v>0</v>
      </c>
      <c r="BF14" s="495">
        <f t="shared" ref="BF14:BF45" si="53">IF(BF$3&lt;&gt;"",$W14,0)+IF(BF$4&lt;&gt;"",$U14,0)+IF(BF$5&lt;&gt;"",$Z14+IF($S14&lt;&gt;"102",$V14,0),0)+IF(BF$6&lt;&gt;"",$AA14+IF($S14="102",$V14,0),0)+IF(BF$7&lt;&gt;"",$X14,0)</f>
        <v>0</v>
      </c>
      <c r="BG14" s="495">
        <f t="shared" ref="BG14:BG45" si="54">IF(BG$3&lt;&gt;"",$W14,0)+IF(BG$4&lt;&gt;"",$U14,0)+IF(BG$5&lt;&gt;"",$Z14+IF($S14&lt;&gt;"102",$V14,0),0)+IF(BG$6&lt;&gt;"",$AA14+IF($S14="102",$V14,0),0)+IF(BG$7&lt;&gt;"",$X14,0)</f>
        <v>0</v>
      </c>
    </row>
    <row r="15" spans="1:59">
      <c r="A15" s="499" t="s">
        <v>8441</v>
      </c>
      <c r="B15" s="483">
        <v>556984316</v>
      </c>
      <c r="C15" s="462" t="s">
        <v>1148</v>
      </c>
      <c r="F15" s="491" t="str" cm="1">
        <f t="array" aca="1" ref="F15" ca="1">MID(met2utc(PEPSSI_Commanding[[#This Row],[MET]]),3,15)</f>
        <v>23-257/08:00:00</v>
      </c>
      <c r="G15" s="465" t="str">
        <f t="shared" si="5"/>
        <v>ON</v>
      </c>
      <c r="H15" s="466">
        <f t="shared" si="6"/>
        <v>556984316</v>
      </c>
      <c r="I15" s="466">
        <f t="shared" si="7"/>
        <v>556986166</v>
      </c>
      <c r="J15" s="465">
        <f t="shared" si="8"/>
        <v>0</v>
      </c>
      <c r="K15" s="465">
        <f t="shared" si="9"/>
        <v>10</v>
      </c>
      <c r="M15" s="462" t="str">
        <f t="shared" si="10"/>
        <v/>
      </c>
      <c r="N15" s="462" t="str">
        <f t="shared" si="11"/>
        <v/>
      </c>
      <c r="O15" s="462" t="str">
        <f t="shared" si="12"/>
        <v/>
      </c>
      <c r="P15" s="462" t="str">
        <f t="shared" si="13"/>
        <v/>
      </c>
      <c r="Q15" s="462" t="str">
        <f t="shared" si="14"/>
        <v/>
      </c>
      <c r="R15" s="462" t="str">
        <f t="shared" si="15"/>
        <v/>
      </c>
      <c r="S15" s="462" t="str">
        <f t="shared" si="16"/>
        <v/>
      </c>
      <c r="U15" s="495">
        <f t="shared" si="17"/>
        <v>0</v>
      </c>
      <c r="V15" s="495">
        <f t="shared" si="18"/>
        <v>0</v>
      </c>
      <c r="W15" s="495">
        <f t="shared" si="19"/>
        <v>0</v>
      </c>
      <c r="X15" s="495">
        <f t="shared" si="20"/>
        <v>0</v>
      </c>
      <c r="Y15" s="495">
        <f t="shared" si="21"/>
        <v>0</v>
      </c>
      <c r="Z15" s="495">
        <f t="shared" si="22"/>
        <v>0</v>
      </c>
      <c r="AA15" s="495">
        <f t="shared" si="23"/>
        <v>0</v>
      </c>
      <c r="AB15" s="496"/>
      <c r="AC15" s="495">
        <f t="shared" si="24"/>
        <v>0</v>
      </c>
      <c r="AD15" s="495">
        <f t="shared" si="25"/>
        <v>0</v>
      </c>
      <c r="AE15" s="495">
        <f t="shared" si="26"/>
        <v>0</v>
      </c>
      <c r="AF15" s="495">
        <f t="shared" si="27"/>
        <v>0</v>
      </c>
      <c r="AG15" s="495">
        <f t="shared" si="28"/>
        <v>0</v>
      </c>
      <c r="AH15" s="495">
        <f t="shared" si="29"/>
        <v>0</v>
      </c>
      <c r="AI15" s="495">
        <f t="shared" si="30"/>
        <v>0</v>
      </c>
      <c r="AJ15" s="495">
        <f t="shared" si="31"/>
        <v>0</v>
      </c>
      <c r="AK15" s="495">
        <f t="shared" si="32"/>
        <v>0</v>
      </c>
      <c r="AL15" s="495">
        <f t="shared" si="33"/>
        <v>0</v>
      </c>
      <c r="AM15" s="495">
        <f t="shared" si="34"/>
        <v>0</v>
      </c>
      <c r="AN15" s="495">
        <f t="shared" si="35"/>
        <v>0</v>
      </c>
      <c r="AO15" s="495">
        <f t="shared" si="36"/>
        <v>0</v>
      </c>
      <c r="AP15" s="495">
        <f t="shared" si="37"/>
        <v>0</v>
      </c>
      <c r="AQ15" s="495">
        <f t="shared" si="38"/>
        <v>0</v>
      </c>
      <c r="AR15" s="495">
        <f t="shared" si="39"/>
        <v>0</v>
      </c>
      <c r="AS15" s="495">
        <f t="shared" si="40"/>
        <v>0</v>
      </c>
      <c r="AT15" s="495">
        <f t="shared" si="41"/>
        <v>0</v>
      </c>
      <c r="AU15" s="495">
        <f t="shared" si="42"/>
        <v>0</v>
      </c>
      <c r="AV15" s="495">
        <f t="shared" si="43"/>
        <v>0</v>
      </c>
      <c r="AW15" s="495">
        <f t="shared" si="44"/>
        <v>0</v>
      </c>
      <c r="AX15" s="495">
        <f t="shared" si="45"/>
        <v>0</v>
      </c>
      <c r="AY15" s="495">
        <f t="shared" si="46"/>
        <v>0</v>
      </c>
      <c r="AZ15" s="495">
        <f t="shared" si="47"/>
        <v>0</v>
      </c>
      <c r="BA15" s="495">
        <f t="shared" si="48"/>
        <v>0</v>
      </c>
      <c r="BB15" s="495">
        <f t="shared" si="49"/>
        <v>0</v>
      </c>
      <c r="BC15" s="495">
        <f t="shared" si="50"/>
        <v>0</v>
      </c>
      <c r="BD15" s="495">
        <f t="shared" si="51"/>
        <v>0</v>
      </c>
      <c r="BE15" s="495">
        <f t="shared" si="52"/>
        <v>0</v>
      </c>
      <c r="BF15" s="495">
        <f t="shared" si="53"/>
        <v>0</v>
      </c>
      <c r="BG15" s="495">
        <f t="shared" si="54"/>
        <v>0</v>
      </c>
    </row>
    <row r="16" spans="1:59">
      <c r="A16" s="465" t="s">
        <v>8443</v>
      </c>
      <c r="B16" s="483">
        <v>556984361</v>
      </c>
      <c r="C16" s="462" t="s">
        <v>8404</v>
      </c>
      <c r="D16" s="462">
        <v>10</v>
      </c>
      <c r="F16" s="491" t="str" cm="1">
        <f t="array" aca="1" ref="F16" ca="1">MID(met2utc(PEPSSI_Commanding[[#This Row],[MET]]),3,15)</f>
        <v>23-257/08:00:45</v>
      </c>
      <c r="G16" s="465" t="str">
        <f t="shared" si="5"/>
        <v>MAC+10</v>
      </c>
      <c r="H16" s="466">
        <f t="shared" si="6"/>
        <v>556984316</v>
      </c>
      <c r="I16" s="466">
        <f t="shared" si="7"/>
        <v>556986166</v>
      </c>
      <c r="J16" s="465">
        <f t="shared" si="8"/>
        <v>1</v>
      </c>
      <c r="K16" s="465">
        <f t="shared" si="9"/>
        <v>9</v>
      </c>
      <c r="M16" s="462" t="str">
        <f t="shared" si="10"/>
        <v/>
      </c>
      <c r="N16" s="462" t="str">
        <f t="shared" si="11"/>
        <v/>
      </c>
      <c r="O16" s="462" t="str">
        <f t="shared" si="12"/>
        <v/>
      </c>
      <c r="P16" s="462" t="str">
        <f t="shared" si="13"/>
        <v/>
      </c>
      <c r="Q16" s="462" t="str">
        <f t="shared" si="14"/>
        <v/>
      </c>
      <c r="R16" s="462" t="str">
        <f t="shared" si="15"/>
        <v/>
      </c>
      <c r="S16" s="462" t="str">
        <f t="shared" si="16"/>
        <v/>
      </c>
      <c r="U16" s="495">
        <f t="shared" si="17"/>
        <v>0</v>
      </c>
      <c r="V16" s="495">
        <f t="shared" si="18"/>
        <v>0</v>
      </c>
      <c r="W16" s="495">
        <f t="shared" si="19"/>
        <v>0</v>
      </c>
      <c r="X16" s="495">
        <f t="shared" si="20"/>
        <v>0</v>
      </c>
      <c r="Y16" s="495">
        <f t="shared" si="21"/>
        <v>0</v>
      </c>
      <c r="Z16" s="495">
        <f t="shared" si="22"/>
        <v>0</v>
      </c>
      <c r="AA16" s="495">
        <f t="shared" si="23"/>
        <v>0</v>
      </c>
      <c r="AB16" s="496"/>
      <c r="AC16" s="495">
        <f t="shared" si="24"/>
        <v>0</v>
      </c>
      <c r="AD16" s="495">
        <f t="shared" si="25"/>
        <v>0</v>
      </c>
      <c r="AE16" s="495">
        <f t="shared" si="26"/>
        <v>0</v>
      </c>
      <c r="AF16" s="495">
        <f t="shared" si="27"/>
        <v>0</v>
      </c>
      <c r="AG16" s="495">
        <f t="shared" si="28"/>
        <v>0</v>
      </c>
      <c r="AH16" s="495">
        <f t="shared" si="29"/>
        <v>0</v>
      </c>
      <c r="AI16" s="495">
        <f t="shared" si="30"/>
        <v>0</v>
      </c>
      <c r="AJ16" s="495">
        <f t="shared" si="31"/>
        <v>0</v>
      </c>
      <c r="AK16" s="495">
        <f t="shared" si="32"/>
        <v>0</v>
      </c>
      <c r="AL16" s="495">
        <f t="shared" si="33"/>
        <v>0</v>
      </c>
      <c r="AM16" s="495">
        <f t="shared" si="34"/>
        <v>0</v>
      </c>
      <c r="AN16" s="495">
        <f t="shared" si="35"/>
        <v>0</v>
      </c>
      <c r="AO16" s="495">
        <f t="shared" si="36"/>
        <v>0</v>
      </c>
      <c r="AP16" s="495">
        <f t="shared" si="37"/>
        <v>0</v>
      </c>
      <c r="AQ16" s="495">
        <f t="shared" si="38"/>
        <v>0</v>
      </c>
      <c r="AR16" s="495">
        <f t="shared" si="39"/>
        <v>0</v>
      </c>
      <c r="AS16" s="495">
        <f t="shared" si="40"/>
        <v>0</v>
      </c>
      <c r="AT16" s="495">
        <f t="shared" si="41"/>
        <v>0</v>
      </c>
      <c r="AU16" s="495">
        <f t="shared" si="42"/>
        <v>0</v>
      </c>
      <c r="AV16" s="495">
        <f t="shared" si="43"/>
        <v>0</v>
      </c>
      <c r="AW16" s="495">
        <f t="shared" si="44"/>
        <v>0</v>
      </c>
      <c r="AX16" s="495">
        <f t="shared" si="45"/>
        <v>0</v>
      </c>
      <c r="AY16" s="495">
        <f t="shared" si="46"/>
        <v>0</v>
      </c>
      <c r="AZ16" s="495">
        <f t="shared" si="47"/>
        <v>0</v>
      </c>
      <c r="BA16" s="495">
        <f t="shared" si="48"/>
        <v>0</v>
      </c>
      <c r="BB16" s="495">
        <f t="shared" si="49"/>
        <v>0</v>
      </c>
      <c r="BC16" s="495">
        <f t="shared" si="50"/>
        <v>0</v>
      </c>
      <c r="BD16" s="495">
        <f t="shared" si="51"/>
        <v>0</v>
      </c>
      <c r="BE16" s="495">
        <f t="shared" si="52"/>
        <v>0</v>
      </c>
      <c r="BF16" s="495">
        <f t="shared" si="53"/>
        <v>0</v>
      </c>
      <c r="BG16" s="495">
        <f t="shared" si="54"/>
        <v>0</v>
      </c>
    </row>
    <row r="17" spans="1:59">
      <c r="A17" s="465" t="s">
        <v>8445</v>
      </c>
      <c r="B17" s="483">
        <v>556984361</v>
      </c>
      <c r="C17" s="462" t="s">
        <v>776</v>
      </c>
      <c r="D17" s="462">
        <v>10</v>
      </c>
      <c r="F17" s="491" t="str" cm="1">
        <f t="array" aca="1" ref="F17" ca="1">MID(met2utc(PEPSSI_Commanding[[#This Row],[MET]]),3,15)</f>
        <v>23-257/08:00:45</v>
      </c>
      <c r="G17" s="465" t="str">
        <f t="shared" si="5"/>
        <v>N2+10</v>
      </c>
      <c r="H17" s="466">
        <f t="shared" si="6"/>
        <v>556984316</v>
      </c>
      <c r="I17" s="466">
        <f t="shared" si="7"/>
        <v>556986166</v>
      </c>
      <c r="J17" s="465">
        <f t="shared" si="8"/>
        <v>2</v>
      </c>
      <c r="K17" s="465">
        <f t="shared" si="9"/>
        <v>8</v>
      </c>
      <c r="M17" s="462" t="str">
        <f t="shared" si="10"/>
        <v/>
      </c>
      <c r="N17" s="462">
        <f t="shared" si="11"/>
        <v>10</v>
      </c>
      <c r="O17" s="462" t="str">
        <f t="shared" si="12"/>
        <v/>
      </c>
      <c r="P17" s="462" t="str">
        <f t="shared" si="13"/>
        <v/>
      </c>
      <c r="Q17" s="462" t="str">
        <f t="shared" si="14"/>
        <v/>
      </c>
      <c r="R17" s="462" t="str">
        <f t="shared" si="15"/>
        <v/>
      </c>
      <c r="S17" s="462" t="str">
        <f t="shared" si="16"/>
        <v/>
      </c>
      <c r="U17" s="495">
        <f t="shared" si="17"/>
        <v>0.88124999999999998</v>
      </c>
      <c r="V17" s="495">
        <f t="shared" si="18"/>
        <v>3.65625</v>
      </c>
      <c r="W17" s="495">
        <f t="shared" si="19"/>
        <v>0</v>
      </c>
      <c r="X17" s="495">
        <f t="shared" si="20"/>
        <v>0</v>
      </c>
      <c r="Y17" s="495">
        <f t="shared" si="21"/>
        <v>133</v>
      </c>
      <c r="Z17" s="495">
        <f t="shared" si="22"/>
        <v>133</v>
      </c>
      <c r="AA17" s="495">
        <f t="shared" si="23"/>
        <v>0</v>
      </c>
      <c r="AB17" s="496"/>
      <c r="AC17" s="495">
        <f t="shared" si="24"/>
        <v>0</v>
      </c>
      <c r="AD17" s="495">
        <f t="shared" si="25"/>
        <v>0</v>
      </c>
      <c r="AE17" s="495">
        <f t="shared" si="26"/>
        <v>0</v>
      </c>
      <c r="AF17" s="495">
        <f t="shared" si="27"/>
        <v>136.65625</v>
      </c>
      <c r="AG17" s="495">
        <f t="shared" si="28"/>
        <v>136.65625</v>
      </c>
      <c r="AH17" s="495">
        <f t="shared" si="29"/>
        <v>136.65625</v>
      </c>
      <c r="AI17" s="495">
        <f t="shared" si="30"/>
        <v>136.65625</v>
      </c>
      <c r="AJ17" s="495">
        <f t="shared" si="31"/>
        <v>0.88124999999999998</v>
      </c>
      <c r="AK17" s="495">
        <f t="shared" si="32"/>
        <v>0.88124999999999998</v>
      </c>
      <c r="AL17" s="495">
        <f t="shared" si="33"/>
        <v>0.88124999999999998</v>
      </c>
      <c r="AM17" s="495">
        <f t="shared" si="34"/>
        <v>0.88124999999999998</v>
      </c>
      <c r="AN17" s="495">
        <f t="shared" si="35"/>
        <v>137.53749999999999</v>
      </c>
      <c r="AO17" s="495">
        <f t="shared" si="36"/>
        <v>137.53749999999999</v>
      </c>
      <c r="AP17" s="495">
        <f t="shared" si="37"/>
        <v>137.53749999999999</v>
      </c>
      <c r="AQ17" s="495">
        <f t="shared" si="38"/>
        <v>137.53749999999999</v>
      </c>
      <c r="AR17" s="495">
        <f t="shared" si="39"/>
        <v>0</v>
      </c>
      <c r="AS17" s="495">
        <f t="shared" si="40"/>
        <v>0</v>
      </c>
      <c r="AT17" s="495">
        <f t="shared" si="41"/>
        <v>0</v>
      </c>
      <c r="AU17" s="495">
        <f t="shared" si="42"/>
        <v>0</v>
      </c>
      <c r="AV17" s="495">
        <f t="shared" si="43"/>
        <v>136.65625</v>
      </c>
      <c r="AW17" s="495">
        <f t="shared" si="44"/>
        <v>136.65625</v>
      </c>
      <c r="AX17" s="495">
        <f t="shared" si="45"/>
        <v>136.65625</v>
      </c>
      <c r="AY17" s="495">
        <f t="shared" si="46"/>
        <v>136.65625</v>
      </c>
      <c r="AZ17" s="495">
        <f t="shared" si="47"/>
        <v>0.88124999999999998</v>
      </c>
      <c r="BA17" s="495">
        <f t="shared" si="48"/>
        <v>0.88124999999999998</v>
      </c>
      <c r="BB17" s="495">
        <f t="shared" si="49"/>
        <v>0.88124999999999998</v>
      </c>
      <c r="BC17" s="495">
        <f t="shared" si="50"/>
        <v>0.88124999999999998</v>
      </c>
      <c r="BD17" s="495">
        <f t="shared" si="51"/>
        <v>137.53749999999999</v>
      </c>
      <c r="BE17" s="495">
        <f t="shared" si="52"/>
        <v>137.53749999999999</v>
      </c>
      <c r="BF17" s="495">
        <f t="shared" si="53"/>
        <v>137.53749999999999</v>
      </c>
      <c r="BG17" s="495">
        <f t="shared" si="54"/>
        <v>137.53749999999999</v>
      </c>
    </row>
    <row r="18" spans="1:59">
      <c r="A18" s="465" t="s">
        <v>8445</v>
      </c>
      <c r="B18" s="483">
        <v>556984362</v>
      </c>
      <c r="C18" s="462" t="s">
        <v>773</v>
      </c>
      <c r="D18" s="462">
        <v>300</v>
      </c>
      <c r="F18" s="491" t="str" cm="1">
        <f t="array" aca="1" ref="F18" ca="1">MID(met2utc(PEPSSI_Commanding[[#This Row],[MET]]),3,15)</f>
        <v>23-257/08:00:46</v>
      </c>
      <c r="G18" s="465" t="str">
        <f t="shared" si="5"/>
        <v>N3+300</v>
      </c>
      <c r="H18" s="466">
        <f t="shared" si="6"/>
        <v>556984316</v>
      </c>
      <c r="I18" s="466">
        <f t="shared" si="7"/>
        <v>556986166</v>
      </c>
      <c r="J18" s="465">
        <f t="shared" si="8"/>
        <v>3</v>
      </c>
      <c r="K18" s="465">
        <f t="shared" si="9"/>
        <v>7</v>
      </c>
      <c r="M18" s="462" t="str">
        <f t="shared" si="10"/>
        <v/>
      </c>
      <c r="N18" s="462">
        <f t="shared" si="11"/>
        <v>10</v>
      </c>
      <c r="O18" s="462">
        <f t="shared" si="12"/>
        <v>300</v>
      </c>
      <c r="P18" s="462" t="str">
        <f t="shared" si="13"/>
        <v/>
      </c>
      <c r="Q18" s="462" t="str">
        <f t="shared" si="14"/>
        <v/>
      </c>
      <c r="R18" s="462" t="str">
        <f t="shared" si="15"/>
        <v/>
      </c>
      <c r="S18" s="462" t="str">
        <f t="shared" si="16"/>
        <v/>
      </c>
      <c r="U18" s="495">
        <f t="shared" si="17"/>
        <v>0.88124999999999998</v>
      </c>
      <c r="V18" s="495">
        <f t="shared" si="18"/>
        <v>3.65625</v>
      </c>
      <c r="W18" s="495">
        <f t="shared" si="19"/>
        <v>0</v>
      </c>
      <c r="X18" s="495">
        <f t="shared" si="20"/>
        <v>0</v>
      </c>
      <c r="Y18" s="495">
        <f t="shared" si="21"/>
        <v>133</v>
      </c>
      <c r="Z18" s="495">
        <f t="shared" si="22"/>
        <v>133</v>
      </c>
      <c r="AA18" s="495">
        <f t="shared" si="23"/>
        <v>66.36</v>
      </c>
      <c r="AB18" s="496"/>
      <c r="AC18" s="495">
        <f t="shared" si="24"/>
        <v>0</v>
      </c>
      <c r="AD18" s="495">
        <f t="shared" si="25"/>
        <v>66.36</v>
      </c>
      <c r="AE18" s="495">
        <f t="shared" si="26"/>
        <v>66.36</v>
      </c>
      <c r="AF18" s="495">
        <f t="shared" si="27"/>
        <v>136.65625</v>
      </c>
      <c r="AG18" s="495">
        <f t="shared" si="28"/>
        <v>136.65625</v>
      </c>
      <c r="AH18" s="495">
        <f t="shared" si="29"/>
        <v>203.01625000000001</v>
      </c>
      <c r="AI18" s="495">
        <f t="shared" si="30"/>
        <v>203.01625000000001</v>
      </c>
      <c r="AJ18" s="495">
        <f t="shared" si="31"/>
        <v>0.88124999999999998</v>
      </c>
      <c r="AK18" s="495">
        <f t="shared" si="32"/>
        <v>0.88124999999999998</v>
      </c>
      <c r="AL18" s="495">
        <f t="shared" si="33"/>
        <v>67.241249999999994</v>
      </c>
      <c r="AM18" s="495">
        <f t="shared" si="34"/>
        <v>67.241249999999994</v>
      </c>
      <c r="AN18" s="495">
        <f t="shared" si="35"/>
        <v>137.53749999999999</v>
      </c>
      <c r="AO18" s="495">
        <f t="shared" si="36"/>
        <v>137.53749999999999</v>
      </c>
      <c r="AP18" s="495">
        <f t="shared" si="37"/>
        <v>203.89749999999998</v>
      </c>
      <c r="AQ18" s="495">
        <f t="shared" si="38"/>
        <v>203.89749999999998</v>
      </c>
      <c r="AR18" s="495">
        <f t="shared" si="39"/>
        <v>0</v>
      </c>
      <c r="AS18" s="495">
        <f t="shared" si="40"/>
        <v>0</v>
      </c>
      <c r="AT18" s="495">
        <f t="shared" si="41"/>
        <v>66.36</v>
      </c>
      <c r="AU18" s="495">
        <f t="shared" si="42"/>
        <v>66.36</v>
      </c>
      <c r="AV18" s="495">
        <f t="shared" si="43"/>
        <v>136.65625</v>
      </c>
      <c r="AW18" s="495">
        <f t="shared" si="44"/>
        <v>136.65625</v>
      </c>
      <c r="AX18" s="495">
        <f t="shared" si="45"/>
        <v>203.01625000000001</v>
      </c>
      <c r="AY18" s="495">
        <f t="shared" si="46"/>
        <v>203.01625000000001</v>
      </c>
      <c r="AZ18" s="495">
        <f t="shared" si="47"/>
        <v>0.88124999999999998</v>
      </c>
      <c r="BA18" s="495">
        <f t="shared" si="48"/>
        <v>0.88124999999999998</v>
      </c>
      <c r="BB18" s="495">
        <f t="shared" si="49"/>
        <v>67.241249999999994</v>
      </c>
      <c r="BC18" s="495">
        <f t="shared" si="50"/>
        <v>67.241249999999994</v>
      </c>
      <c r="BD18" s="495">
        <f t="shared" si="51"/>
        <v>137.53749999999999</v>
      </c>
      <c r="BE18" s="495">
        <f t="shared" si="52"/>
        <v>137.53749999999999</v>
      </c>
      <c r="BF18" s="495">
        <f t="shared" si="53"/>
        <v>203.89749999999998</v>
      </c>
      <c r="BG18" s="495">
        <f t="shared" si="54"/>
        <v>203.89749999999998</v>
      </c>
    </row>
    <row r="19" spans="1:59">
      <c r="A19" s="465" t="s">
        <v>8445</v>
      </c>
      <c r="B19" s="483">
        <v>556984363</v>
      </c>
      <c r="C19" s="462" t="s">
        <v>12</v>
      </c>
      <c r="D19" s="462">
        <v>10</v>
      </c>
      <c r="F19" s="491" t="str" cm="1">
        <f t="array" aca="1" ref="F19" ca="1">MID(met2utc(PEPSSI_Commanding[[#This Row],[MET]]),3,15)</f>
        <v>23-257/08:00:47</v>
      </c>
      <c r="G19" s="465" t="str">
        <f t="shared" si="5"/>
        <v>N1+10</v>
      </c>
      <c r="H19" s="466">
        <f t="shared" si="6"/>
        <v>556984316</v>
      </c>
      <c r="I19" s="466">
        <f t="shared" si="7"/>
        <v>556986166</v>
      </c>
      <c r="J19" s="465">
        <f t="shared" si="8"/>
        <v>4</v>
      </c>
      <c r="K19" s="465">
        <f t="shared" si="9"/>
        <v>6</v>
      </c>
      <c r="M19" s="462">
        <f t="shared" si="10"/>
        <v>10</v>
      </c>
      <c r="N19" s="462">
        <f t="shared" si="11"/>
        <v>10</v>
      </c>
      <c r="O19" s="462">
        <f t="shared" si="12"/>
        <v>300</v>
      </c>
      <c r="P19" s="462" t="str">
        <f t="shared" si="13"/>
        <v/>
      </c>
      <c r="Q19" s="462" t="str">
        <f t="shared" si="14"/>
        <v/>
      </c>
      <c r="R19" s="462" t="str">
        <f t="shared" si="15"/>
        <v/>
      </c>
      <c r="S19" s="462" t="str">
        <f t="shared" si="16"/>
        <v/>
      </c>
      <c r="U19" s="495">
        <f t="shared" si="17"/>
        <v>0.88124999999999998</v>
      </c>
      <c r="V19" s="495">
        <f t="shared" si="18"/>
        <v>3.65625</v>
      </c>
      <c r="W19" s="495">
        <f t="shared" si="19"/>
        <v>0</v>
      </c>
      <c r="X19" s="495">
        <f t="shared" si="20"/>
        <v>198.8</v>
      </c>
      <c r="Y19" s="495">
        <f t="shared" si="21"/>
        <v>133</v>
      </c>
      <c r="Z19" s="495">
        <f t="shared" si="22"/>
        <v>133</v>
      </c>
      <c r="AA19" s="495">
        <f t="shared" si="23"/>
        <v>66.36</v>
      </c>
      <c r="AB19" s="496"/>
      <c r="AC19" s="495">
        <f t="shared" si="24"/>
        <v>198.8</v>
      </c>
      <c r="AD19" s="495">
        <f t="shared" si="25"/>
        <v>66.36</v>
      </c>
      <c r="AE19" s="495">
        <f t="shared" si="26"/>
        <v>265.16000000000003</v>
      </c>
      <c r="AF19" s="495">
        <f t="shared" si="27"/>
        <v>136.65625</v>
      </c>
      <c r="AG19" s="495">
        <f t="shared" si="28"/>
        <v>335.45625000000001</v>
      </c>
      <c r="AH19" s="495">
        <f t="shared" si="29"/>
        <v>203.01625000000001</v>
      </c>
      <c r="AI19" s="495">
        <f t="shared" si="30"/>
        <v>401.81625000000003</v>
      </c>
      <c r="AJ19" s="495">
        <f t="shared" si="31"/>
        <v>0.88124999999999998</v>
      </c>
      <c r="AK19" s="495">
        <f t="shared" si="32"/>
        <v>199.68125000000001</v>
      </c>
      <c r="AL19" s="495">
        <f t="shared" si="33"/>
        <v>67.241249999999994</v>
      </c>
      <c r="AM19" s="495">
        <f t="shared" si="34"/>
        <v>266.04124999999999</v>
      </c>
      <c r="AN19" s="495">
        <f t="shared" si="35"/>
        <v>137.53749999999999</v>
      </c>
      <c r="AO19" s="495">
        <f t="shared" si="36"/>
        <v>336.33749999999998</v>
      </c>
      <c r="AP19" s="495">
        <f t="shared" si="37"/>
        <v>203.89749999999998</v>
      </c>
      <c r="AQ19" s="495">
        <f t="shared" si="38"/>
        <v>402.69749999999999</v>
      </c>
      <c r="AR19" s="495">
        <f t="shared" si="39"/>
        <v>0</v>
      </c>
      <c r="AS19" s="495">
        <f t="shared" si="40"/>
        <v>198.8</v>
      </c>
      <c r="AT19" s="495">
        <f t="shared" si="41"/>
        <v>66.36</v>
      </c>
      <c r="AU19" s="495">
        <f t="shared" si="42"/>
        <v>265.16000000000003</v>
      </c>
      <c r="AV19" s="495">
        <f t="shared" si="43"/>
        <v>136.65625</v>
      </c>
      <c r="AW19" s="495">
        <f t="shared" si="44"/>
        <v>335.45625000000001</v>
      </c>
      <c r="AX19" s="495">
        <f t="shared" si="45"/>
        <v>203.01625000000001</v>
      </c>
      <c r="AY19" s="495">
        <f t="shared" si="46"/>
        <v>401.81625000000003</v>
      </c>
      <c r="AZ19" s="495">
        <f t="shared" si="47"/>
        <v>0.88124999999999998</v>
      </c>
      <c r="BA19" s="495">
        <f t="shared" si="48"/>
        <v>199.68125000000001</v>
      </c>
      <c r="BB19" s="495">
        <f t="shared" si="49"/>
        <v>67.241249999999994</v>
      </c>
      <c r="BC19" s="495">
        <f t="shared" si="50"/>
        <v>266.04124999999999</v>
      </c>
      <c r="BD19" s="495">
        <f t="shared" si="51"/>
        <v>137.53749999999999</v>
      </c>
      <c r="BE19" s="495">
        <f t="shared" si="52"/>
        <v>336.33749999999998</v>
      </c>
      <c r="BF19" s="495">
        <f t="shared" si="53"/>
        <v>203.89749999999998</v>
      </c>
      <c r="BG19" s="495">
        <f t="shared" si="54"/>
        <v>402.69749999999999</v>
      </c>
    </row>
    <row r="20" spans="1:59">
      <c r="A20" s="465" t="s">
        <v>8447</v>
      </c>
      <c r="B20" s="483">
        <v>556984364</v>
      </c>
      <c r="C20" s="462" t="s">
        <v>8403</v>
      </c>
      <c r="D20" s="462">
        <v>1</v>
      </c>
      <c r="F20" s="491" t="str" cm="1">
        <f t="array" aca="1" ref="F20" ca="1">MID(met2utc(PEPSSI_Commanding[[#This Row],[MET]]),3,15)</f>
        <v>23-257/08:00:48</v>
      </c>
      <c r="G20" s="465" t="str">
        <f t="shared" si="5"/>
        <v>STAT+1</v>
      </c>
      <c r="H20" s="466">
        <f t="shared" si="6"/>
        <v>556984316</v>
      </c>
      <c r="I20" s="466">
        <f t="shared" si="7"/>
        <v>556986166</v>
      </c>
      <c r="J20" s="465">
        <f t="shared" si="8"/>
        <v>5</v>
      </c>
      <c r="K20" s="465">
        <f t="shared" si="9"/>
        <v>5</v>
      </c>
      <c r="M20" s="462">
        <f t="shared" si="10"/>
        <v>10</v>
      </c>
      <c r="N20" s="462">
        <f t="shared" si="11"/>
        <v>10</v>
      </c>
      <c r="O20" s="462">
        <f t="shared" si="12"/>
        <v>300</v>
      </c>
      <c r="P20" s="462">
        <f t="shared" si="13"/>
        <v>1</v>
      </c>
      <c r="Q20" s="462" t="str">
        <f t="shared" si="14"/>
        <v/>
      </c>
      <c r="R20" s="462" t="str">
        <f t="shared" si="15"/>
        <v/>
      </c>
      <c r="S20" s="462" t="str">
        <f t="shared" si="16"/>
        <v/>
      </c>
      <c r="U20" s="495">
        <f t="shared" si="17"/>
        <v>0.88124999999999998</v>
      </c>
      <c r="V20" s="495">
        <f t="shared" si="18"/>
        <v>3.65625</v>
      </c>
      <c r="W20" s="495">
        <f t="shared" si="19"/>
        <v>512</v>
      </c>
      <c r="X20" s="495">
        <f t="shared" si="20"/>
        <v>198.8</v>
      </c>
      <c r="Y20" s="495">
        <f t="shared" si="21"/>
        <v>133</v>
      </c>
      <c r="Z20" s="495">
        <f t="shared" si="22"/>
        <v>133</v>
      </c>
      <c r="AA20" s="495">
        <f t="shared" si="23"/>
        <v>66.36</v>
      </c>
      <c r="AB20" s="496"/>
      <c r="AC20" s="495">
        <f t="shared" si="24"/>
        <v>198.8</v>
      </c>
      <c r="AD20" s="495">
        <f t="shared" si="25"/>
        <v>66.36</v>
      </c>
      <c r="AE20" s="495">
        <f t="shared" si="26"/>
        <v>265.16000000000003</v>
      </c>
      <c r="AF20" s="495">
        <f t="shared" si="27"/>
        <v>136.65625</v>
      </c>
      <c r="AG20" s="495">
        <f t="shared" si="28"/>
        <v>335.45625000000001</v>
      </c>
      <c r="AH20" s="495">
        <f t="shared" si="29"/>
        <v>203.01625000000001</v>
      </c>
      <c r="AI20" s="495">
        <f t="shared" si="30"/>
        <v>401.81625000000003</v>
      </c>
      <c r="AJ20" s="495">
        <f t="shared" si="31"/>
        <v>0.88124999999999998</v>
      </c>
      <c r="AK20" s="495">
        <f t="shared" si="32"/>
        <v>199.68125000000001</v>
      </c>
      <c r="AL20" s="495">
        <f t="shared" si="33"/>
        <v>67.241249999999994</v>
      </c>
      <c r="AM20" s="495">
        <f t="shared" si="34"/>
        <v>266.04124999999999</v>
      </c>
      <c r="AN20" s="495">
        <f t="shared" si="35"/>
        <v>137.53749999999999</v>
      </c>
      <c r="AO20" s="495">
        <f t="shared" si="36"/>
        <v>336.33749999999998</v>
      </c>
      <c r="AP20" s="495">
        <f t="shared" si="37"/>
        <v>203.89749999999998</v>
      </c>
      <c r="AQ20" s="495">
        <f t="shared" si="38"/>
        <v>402.69749999999999</v>
      </c>
      <c r="AR20" s="495">
        <f t="shared" si="39"/>
        <v>512</v>
      </c>
      <c r="AS20" s="495">
        <f t="shared" si="40"/>
        <v>710.8</v>
      </c>
      <c r="AT20" s="495">
        <f t="shared" si="41"/>
        <v>578.36</v>
      </c>
      <c r="AU20" s="495">
        <f t="shared" si="42"/>
        <v>777.16000000000008</v>
      </c>
      <c r="AV20" s="495">
        <f t="shared" si="43"/>
        <v>648.65625</v>
      </c>
      <c r="AW20" s="495">
        <f t="shared" si="44"/>
        <v>847.45624999999995</v>
      </c>
      <c r="AX20" s="495">
        <f t="shared" si="45"/>
        <v>715.01625000000001</v>
      </c>
      <c r="AY20" s="495">
        <f t="shared" si="46"/>
        <v>913.81625000000008</v>
      </c>
      <c r="AZ20" s="495">
        <f t="shared" si="47"/>
        <v>512.88125000000002</v>
      </c>
      <c r="BA20" s="495">
        <f t="shared" si="48"/>
        <v>711.68125000000009</v>
      </c>
      <c r="BB20" s="495">
        <f t="shared" si="49"/>
        <v>579.24125000000004</v>
      </c>
      <c r="BC20" s="495">
        <f t="shared" si="50"/>
        <v>778.04124999999999</v>
      </c>
      <c r="BD20" s="495">
        <f t="shared" si="51"/>
        <v>649.53750000000002</v>
      </c>
      <c r="BE20" s="495">
        <f t="shared" si="52"/>
        <v>848.33750000000009</v>
      </c>
      <c r="BF20" s="495">
        <f t="shared" si="53"/>
        <v>715.89750000000004</v>
      </c>
      <c r="BG20" s="495">
        <f t="shared" si="54"/>
        <v>914.69749999999999</v>
      </c>
    </row>
    <row r="21" spans="1:59">
      <c r="A21" s="465" t="s">
        <v>8445</v>
      </c>
      <c r="B21" s="483">
        <v>556985847</v>
      </c>
      <c r="C21" s="462" t="s">
        <v>776</v>
      </c>
      <c r="D21" s="462">
        <v>40</v>
      </c>
      <c r="F21" s="491" t="str" cm="1">
        <f t="array" aca="1" ref="F21" ca="1">MID(met2utc(PEPSSI_Commanding[[#This Row],[MET]]),3,15)</f>
        <v>23-257/08:25:31</v>
      </c>
      <c r="G21" s="465" t="str">
        <f t="shared" si="5"/>
        <v>N2+40</v>
      </c>
      <c r="H21" s="466">
        <f t="shared" si="6"/>
        <v>556984316</v>
      </c>
      <c r="I21" s="466">
        <f t="shared" si="7"/>
        <v>556986166</v>
      </c>
      <c r="J21" s="465">
        <f t="shared" si="8"/>
        <v>6</v>
      </c>
      <c r="K21" s="465">
        <f t="shared" si="9"/>
        <v>4</v>
      </c>
      <c r="M21" s="462">
        <f t="shared" si="10"/>
        <v>10</v>
      </c>
      <c r="N21" s="462">
        <f t="shared" si="11"/>
        <v>40</v>
      </c>
      <c r="O21" s="462">
        <f t="shared" si="12"/>
        <v>300</v>
      </c>
      <c r="P21" s="462">
        <f t="shared" si="13"/>
        <v>1</v>
      </c>
      <c r="Q21" s="462" t="str">
        <f t="shared" si="14"/>
        <v/>
      </c>
      <c r="R21" s="462" t="str">
        <f t="shared" si="15"/>
        <v/>
      </c>
      <c r="S21" s="462" t="str">
        <f t="shared" si="16"/>
        <v/>
      </c>
      <c r="U21" s="495">
        <f t="shared" si="17"/>
        <v>0.22031249999999999</v>
      </c>
      <c r="V21" s="495">
        <f t="shared" si="18"/>
        <v>0.9140625</v>
      </c>
      <c r="W21" s="495">
        <f t="shared" si="19"/>
        <v>512</v>
      </c>
      <c r="X21" s="495">
        <f t="shared" si="20"/>
        <v>198.8</v>
      </c>
      <c r="Y21" s="495">
        <f t="shared" si="21"/>
        <v>33.25</v>
      </c>
      <c r="Z21" s="495">
        <f t="shared" si="22"/>
        <v>33.25</v>
      </c>
      <c r="AA21" s="495">
        <f t="shared" si="23"/>
        <v>66.36</v>
      </c>
      <c r="AB21" s="496"/>
      <c r="AC21" s="495">
        <f t="shared" si="24"/>
        <v>198.8</v>
      </c>
      <c r="AD21" s="495">
        <f t="shared" si="25"/>
        <v>66.36</v>
      </c>
      <c r="AE21" s="495">
        <f t="shared" si="26"/>
        <v>265.16000000000003</v>
      </c>
      <c r="AF21" s="495">
        <f t="shared" si="27"/>
        <v>34.1640625</v>
      </c>
      <c r="AG21" s="495">
        <f t="shared" si="28"/>
        <v>232.96406250000001</v>
      </c>
      <c r="AH21" s="495">
        <f t="shared" si="29"/>
        <v>100.5240625</v>
      </c>
      <c r="AI21" s="495">
        <f t="shared" si="30"/>
        <v>299.32406250000003</v>
      </c>
      <c r="AJ21" s="495">
        <f t="shared" si="31"/>
        <v>0.22031249999999999</v>
      </c>
      <c r="AK21" s="495">
        <f t="shared" si="32"/>
        <v>199.02031250000002</v>
      </c>
      <c r="AL21" s="495">
        <f t="shared" si="33"/>
        <v>66.580312500000005</v>
      </c>
      <c r="AM21" s="495">
        <f t="shared" si="34"/>
        <v>265.3803125</v>
      </c>
      <c r="AN21" s="495">
        <f t="shared" si="35"/>
        <v>34.384374999999999</v>
      </c>
      <c r="AO21" s="495">
        <f t="shared" si="36"/>
        <v>233.18437500000002</v>
      </c>
      <c r="AP21" s="495">
        <f t="shared" si="37"/>
        <v>100.74437499999999</v>
      </c>
      <c r="AQ21" s="495">
        <f t="shared" si="38"/>
        <v>299.544375</v>
      </c>
      <c r="AR21" s="495">
        <f t="shared" si="39"/>
        <v>512</v>
      </c>
      <c r="AS21" s="495">
        <f t="shared" si="40"/>
        <v>710.8</v>
      </c>
      <c r="AT21" s="495">
        <f t="shared" si="41"/>
        <v>578.36</v>
      </c>
      <c r="AU21" s="495">
        <f t="shared" si="42"/>
        <v>777.16000000000008</v>
      </c>
      <c r="AV21" s="495">
        <f t="shared" si="43"/>
        <v>546.1640625</v>
      </c>
      <c r="AW21" s="495">
        <f t="shared" si="44"/>
        <v>744.96406249999995</v>
      </c>
      <c r="AX21" s="495">
        <f t="shared" si="45"/>
        <v>612.52406250000001</v>
      </c>
      <c r="AY21" s="495">
        <f t="shared" si="46"/>
        <v>811.32406250000008</v>
      </c>
      <c r="AZ21" s="495">
        <f t="shared" si="47"/>
        <v>512.22031249999998</v>
      </c>
      <c r="BA21" s="495">
        <f t="shared" si="48"/>
        <v>711.02031250000005</v>
      </c>
      <c r="BB21" s="495">
        <f t="shared" si="49"/>
        <v>578.58031249999999</v>
      </c>
      <c r="BC21" s="495">
        <f t="shared" si="50"/>
        <v>777.38031249999995</v>
      </c>
      <c r="BD21" s="495">
        <f t="shared" si="51"/>
        <v>546.38437499999998</v>
      </c>
      <c r="BE21" s="495">
        <f t="shared" si="52"/>
        <v>745.18437500000005</v>
      </c>
      <c r="BF21" s="495">
        <f t="shared" si="53"/>
        <v>612.74437499999999</v>
      </c>
      <c r="BG21" s="495">
        <f t="shared" si="54"/>
        <v>811.54437499999995</v>
      </c>
    </row>
    <row r="22" spans="1:59">
      <c r="A22" s="465" t="s">
        <v>8445</v>
      </c>
      <c r="B22" s="483">
        <v>556985848</v>
      </c>
      <c r="C22" s="462" t="s">
        <v>773</v>
      </c>
      <c r="D22" s="462">
        <v>7200</v>
      </c>
      <c r="F22" s="491" t="str" cm="1">
        <f t="array" aca="1" ref="F22" ca="1">MID(met2utc(PEPSSI_Commanding[[#This Row],[MET]]),3,15)</f>
        <v>23-257/08:25:32</v>
      </c>
      <c r="G22" s="465" t="str">
        <f t="shared" si="5"/>
        <v>N3+7200</v>
      </c>
      <c r="H22" s="466">
        <f t="shared" si="6"/>
        <v>556984316</v>
      </c>
      <c r="I22" s="466">
        <f t="shared" si="7"/>
        <v>556986166</v>
      </c>
      <c r="J22" s="465">
        <f t="shared" si="8"/>
        <v>7</v>
      </c>
      <c r="K22" s="465">
        <f t="shared" si="9"/>
        <v>3</v>
      </c>
      <c r="M22" s="462">
        <f t="shared" si="10"/>
        <v>10</v>
      </c>
      <c r="N22" s="462">
        <f t="shared" si="11"/>
        <v>40</v>
      </c>
      <c r="O22" s="462">
        <f t="shared" si="12"/>
        <v>7200</v>
      </c>
      <c r="P22" s="462">
        <f t="shared" si="13"/>
        <v>1</v>
      </c>
      <c r="Q22" s="462" t="str">
        <f t="shared" si="14"/>
        <v/>
      </c>
      <c r="R22" s="462" t="str">
        <f t="shared" si="15"/>
        <v/>
      </c>
      <c r="S22" s="462" t="str">
        <f t="shared" si="16"/>
        <v/>
      </c>
      <c r="U22" s="495">
        <f t="shared" si="17"/>
        <v>0.22031249999999999</v>
      </c>
      <c r="V22" s="495">
        <f t="shared" si="18"/>
        <v>0.9140625</v>
      </c>
      <c r="W22" s="495">
        <f t="shared" si="19"/>
        <v>512</v>
      </c>
      <c r="X22" s="495">
        <f t="shared" si="20"/>
        <v>198.8</v>
      </c>
      <c r="Y22" s="495">
        <f t="shared" si="21"/>
        <v>33.25</v>
      </c>
      <c r="Z22" s="495">
        <f t="shared" si="22"/>
        <v>33.25</v>
      </c>
      <c r="AA22" s="495">
        <f t="shared" si="23"/>
        <v>2.7650000000000001</v>
      </c>
      <c r="AB22" s="496"/>
      <c r="AC22" s="495">
        <f t="shared" si="24"/>
        <v>198.8</v>
      </c>
      <c r="AD22" s="495">
        <f t="shared" si="25"/>
        <v>2.7650000000000001</v>
      </c>
      <c r="AE22" s="495">
        <f t="shared" si="26"/>
        <v>201.565</v>
      </c>
      <c r="AF22" s="495">
        <f t="shared" si="27"/>
        <v>34.1640625</v>
      </c>
      <c r="AG22" s="495">
        <f t="shared" si="28"/>
        <v>232.96406250000001</v>
      </c>
      <c r="AH22" s="495">
        <f t="shared" si="29"/>
        <v>36.929062500000001</v>
      </c>
      <c r="AI22" s="495">
        <f t="shared" si="30"/>
        <v>235.7290625</v>
      </c>
      <c r="AJ22" s="495">
        <f t="shared" si="31"/>
        <v>0.22031249999999999</v>
      </c>
      <c r="AK22" s="495">
        <f t="shared" si="32"/>
        <v>199.02031250000002</v>
      </c>
      <c r="AL22" s="495">
        <f t="shared" si="33"/>
        <v>2.9853125</v>
      </c>
      <c r="AM22" s="495">
        <f t="shared" si="34"/>
        <v>201.7853125</v>
      </c>
      <c r="AN22" s="495">
        <f t="shared" si="35"/>
        <v>34.384374999999999</v>
      </c>
      <c r="AO22" s="495">
        <f t="shared" si="36"/>
        <v>233.18437500000002</v>
      </c>
      <c r="AP22" s="495">
        <f t="shared" si="37"/>
        <v>37.149374999999999</v>
      </c>
      <c r="AQ22" s="495">
        <f t="shared" si="38"/>
        <v>235.949375</v>
      </c>
      <c r="AR22" s="495">
        <f t="shared" si="39"/>
        <v>512</v>
      </c>
      <c r="AS22" s="495">
        <f t="shared" si="40"/>
        <v>710.8</v>
      </c>
      <c r="AT22" s="495">
        <f t="shared" si="41"/>
        <v>514.76499999999999</v>
      </c>
      <c r="AU22" s="495">
        <f t="shared" si="42"/>
        <v>713.56500000000005</v>
      </c>
      <c r="AV22" s="495">
        <f t="shared" si="43"/>
        <v>546.1640625</v>
      </c>
      <c r="AW22" s="495">
        <f t="shared" si="44"/>
        <v>744.96406249999995</v>
      </c>
      <c r="AX22" s="495">
        <f t="shared" si="45"/>
        <v>548.92906249999999</v>
      </c>
      <c r="AY22" s="495">
        <f t="shared" si="46"/>
        <v>747.72906250000005</v>
      </c>
      <c r="AZ22" s="495">
        <f t="shared" si="47"/>
        <v>512.22031249999998</v>
      </c>
      <c r="BA22" s="495">
        <f t="shared" si="48"/>
        <v>711.02031250000005</v>
      </c>
      <c r="BB22" s="495">
        <f t="shared" si="49"/>
        <v>514.98531249999996</v>
      </c>
      <c r="BC22" s="495">
        <f t="shared" si="50"/>
        <v>713.78531249999992</v>
      </c>
      <c r="BD22" s="495">
        <f t="shared" si="51"/>
        <v>546.38437499999998</v>
      </c>
      <c r="BE22" s="495">
        <f t="shared" si="52"/>
        <v>745.18437500000005</v>
      </c>
      <c r="BF22" s="495">
        <f t="shared" si="53"/>
        <v>549.14937499999996</v>
      </c>
      <c r="BG22" s="495">
        <f t="shared" si="54"/>
        <v>747.94937499999992</v>
      </c>
    </row>
    <row r="23" spans="1:59">
      <c r="A23" s="465" t="s">
        <v>8445</v>
      </c>
      <c r="B23" s="483">
        <v>556985849</v>
      </c>
      <c r="C23" s="462" t="s">
        <v>12</v>
      </c>
      <c r="D23" s="462">
        <v>3600</v>
      </c>
      <c r="F23" s="491" t="str" cm="1">
        <f t="array" aca="1" ref="F23" ca="1">MID(met2utc(PEPSSI_Commanding[[#This Row],[MET]]),3,15)</f>
        <v>23-257/08:25:33</v>
      </c>
      <c r="G23" s="465" t="str">
        <f t="shared" si="5"/>
        <v>N1+3600</v>
      </c>
      <c r="H23" s="466">
        <f t="shared" si="6"/>
        <v>556984316</v>
      </c>
      <c r="I23" s="466">
        <f t="shared" si="7"/>
        <v>556986166</v>
      </c>
      <c r="J23" s="465">
        <f t="shared" si="8"/>
        <v>8</v>
      </c>
      <c r="K23" s="465">
        <f t="shared" si="9"/>
        <v>2</v>
      </c>
      <c r="M23" s="462">
        <f t="shared" si="10"/>
        <v>3600</v>
      </c>
      <c r="N23" s="462">
        <f t="shared" si="11"/>
        <v>40</v>
      </c>
      <c r="O23" s="462">
        <f t="shared" si="12"/>
        <v>7200</v>
      </c>
      <c r="P23" s="462">
        <f t="shared" si="13"/>
        <v>1</v>
      </c>
      <c r="Q23" s="462" t="str">
        <f t="shared" si="14"/>
        <v/>
      </c>
      <c r="R23" s="462" t="str">
        <f t="shared" si="15"/>
        <v/>
      </c>
      <c r="S23" s="462" t="str">
        <f t="shared" si="16"/>
        <v/>
      </c>
      <c r="U23" s="495">
        <f t="shared" si="17"/>
        <v>0.22031249999999999</v>
      </c>
      <c r="V23" s="495">
        <f t="shared" si="18"/>
        <v>0.9140625</v>
      </c>
      <c r="W23" s="495">
        <f t="shared" si="19"/>
        <v>512</v>
      </c>
      <c r="X23" s="495">
        <f t="shared" si="20"/>
        <v>0.55222222222222217</v>
      </c>
      <c r="Y23" s="495">
        <f t="shared" si="21"/>
        <v>33.25</v>
      </c>
      <c r="Z23" s="495">
        <f t="shared" si="22"/>
        <v>33.25</v>
      </c>
      <c r="AA23" s="495">
        <f t="shared" si="23"/>
        <v>2.7650000000000001</v>
      </c>
      <c r="AB23" s="496"/>
      <c r="AC23" s="495">
        <f t="shared" si="24"/>
        <v>0.55222222222222217</v>
      </c>
      <c r="AD23" s="495">
        <f t="shared" si="25"/>
        <v>2.7650000000000001</v>
      </c>
      <c r="AE23" s="495">
        <f t="shared" si="26"/>
        <v>3.3172222222222221</v>
      </c>
      <c r="AF23" s="495">
        <f t="shared" si="27"/>
        <v>34.1640625</v>
      </c>
      <c r="AG23" s="495">
        <f t="shared" si="28"/>
        <v>34.71628472222222</v>
      </c>
      <c r="AH23" s="495">
        <f t="shared" si="29"/>
        <v>36.929062500000001</v>
      </c>
      <c r="AI23" s="495">
        <f t="shared" si="30"/>
        <v>37.48128472222222</v>
      </c>
      <c r="AJ23" s="495">
        <f t="shared" si="31"/>
        <v>0.22031249999999999</v>
      </c>
      <c r="AK23" s="495">
        <f t="shared" si="32"/>
        <v>0.77253472222222219</v>
      </c>
      <c r="AL23" s="495">
        <f t="shared" si="33"/>
        <v>2.9853125</v>
      </c>
      <c r="AM23" s="495">
        <f t="shared" si="34"/>
        <v>3.5375347222222224</v>
      </c>
      <c r="AN23" s="495">
        <f t="shared" si="35"/>
        <v>34.384374999999999</v>
      </c>
      <c r="AO23" s="495">
        <f t="shared" si="36"/>
        <v>34.936597222222218</v>
      </c>
      <c r="AP23" s="495">
        <f t="shared" si="37"/>
        <v>37.149374999999999</v>
      </c>
      <c r="AQ23" s="495">
        <f t="shared" si="38"/>
        <v>37.701597222222219</v>
      </c>
      <c r="AR23" s="495">
        <f t="shared" si="39"/>
        <v>512</v>
      </c>
      <c r="AS23" s="495">
        <f t="shared" si="40"/>
        <v>512.55222222222221</v>
      </c>
      <c r="AT23" s="495">
        <f t="shared" si="41"/>
        <v>514.76499999999999</v>
      </c>
      <c r="AU23" s="495">
        <f t="shared" si="42"/>
        <v>515.3172222222222</v>
      </c>
      <c r="AV23" s="495">
        <f t="shared" si="43"/>
        <v>546.1640625</v>
      </c>
      <c r="AW23" s="495">
        <f t="shared" si="44"/>
        <v>546.71628472222221</v>
      </c>
      <c r="AX23" s="495">
        <f t="shared" si="45"/>
        <v>548.92906249999999</v>
      </c>
      <c r="AY23" s="495">
        <f t="shared" si="46"/>
        <v>549.4812847222222</v>
      </c>
      <c r="AZ23" s="495">
        <f t="shared" si="47"/>
        <v>512.22031249999998</v>
      </c>
      <c r="BA23" s="495">
        <f t="shared" si="48"/>
        <v>512.77253472222219</v>
      </c>
      <c r="BB23" s="495">
        <f t="shared" si="49"/>
        <v>514.98531249999996</v>
      </c>
      <c r="BC23" s="495">
        <f t="shared" si="50"/>
        <v>515.53753472222218</v>
      </c>
      <c r="BD23" s="495">
        <f t="shared" si="51"/>
        <v>546.38437499999998</v>
      </c>
      <c r="BE23" s="495">
        <f t="shared" si="52"/>
        <v>546.93659722222219</v>
      </c>
      <c r="BF23" s="495">
        <f t="shared" si="53"/>
        <v>549.14937499999996</v>
      </c>
      <c r="BG23" s="495">
        <f t="shared" si="54"/>
        <v>549.70159722222218</v>
      </c>
    </row>
    <row r="24" spans="1:59">
      <c r="A24" s="465" t="s">
        <v>8447</v>
      </c>
      <c r="B24" s="483">
        <v>556985850</v>
      </c>
      <c r="C24" s="462" t="s">
        <v>8403</v>
      </c>
      <c r="D24" s="462">
        <v>300</v>
      </c>
      <c r="F24" s="491" t="str" cm="1">
        <f t="array" aca="1" ref="F24" ca="1">MID(met2utc(PEPSSI_Commanding[[#This Row],[MET]]),3,15)</f>
        <v>23-257/08:25:34</v>
      </c>
      <c r="G24" s="465" t="str">
        <f t="shared" si="5"/>
        <v>STAT+300</v>
      </c>
      <c r="H24" s="466">
        <f t="shared" si="6"/>
        <v>556984316</v>
      </c>
      <c r="I24" s="466">
        <f t="shared" si="7"/>
        <v>556986166</v>
      </c>
      <c r="J24" s="465">
        <f t="shared" si="8"/>
        <v>9</v>
      </c>
      <c r="K24" s="465">
        <f t="shared" si="9"/>
        <v>1</v>
      </c>
      <c r="M24" s="462">
        <f t="shared" si="10"/>
        <v>3600</v>
      </c>
      <c r="N24" s="462">
        <f t="shared" si="11"/>
        <v>40</v>
      </c>
      <c r="O24" s="462">
        <f t="shared" si="12"/>
        <v>7200</v>
      </c>
      <c r="P24" s="462">
        <f t="shared" si="13"/>
        <v>300</v>
      </c>
      <c r="Q24" s="462" t="str">
        <f t="shared" si="14"/>
        <v/>
      </c>
      <c r="R24" s="462" t="str">
        <f t="shared" si="15"/>
        <v/>
      </c>
      <c r="S24" s="462" t="str">
        <f t="shared" si="16"/>
        <v/>
      </c>
      <c r="U24" s="495">
        <f t="shared" si="17"/>
        <v>0.22031249999999999</v>
      </c>
      <c r="V24" s="495">
        <f t="shared" si="18"/>
        <v>0.9140625</v>
      </c>
      <c r="W24" s="495">
        <f t="shared" si="19"/>
        <v>1.7066666666666668</v>
      </c>
      <c r="X24" s="495">
        <f t="shared" si="20"/>
        <v>0.55222222222222217</v>
      </c>
      <c r="Y24" s="495">
        <f t="shared" si="21"/>
        <v>33.25</v>
      </c>
      <c r="Z24" s="495">
        <f t="shared" si="22"/>
        <v>33.25</v>
      </c>
      <c r="AA24" s="495">
        <f t="shared" si="23"/>
        <v>2.7650000000000001</v>
      </c>
      <c r="AB24" s="496"/>
      <c r="AC24" s="495">
        <f t="shared" si="24"/>
        <v>0.55222222222222217</v>
      </c>
      <c r="AD24" s="495">
        <f t="shared" si="25"/>
        <v>2.7650000000000001</v>
      </c>
      <c r="AE24" s="495">
        <f t="shared" si="26"/>
        <v>3.3172222222222221</v>
      </c>
      <c r="AF24" s="495">
        <f t="shared" si="27"/>
        <v>34.1640625</v>
      </c>
      <c r="AG24" s="495">
        <f t="shared" si="28"/>
        <v>34.71628472222222</v>
      </c>
      <c r="AH24" s="495">
        <f t="shared" si="29"/>
        <v>36.929062500000001</v>
      </c>
      <c r="AI24" s="495">
        <f t="shared" si="30"/>
        <v>37.48128472222222</v>
      </c>
      <c r="AJ24" s="495">
        <f t="shared" si="31"/>
        <v>0.22031249999999999</v>
      </c>
      <c r="AK24" s="495">
        <f t="shared" si="32"/>
        <v>0.77253472222222219</v>
      </c>
      <c r="AL24" s="495">
        <f t="shared" si="33"/>
        <v>2.9853125</v>
      </c>
      <c r="AM24" s="495">
        <f t="shared" si="34"/>
        <v>3.5375347222222224</v>
      </c>
      <c r="AN24" s="495">
        <f t="shared" si="35"/>
        <v>34.384374999999999</v>
      </c>
      <c r="AO24" s="495">
        <f t="shared" si="36"/>
        <v>34.936597222222218</v>
      </c>
      <c r="AP24" s="495">
        <f t="shared" si="37"/>
        <v>37.149374999999999</v>
      </c>
      <c r="AQ24" s="495">
        <f t="shared" si="38"/>
        <v>37.701597222222219</v>
      </c>
      <c r="AR24" s="495">
        <f t="shared" si="39"/>
        <v>1.7066666666666668</v>
      </c>
      <c r="AS24" s="495">
        <f t="shared" si="40"/>
        <v>2.2588888888888889</v>
      </c>
      <c r="AT24" s="495">
        <f t="shared" si="41"/>
        <v>4.4716666666666667</v>
      </c>
      <c r="AU24" s="495">
        <f t="shared" si="42"/>
        <v>5.0238888888888891</v>
      </c>
      <c r="AV24" s="495">
        <f t="shared" si="43"/>
        <v>35.870729166666663</v>
      </c>
      <c r="AW24" s="495">
        <f t="shared" si="44"/>
        <v>36.422951388888883</v>
      </c>
      <c r="AX24" s="495">
        <f t="shared" si="45"/>
        <v>38.635729166666664</v>
      </c>
      <c r="AY24" s="495">
        <f t="shared" si="46"/>
        <v>39.187951388888884</v>
      </c>
      <c r="AZ24" s="495">
        <f t="shared" si="47"/>
        <v>1.9269791666666667</v>
      </c>
      <c r="BA24" s="495">
        <f t="shared" si="48"/>
        <v>2.4792013888888889</v>
      </c>
      <c r="BB24" s="495">
        <f t="shared" si="49"/>
        <v>4.691979166666667</v>
      </c>
      <c r="BC24" s="495">
        <f t="shared" si="50"/>
        <v>5.2442013888888894</v>
      </c>
      <c r="BD24" s="495">
        <f t="shared" si="51"/>
        <v>36.091041666666669</v>
      </c>
      <c r="BE24" s="495">
        <f t="shared" si="52"/>
        <v>36.643263888888889</v>
      </c>
      <c r="BF24" s="495">
        <f t="shared" si="53"/>
        <v>38.85604166666667</v>
      </c>
      <c r="BG24" s="495">
        <f t="shared" si="54"/>
        <v>39.408263888888889</v>
      </c>
    </row>
    <row r="25" spans="1:59">
      <c r="A25" s="465" t="s">
        <v>8445</v>
      </c>
      <c r="B25" s="483">
        <v>556986166</v>
      </c>
      <c r="C25" s="462" t="s">
        <v>776</v>
      </c>
      <c r="D25" s="462">
        <v>100</v>
      </c>
      <c r="F25" s="491" t="str" cm="1">
        <f t="array" aca="1" ref="F25" ca="1">MID(met2utc(PEPSSI_Commanding[[#This Row],[MET]]),3,15)</f>
        <v>23-257/08:30:50</v>
      </c>
      <c r="G25" s="465" t="str">
        <f t="shared" si="5"/>
        <v>N2+100</v>
      </c>
      <c r="H25" s="466">
        <f t="shared" si="6"/>
        <v>556986166</v>
      </c>
      <c r="I25" s="466">
        <f t="shared" si="7"/>
        <v>557237286</v>
      </c>
      <c r="J25" s="465">
        <f t="shared" si="8"/>
        <v>10</v>
      </c>
      <c r="K25" s="465">
        <f t="shared" si="9"/>
        <v>4</v>
      </c>
      <c r="M25" s="462">
        <f t="shared" si="10"/>
        <v>3600</v>
      </c>
      <c r="N25" s="462">
        <f t="shared" si="11"/>
        <v>100</v>
      </c>
      <c r="O25" s="462">
        <f t="shared" si="12"/>
        <v>7200</v>
      </c>
      <c r="P25" s="462">
        <f t="shared" si="13"/>
        <v>300</v>
      </c>
      <c r="Q25" s="462" t="str">
        <f t="shared" si="14"/>
        <v/>
      </c>
      <c r="R25" s="462" t="str">
        <f t="shared" si="15"/>
        <v/>
      </c>
      <c r="S25" s="462" t="str">
        <f t="shared" si="16"/>
        <v/>
      </c>
      <c r="U25" s="495">
        <f t="shared" si="17"/>
        <v>8.8124999999999995E-2</v>
      </c>
      <c r="V25" s="495">
        <f t="shared" si="18"/>
        <v>0.36562499999999998</v>
      </c>
      <c r="W25" s="495">
        <f t="shared" si="19"/>
        <v>1.7066666666666668</v>
      </c>
      <c r="X25" s="495">
        <f t="shared" si="20"/>
        <v>0.55222222222222217</v>
      </c>
      <c r="Y25" s="495">
        <f t="shared" si="21"/>
        <v>13.3</v>
      </c>
      <c r="Z25" s="495">
        <f t="shared" si="22"/>
        <v>13.3</v>
      </c>
      <c r="AA25" s="495">
        <f t="shared" si="23"/>
        <v>2.7650000000000001</v>
      </c>
      <c r="AB25" s="496"/>
      <c r="AC25" s="495">
        <f t="shared" si="24"/>
        <v>0.55222222222222217</v>
      </c>
      <c r="AD25" s="495">
        <f t="shared" si="25"/>
        <v>2.7650000000000001</v>
      </c>
      <c r="AE25" s="495">
        <f t="shared" si="26"/>
        <v>3.3172222222222221</v>
      </c>
      <c r="AF25" s="495">
        <f t="shared" si="27"/>
        <v>13.665625</v>
      </c>
      <c r="AG25" s="495">
        <f t="shared" si="28"/>
        <v>14.217847222222222</v>
      </c>
      <c r="AH25" s="495">
        <f t="shared" si="29"/>
        <v>16.430624999999999</v>
      </c>
      <c r="AI25" s="495">
        <f t="shared" si="30"/>
        <v>16.982847222222222</v>
      </c>
      <c r="AJ25" s="495">
        <f t="shared" si="31"/>
        <v>8.8124999999999995E-2</v>
      </c>
      <c r="AK25" s="495">
        <f t="shared" si="32"/>
        <v>0.64034722222222218</v>
      </c>
      <c r="AL25" s="495">
        <f t="shared" si="33"/>
        <v>2.8531249999999999</v>
      </c>
      <c r="AM25" s="495">
        <f t="shared" si="34"/>
        <v>3.4053472222222219</v>
      </c>
      <c r="AN25" s="495">
        <f t="shared" si="35"/>
        <v>13.75375</v>
      </c>
      <c r="AO25" s="495">
        <f t="shared" si="36"/>
        <v>14.305972222222222</v>
      </c>
      <c r="AP25" s="495">
        <f t="shared" si="37"/>
        <v>16.518750000000001</v>
      </c>
      <c r="AQ25" s="495">
        <f t="shared" si="38"/>
        <v>17.070972222222224</v>
      </c>
      <c r="AR25" s="495">
        <f t="shared" si="39"/>
        <v>1.7066666666666668</v>
      </c>
      <c r="AS25" s="495">
        <f t="shared" si="40"/>
        <v>2.2588888888888889</v>
      </c>
      <c r="AT25" s="495">
        <f t="shared" si="41"/>
        <v>4.4716666666666667</v>
      </c>
      <c r="AU25" s="495">
        <f t="shared" si="42"/>
        <v>5.0238888888888891</v>
      </c>
      <c r="AV25" s="495">
        <f t="shared" si="43"/>
        <v>15.372291666666667</v>
      </c>
      <c r="AW25" s="495">
        <f t="shared" si="44"/>
        <v>15.924513888888889</v>
      </c>
      <c r="AX25" s="495">
        <f t="shared" si="45"/>
        <v>18.137291666666666</v>
      </c>
      <c r="AY25" s="495">
        <f t="shared" si="46"/>
        <v>18.689513888888889</v>
      </c>
      <c r="AZ25" s="495">
        <f t="shared" si="47"/>
        <v>1.7947916666666668</v>
      </c>
      <c r="BA25" s="495">
        <f t="shared" si="48"/>
        <v>2.3470138888888892</v>
      </c>
      <c r="BB25" s="495">
        <f t="shared" si="49"/>
        <v>4.5597916666666674</v>
      </c>
      <c r="BC25" s="495">
        <f t="shared" si="50"/>
        <v>5.1120138888888897</v>
      </c>
      <c r="BD25" s="495">
        <f t="shared" si="51"/>
        <v>15.460416666666667</v>
      </c>
      <c r="BE25" s="495">
        <f t="shared" si="52"/>
        <v>16.01263888888889</v>
      </c>
      <c r="BF25" s="495">
        <f t="shared" si="53"/>
        <v>18.225416666666668</v>
      </c>
      <c r="BG25" s="495">
        <f t="shared" si="54"/>
        <v>18.777638888888891</v>
      </c>
    </row>
    <row r="26" spans="1:59">
      <c r="A26" s="465" t="s">
        <v>8445</v>
      </c>
      <c r="B26" s="483">
        <v>556986169</v>
      </c>
      <c r="C26" s="462" t="s">
        <v>12</v>
      </c>
      <c r="D26" s="462">
        <v>100</v>
      </c>
      <c r="F26" s="491" t="str" cm="1">
        <f t="array" aca="1" ref="F26" ca="1">MID(met2utc(PEPSSI_Commanding[[#This Row],[MET]]),3,15)</f>
        <v>23-257/08:30:53</v>
      </c>
      <c r="G26" s="465" t="str">
        <f t="shared" si="5"/>
        <v>N1+100</v>
      </c>
      <c r="H26" s="466">
        <f t="shared" si="6"/>
        <v>556986166</v>
      </c>
      <c r="I26" s="466">
        <f t="shared" si="7"/>
        <v>557237286</v>
      </c>
      <c r="J26" s="465">
        <f t="shared" si="8"/>
        <v>11</v>
      </c>
      <c r="K26" s="465">
        <f t="shared" si="9"/>
        <v>3</v>
      </c>
      <c r="M26" s="462">
        <f t="shared" si="10"/>
        <v>100</v>
      </c>
      <c r="N26" s="462">
        <f t="shared" si="11"/>
        <v>100</v>
      </c>
      <c r="O26" s="462">
        <f t="shared" si="12"/>
        <v>7200</v>
      </c>
      <c r="P26" s="462">
        <f t="shared" si="13"/>
        <v>300</v>
      </c>
      <c r="Q26" s="462" t="str">
        <f t="shared" si="14"/>
        <v/>
      </c>
      <c r="R26" s="462" t="str">
        <f t="shared" si="15"/>
        <v/>
      </c>
      <c r="S26" s="462" t="str">
        <f t="shared" si="16"/>
        <v/>
      </c>
      <c r="U26" s="495">
        <f t="shared" si="17"/>
        <v>8.8124999999999995E-2</v>
      </c>
      <c r="V26" s="495">
        <f t="shared" si="18"/>
        <v>0.36562499999999998</v>
      </c>
      <c r="W26" s="495">
        <f t="shared" si="19"/>
        <v>1.7066666666666668</v>
      </c>
      <c r="X26" s="495">
        <f t="shared" si="20"/>
        <v>19.88</v>
      </c>
      <c r="Y26" s="495">
        <f t="shared" si="21"/>
        <v>13.3</v>
      </c>
      <c r="Z26" s="495">
        <f t="shared" si="22"/>
        <v>13.3</v>
      </c>
      <c r="AA26" s="495">
        <f t="shared" si="23"/>
        <v>2.7650000000000001</v>
      </c>
      <c r="AB26" s="496"/>
      <c r="AC26" s="495">
        <f t="shared" si="24"/>
        <v>19.88</v>
      </c>
      <c r="AD26" s="495">
        <f t="shared" si="25"/>
        <v>2.7650000000000001</v>
      </c>
      <c r="AE26" s="495">
        <f t="shared" si="26"/>
        <v>22.645</v>
      </c>
      <c r="AF26" s="495">
        <f t="shared" si="27"/>
        <v>13.665625</v>
      </c>
      <c r="AG26" s="495">
        <f t="shared" si="28"/>
        <v>33.545625000000001</v>
      </c>
      <c r="AH26" s="495">
        <f t="shared" si="29"/>
        <v>16.430624999999999</v>
      </c>
      <c r="AI26" s="495">
        <f t="shared" si="30"/>
        <v>36.310625000000002</v>
      </c>
      <c r="AJ26" s="495">
        <f t="shared" si="31"/>
        <v>8.8124999999999995E-2</v>
      </c>
      <c r="AK26" s="495">
        <f t="shared" si="32"/>
        <v>19.968125000000001</v>
      </c>
      <c r="AL26" s="495">
        <f t="shared" si="33"/>
        <v>2.8531249999999999</v>
      </c>
      <c r="AM26" s="495">
        <f t="shared" si="34"/>
        <v>22.733124999999998</v>
      </c>
      <c r="AN26" s="495">
        <f t="shared" si="35"/>
        <v>13.75375</v>
      </c>
      <c r="AO26" s="495">
        <f t="shared" si="36"/>
        <v>33.633749999999999</v>
      </c>
      <c r="AP26" s="495">
        <f t="shared" si="37"/>
        <v>16.518750000000001</v>
      </c>
      <c r="AQ26" s="495">
        <f t="shared" si="38"/>
        <v>36.39875</v>
      </c>
      <c r="AR26" s="495">
        <f t="shared" si="39"/>
        <v>1.7066666666666668</v>
      </c>
      <c r="AS26" s="495">
        <f t="shared" si="40"/>
        <v>21.586666666666666</v>
      </c>
      <c r="AT26" s="495">
        <f t="shared" si="41"/>
        <v>4.4716666666666667</v>
      </c>
      <c r="AU26" s="495">
        <f t="shared" si="42"/>
        <v>24.351666666666667</v>
      </c>
      <c r="AV26" s="495">
        <f t="shared" si="43"/>
        <v>15.372291666666667</v>
      </c>
      <c r="AW26" s="495">
        <f t="shared" si="44"/>
        <v>35.252291666666665</v>
      </c>
      <c r="AX26" s="495">
        <f t="shared" si="45"/>
        <v>18.137291666666666</v>
      </c>
      <c r="AY26" s="495">
        <f t="shared" si="46"/>
        <v>38.017291666666665</v>
      </c>
      <c r="AZ26" s="495">
        <f t="shared" si="47"/>
        <v>1.7947916666666668</v>
      </c>
      <c r="BA26" s="495">
        <f t="shared" si="48"/>
        <v>21.674791666666664</v>
      </c>
      <c r="BB26" s="495">
        <f t="shared" si="49"/>
        <v>4.5597916666666674</v>
      </c>
      <c r="BC26" s="495">
        <f t="shared" si="50"/>
        <v>24.439791666666665</v>
      </c>
      <c r="BD26" s="495">
        <f t="shared" si="51"/>
        <v>15.460416666666667</v>
      </c>
      <c r="BE26" s="495">
        <f t="shared" si="52"/>
        <v>35.34041666666667</v>
      </c>
      <c r="BF26" s="495">
        <f t="shared" si="53"/>
        <v>18.225416666666668</v>
      </c>
      <c r="BG26" s="495">
        <f t="shared" si="54"/>
        <v>38.10541666666667</v>
      </c>
    </row>
    <row r="27" spans="1:59">
      <c r="A27" s="465" t="s">
        <v>8445</v>
      </c>
      <c r="B27" s="483">
        <v>556986172</v>
      </c>
      <c r="C27" s="462" t="s">
        <v>773</v>
      </c>
      <c r="D27" s="462">
        <v>7200</v>
      </c>
      <c r="F27" s="491" t="str" cm="1">
        <f t="array" aca="1" ref="F27" ca="1">MID(met2utc(PEPSSI_Commanding[[#This Row],[MET]]),3,15)</f>
        <v>23-257/08:30:56</v>
      </c>
      <c r="G27" s="465" t="str">
        <f t="shared" si="5"/>
        <v>N3+7200</v>
      </c>
      <c r="H27" s="466">
        <f t="shared" si="6"/>
        <v>556986166</v>
      </c>
      <c r="I27" s="466">
        <f t="shared" si="7"/>
        <v>557237286</v>
      </c>
      <c r="J27" s="465">
        <f t="shared" si="8"/>
        <v>12</v>
      </c>
      <c r="K27" s="465">
        <f t="shared" si="9"/>
        <v>2</v>
      </c>
      <c r="M27" s="462">
        <f t="shared" si="10"/>
        <v>100</v>
      </c>
      <c r="N27" s="462">
        <f t="shared" si="11"/>
        <v>100</v>
      </c>
      <c r="O27" s="462">
        <f t="shared" si="12"/>
        <v>7200</v>
      </c>
      <c r="P27" s="462">
        <f t="shared" si="13"/>
        <v>300</v>
      </c>
      <c r="Q27" s="462" t="str">
        <f t="shared" si="14"/>
        <v/>
      </c>
      <c r="R27" s="462" t="str">
        <f t="shared" si="15"/>
        <v/>
      </c>
      <c r="S27" s="462" t="str">
        <f t="shared" si="16"/>
        <v/>
      </c>
      <c r="U27" s="495">
        <f t="shared" si="17"/>
        <v>8.8124999999999995E-2</v>
      </c>
      <c r="V27" s="495">
        <f t="shared" si="18"/>
        <v>0.36562499999999998</v>
      </c>
      <c r="W27" s="495">
        <f t="shared" si="19"/>
        <v>1.7066666666666668</v>
      </c>
      <c r="X27" s="495">
        <f t="shared" si="20"/>
        <v>19.88</v>
      </c>
      <c r="Y27" s="495">
        <f t="shared" si="21"/>
        <v>13.3</v>
      </c>
      <c r="Z27" s="495">
        <f t="shared" si="22"/>
        <v>13.3</v>
      </c>
      <c r="AA27" s="495">
        <f t="shared" si="23"/>
        <v>2.7650000000000001</v>
      </c>
      <c r="AB27" s="496"/>
      <c r="AC27" s="495">
        <f t="shared" si="24"/>
        <v>19.88</v>
      </c>
      <c r="AD27" s="495">
        <f t="shared" si="25"/>
        <v>2.7650000000000001</v>
      </c>
      <c r="AE27" s="495">
        <f t="shared" si="26"/>
        <v>22.645</v>
      </c>
      <c r="AF27" s="495">
        <f t="shared" si="27"/>
        <v>13.665625</v>
      </c>
      <c r="AG27" s="495">
        <f t="shared" si="28"/>
        <v>33.545625000000001</v>
      </c>
      <c r="AH27" s="495">
        <f t="shared" si="29"/>
        <v>16.430624999999999</v>
      </c>
      <c r="AI27" s="495">
        <f t="shared" si="30"/>
        <v>36.310625000000002</v>
      </c>
      <c r="AJ27" s="495">
        <f t="shared" si="31"/>
        <v>8.8124999999999995E-2</v>
      </c>
      <c r="AK27" s="495">
        <f t="shared" si="32"/>
        <v>19.968125000000001</v>
      </c>
      <c r="AL27" s="495">
        <f t="shared" si="33"/>
        <v>2.8531249999999999</v>
      </c>
      <c r="AM27" s="495">
        <f t="shared" si="34"/>
        <v>22.733124999999998</v>
      </c>
      <c r="AN27" s="495">
        <f t="shared" si="35"/>
        <v>13.75375</v>
      </c>
      <c r="AO27" s="495">
        <f t="shared" si="36"/>
        <v>33.633749999999999</v>
      </c>
      <c r="AP27" s="495">
        <f t="shared" si="37"/>
        <v>16.518750000000001</v>
      </c>
      <c r="AQ27" s="495">
        <f t="shared" si="38"/>
        <v>36.39875</v>
      </c>
      <c r="AR27" s="495">
        <f t="shared" si="39"/>
        <v>1.7066666666666668</v>
      </c>
      <c r="AS27" s="495">
        <f t="shared" si="40"/>
        <v>21.586666666666666</v>
      </c>
      <c r="AT27" s="495">
        <f t="shared" si="41"/>
        <v>4.4716666666666667</v>
      </c>
      <c r="AU27" s="495">
        <f t="shared" si="42"/>
        <v>24.351666666666667</v>
      </c>
      <c r="AV27" s="495">
        <f t="shared" si="43"/>
        <v>15.372291666666667</v>
      </c>
      <c r="AW27" s="495">
        <f t="shared" si="44"/>
        <v>35.252291666666665</v>
      </c>
      <c r="AX27" s="495">
        <f t="shared" si="45"/>
        <v>18.137291666666666</v>
      </c>
      <c r="AY27" s="495">
        <f t="shared" si="46"/>
        <v>38.017291666666665</v>
      </c>
      <c r="AZ27" s="495">
        <f t="shared" si="47"/>
        <v>1.7947916666666668</v>
      </c>
      <c r="BA27" s="495">
        <f t="shared" si="48"/>
        <v>21.674791666666664</v>
      </c>
      <c r="BB27" s="495">
        <f t="shared" si="49"/>
        <v>4.5597916666666674</v>
      </c>
      <c r="BC27" s="495">
        <f t="shared" si="50"/>
        <v>24.439791666666665</v>
      </c>
      <c r="BD27" s="495">
        <f t="shared" si="51"/>
        <v>15.460416666666667</v>
      </c>
      <c r="BE27" s="495">
        <f t="shared" si="52"/>
        <v>35.34041666666667</v>
      </c>
      <c r="BF27" s="495">
        <f t="shared" si="53"/>
        <v>18.225416666666668</v>
      </c>
      <c r="BG27" s="495">
        <f t="shared" si="54"/>
        <v>38.10541666666667</v>
      </c>
    </row>
    <row r="28" spans="1:59">
      <c r="A28" s="465" t="s">
        <v>8447</v>
      </c>
      <c r="B28" s="483">
        <v>556986175</v>
      </c>
      <c r="C28" s="462" t="s">
        <v>8403</v>
      </c>
      <c r="D28" s="462">
        <v>1800</v>
      </c>
      <c r="F28" s="491" t="str" cm="1">
        <f t="array" aca="1" ref="F28" ca="1">MID(met2utc(PEPSSI_Commanding[[#This Row],[MET]]),3,15)</f>
        <v>23-257/08:30:59</v>
      </c>
      <c r="G28" s="465" t="str">
        <f t="shared" si="5"/>
        <v>STAT+1800</v>
      </c>
      <c r="H28" s="466">
        <f t="shared" si="6"/>
        <v>556986166</v>
      </c>
      <c r="I28" s="466">
        <f t="shared" si="7"/>
        <v>557237286</v>
      </c>
      <c r="J28" s="465">
        <f t="shared" si="8"/>
        <v>13</v>
      </c>
      <c r="K28" s="465">
        <f t="shared" si="9"/>
        <v>1</v>
      </c>
      <c r="M28" s="462">
        <f t="shared" si="10"/>
        <v>100</v>
      </c>
      <c r="N28" s="462">
        <f t="shared" si="11"/>
        <v>100</v>
      </c>
      <c r="O28" s="462">
        <f t="shared" si="12"/>
        <v>7200</v>
      </c>
      <c r="P28" s="462">
        <f t="shared" si="13"/>
        <v>1800</v>
      </c>
      <c r="Q28" s="462" t="str">
        <f t="shared" si="14"/>
        <v/>
      </c>
      <c r="R28" s="462" t="str">
        <f t="shared" si="15"/>
        <v/>
      </c>
      <c r="S28" s="462" t="str">
        <f t="shared" si="16"/>
        <v/>
      </c>
      <c r="U28" s="495">
        <f t="shared" si="17"/>
        <v>8.8124999999999995E-2</v>
      </c>
      <c r="V28" s="495">
        <f t="shared" si="18"/>
        <v>0.36562499999999998</v>
      </c>
      <c r="W28" s="495">
        <f t="shared" si="19"/>
        <v>0.28444444444444444</v>
      </c>
      <c r="X28" s="495">
        <f t="shared" si="20"/>
        <v>19.88</v>
      </c>
      <c r="Y28" s="495">
        <f t="shared" si="21"/>
        <v>13.3</v>
      </c>
      <c r="Z28" s="495">
        <f t="shared" si="22"/>
        <v>13.3</v>
      </c>
      <c r="AA28" s="495">
        <f t="shared" si="23"/>
        <v>2.7650000000000001</v>
      </c>
      <c r="AB28" s="496"/>
      <c r="AC28" s="495">
        <f t="shared" si="24"/>
        <v>19.88</v>
      </c>
      <c r="AD28" s="495">
        <f t="shared" si="25"/>
        <v>2.7650000000000001</v>
      </c>
      <c r="AE28" s="495">
        <f t="shared" si="26"/>
        <v>22.645</v>
      </c>
      <c r="AF28" s="495">
        <f t="shared" si="27"/>
        <v>13.665625</v>
      </c>
      <c r="AG28" s="495">
        <f t="shared" si="28"/>
        <v>33.545625000000001</v>
      </c>
      <c r="AH28" s="495">
        <f t="shared" si="29"/>
        <v>16.430624999999999</v>
      </c>
      <c r="AI28" s="495">
        <f t="shared" si="30"/>
        <v>36.310625000000002</v>
      </c>
      <c r="AJ28" s="495">
        <f t="shared" si="31"/>
        <v>8.8124999999999995E-2</v>
      </c>
      <c r="AK28" s="495">
        <f t="shared" si="32"/>
        <v>19.968125000000001</v>
      </c>
      <c r="AL28" s="495">
        <f t="shared" si="33"/>
        <v>2.8531249999999999</v>
      </c>
      <c r="AM28" s="495">
        <f t="shared" si="34"/>
        <v>22.733124999999998</v>
      </c>
      <c r="AN28" s="495">
        <f t="shared" si="35"/>
        <v>13.75375</v>
      </c>
      <c r="AO28" s="495">
        <f t="shared" si="36"/>
        <v>33.633749999999999</v>
      </c>
      <c r="AP28" s="495">
        <f t="shared" si="37"/>
        <v>16.518750000000001</v>
      </c>
      <c r="AQ28" s="495">
        <f t="shared" si="38"/>
        <v>36.39875</v>
      </c>
      <c r="AR28" s="495">
        <f t="shared" si="39"/>
        <v>0.28444444444444444</v>
      </c>
      <c r="AS28" s="495">
        <f t="shared" si="40"/>
        <v>20.164444444444442</v>
      </c>
      <c r="AT28" s="495">
        <f t="shared" si="41"/>
        <v>3.0494444444444446</v>
      </c>
      <c r="AU28" s="495">
        <f t="shared" si="42"/>
        <v>22.929444444444442</v>
      </c>
      <c r="AV28" s="495">
        <f t="shared" si="43"/>
        <v>13.950069444444445</v>
      </c>
      <c r="AW28" s="495">
        <f t="shared" si="44"/>
        <v>33.830069444444447</v>
      </c>
      <c r="AX28" s="495">
        <f t="shared" si="45"/>
        <v>16.715069444444445</v>
      </c>
      <c r="AY28" s="495">
        <f t="shared" si="46"/>
        <v>36.595069444444448</v>
      </c>
      <c r="AZ28" s="495">
        <f t="shared" si="47"/>
        <v>0.37256944444444445</v>
      </c>
      <c r="BA28" s="495">
        <f t="shared" si="48"/>
        <v>20.252569444444443</v>
      </c>
      <c r="BB28" s="495">
        <f t="shared" si="49"/>
        <v>3.1375694444444444</v>
      </c>
      <c r="BC28" s="495">
        <f t="shared" si="50"/>
        <v>23.017569444444444</v>
      </c>
      <c r="BD28" s="495">
        <f t="shared" si="51"/>
        <v>14.038194444444445</v>
      </c>
      <c r="BE28" s="495">
        <f t="shared" si="52"/>
        <v>33.918194444444445</v>
      </c>
      <c r="BF28" s="495">
        <f t="shared" si="53"/>
        <v>16.803194444444443</v>
      </c>
      <c r="BG28" s="495">
        <f t="shared" si="54"/>
        <v>36.683194444444439</v>
      </c>
    </row>
    <row r="29" spans="1:59">
      <c r="A29" s="465" t="s">
        <v>8441</v>
      </c>
      <c r="B29" s="483">
        <v>557237286</v>
      </c>
      <c r="C29" s="462" t="s">
        <v>8461</v>
      </c>
      <c r="F29" s="491" t="str" cm="1">
        <f t="array" aca="1" ref="F29" ca="1">MID(met2utc(PEPSSI_Commanding[[#This Row],[MET]]),3,15)</f>
        <v>23-260/06:16:10</v>
      </c>
      <c r="G29" s="465" t="str">
        <f t="shared" si="5"/>
        <v>OFF</v>
      </c>
      <c r="H29" s="466">
        <f t="shared" si="6"/>
        <v>556986166</v>
      </c>
      <c r="I29" s="466">
        <f t="shared" si="7"/>
        <v>557237286</v>
      </c>
      <c r="J29" s="465">
        <f t="shared" si="8"/>
        <v>14</v>
      </c>
      <c r="K29" s="465">
        <f t="shared" si="9"/>
        <v>0</v>
      </c>
      <c r="M29" s="462">
        <f t="shared" si="10"/>
        <v>100</v>
      </c>
      <c r="N29" s="462">
        <f t="shared" si="11"/>
        <v>100</v>
      </c>
      <c r="O29" s="462">
        <f t="shared" si="12"/>
        <v>7200</v>
      </c>
      <c r="P29" s="462">
        <f t="shared" si="13"/>
        <v>1800</v>
      </c>
      <c r="Q29" s="462" t="str">
        <f t="shared" si="14"/>
        <v/>
      </c>
      <c r="R29" s="462" t="str">
        <f t="shared" si="15"/>
        <v/>
      </c>
      <c r="S29" s="462" t="str">
        <f t="shared" si="16"/>
        <v/>
      </c>
      <c r="U29" s="495">
        <f t="shared" si="17"/>
        <v>8.8124999999999995E-2</v>
      </c>
      <c r="V29" s="495">
        <f t="shared" si="18"/>
        <v>0.36562499999999998</v>
      </c>
      <c r="W29" s="495">
        <f t="shared" si="19"/>
        <v>0.28444444444444444</v>
      </c>
      <c r="X29" s="495">
        <f t="shared" si="20"/>
        <v>19.88</v>
      </c>
      <c r="Y29" s="495">
        <f t="shared" si="21"/>
        <v>13.3</v>
      </c>
      <c r="Z29" s="495">
        <f t="shared" si="22"/>
        <v>13.3</v>
      </c>
      <c r="AA29" s="495">
        <f t="shared" si="23"/>
        <v>2.7650000000000001</v>
      </c>
      <c r="AB29" s="496"/>
      <c r="AC29" s="495">
        <f t="shared" si="24"/>
        <v>19.88</v>
      </c>
      <c r="AD29" s="495">
        <f t="shared" si="25"/>
        <v>2.7650000000000001</v>
      </c>
      <c r="AE29" s="495">
        <f t="shared" si="26"/>
        <v>22.645</v>
      </c>
      <c r="AF29" s="495">
        <f t="shared" si="27"/>
        <v>13.665625</v>
      </c>
      <c r="AG29" s="495">
        <f t="shared" si="28"/>
        <v>33.545625000000001</v>
      </c>
      <c r="AH29" s="495">
        <f t="shared" si="29"/>
        <v>16.430624999999999</v>
      </c>
      <c r="AI29" s="495">
        <f t="shared" si="30"/>
        <v>36.310625000000002</v>
      </c>
      <c r="AJ29" s="495">
        <f t="shared" si="31"/>
        <v>8.8124999999999995E-2</v>
      </c>
      <c r="AK29" s="495">
        <f t="shared" si="32"/>
        <v>19.968125000000001</v>
      </c>
      <c r="AL29" s="495">
        <f t="shared" si="33"/>
        <v>2.8531249999999999</v>
      </c>
      <c r="AM29" s="495">
        <f t="shared" si="34"/>
        <v>22.733124999999998</v>
      </c>
      <c r="AN29" s="495">
        <f t="shared" si="35"/>
        <v>13.75375</v>
      </c>
      <c r="AO29" s="495">
        <f t="shared" si="36"/>
        <v>33.633749999999999</v>
      </c>
      <c r="AP29" s="495">
        <f t="shared" si="37"/>
        <v>16.518750000000001</v>
      </c>
      <c r="AQ29" s="495">
        <f t="shared" si="38"/>
        <v>36.39875</v>
      </c>
      <c r="AR29" s="495">
        <f t="shared" si="39"/>
        <v>0.28444444444444444</v>
      </c>
      <c r="AS29" s="495">
        <f t="shared" si="40"/>
        <v>20.164444444444442</v>
      </c>
      <c r="AT29" s="495">
        <f t="shared" si="41"/>
        <v>3.0494444444444446</v>
      </c>
      <c r="AU29" s="495">
        <f t="shared" si="42"/>
        <v>22.929444444444442</v>
      </c>
      <c r="AV29" s="495">
        <f t="shared" si="43"/>
        <v>13.950069444444445</v>
      </c>
      <c r="AW29" s="495">
        <f t="shared" si="44"/>
        <v>33.830069444444447</v>
      </c>
      <c r="AX29" s="495">
        <f t="shared" si="45"/>
        <v>16.715069444444445</v>
      </c>
      <c r="AY29" s="495">
        <f t="shared" si="46"/>
        <v>36.595069444444448</v>
      </c>
      <c r="AZ29" s="495">
        <f t="shared" si="47"/>
        <v>0.37256944444444445</v>
      </c>
      <c r="BA29" s="495">
        <f t="shared" si="48"/>
        <v>20.252569444444443</v>
      </c>
      <c r="BB29" s="495">
        <f t="shared" si="49"/>
        <v>3.1375694444444444</v>
      </c>
      <c r="BC29" s="495">
        <f t="shared" si="50"/>
        <v>23.017569444444444</v>
      </c>
      <c r="BD29" s="495">
        <f t="shared" si="51"/>
        <v>14.038194444444445</v>
      </c>
      <c r="BE29" s="495">
        <f t="shared" si="52"/>
        <v>33.918194444444445</v>
      </c>
      <c r="BF29" s="495">
        <f t="shared" si="53"/>
        <v>16.803194444444443</v>
      </c>
      <c r="BG29" s="495">
        <f t="shared" si="54"/>
        <v>36.683194444444439</v>
      </c>
    </row>
    <row r="30" spans="1:59">
      <c r="A30" s="465" t="s">
        <v>8441</v>
      </c>
      <c r="B30" s="483">
        <v>557332916</v>
      </c>
      <c r="C30" s="462" t="s">
        <v>1148</v>
      </c>
      <c r="F30" s="491" t="str" cm="1">
        <f t="array" aca="1" ref="F30" ca="1">MID(met2utc(PEPSSI_Commanding[[#This Row],[MET]]),3,15)</f>
        <v>23-261/08:50:00</v>
      </c>
      <c r="G30" s="465" t="str">
        <f t="shared" si="5"/>
        <v>ON</v>
      </c>
      <c r="H30" s="466">
        <f t="shared" si="6"/>
        <v>557332916</v>
      </c>
      <c r="I30" s="466">
        <f t="shared" si="7"/>
        <v>557334766</v>
      </c>
      <c r="J30" s="465">
        <f t="shared" si="8"/>
        <v>0</v>
      </c>
      <c r="K30" s="465">
        <f t="shared" si="9"/>
        <v>10</v>
      </c>
      <c r="M30" s="462" t="str">
        <f t="shared" si="10"/>
        <v/>
      </c>
      <c r="N30" s="462" t="str">
        <f t="shared" si="11"/>
        <v/>
      </c>
      <c r="O30" s="462" t="str">
        <f t="shared" si="12"/>
        <v/>
      </c>
      <c r="P30" s="462" t="str">
        <f t="shared" si="13"/>
        <v/>
      </c>
      <c r="Q30" s="462" t="str">
        <f t="shared" si="14"/>
        <v/>
      </c>
      <c r="R30" s="462" t="str">
        <f t="shared" si="15"/>
        <v/>
      </c>
      <c r="S30" s="462" t="str">
        <f t="shared" si="16"/>
        <v/>
      </c>
      <c r="U30" s="495">
        <f t="shared" si="17"/>
        <v>0</v>
      </c>
      <c r="V30" s="495">
        <f t="shared" si="18"/>
        <v>0</v>
      </c>
      <c r="W30" s="495">
        <f t="shared" si="19"/>
        <v>0</v>
      </c>
      <c r="X30" s="495">
        <f t="shared" si="20"/>
        <v>0</v>
      </c>
      <c r="Y30" s="495">
        <f t="shared" si="21"/>
        <v>0</v>
      </c>
      <c r="Z30" s="495">
        <f t="shared" si="22"/>
        <v>0</v>
      </c>
      <c r="AA30" s="495">
        <f t="shared" si="23"/>
        <v>0</v>
      </c>
      <c r="AB30" s="496"/>
      <c r="AC30" s="495">
        <f t="shared" si="24"/>
        <v>0</v>
      </c>
      <c r="AD30" s="495">
        <f t="shared" si="25"/>
        <v>0</v>
      </c>
      <c r="AE30" s="495">
        <f t="shared" si="26"/>
        <v>0</v>
      </c>
      <c r="AF30" s="495">
        <f t="shared" si="27"/>
        <v>0</v>
      </c>
      <c r="AG30" s="495">
        <f t="shared" si="28"/>
        <v>0</v>
      </c>
      <c r="AH30" s="495">
        <f t="shared" si="29"/>
        <v>0</v>
      </c>
      <c r="AI30" s="495">
        <f t="shared" si="30"/>
        <v>0</v>
      </c>
      <c r="AJ30" s="495">
        <f t="shared" si="31"/>
        <v>0</v>
      </c>
      <c r="AK30" s="495">
        <f t="shared" si="32"/>
        <v>0</v>
      </c>
      <c r="AL30" s="495">
        <f t="shared" si="33"/>
        <v>0</v>
      </c>
      <c r="AM30" s="495">
        <f t="shared" si="34"/>
        <v>0</v>
      </c>
      <c r="AN30" s="495">
        <f t="shared" si="35"/>
        <v>0</v>
      </c>
      <c r="AO30" s="495">
        <f t="shared" si="36"/>
        <v>0</v>
      </c>
      <c r="AP30" s="495">
        <f t="shared" si="37"/>
        <v>0</v>
      </c>
      <c r="AQ30" s="495">
        <f t="shared" si="38"/>
        <v>0</v>
      </c>
      <c r="AR30" s="495">
        <f t="shared" si="39"/>
        <v>0</v>
      </c>
      <c r="AS30" s="495">
        <f t="shared" si="40"/>
        <v>0</v>
      </c>
      <c r="AT30" s="495">
        <f t="shared" si="41"/>
        <v>0</v>
      </c>
      <c r="AU30" s="495">
        <f t="shared" si="42"/>
        <v>0</v>
      </c>
      <c r="AV30" s="495">
        <f t="shared" si="43"/>
        <v>0</v>
      </c>
      <c r="AW30" s="495">
        <f t="shared" si="44"/>
        <v>0</v>
      </c>
      <c r="AX30" s="495">
        <f t="shared" si="45"/>
        <v>0</v>
      </c>
      <c r="AY30" s="495">
        <f t="shared" si="46"/>
        <v>0</v>
      </c>
      <c r="AZ30" s="495">
        <f t="shared" si="47"/>
        <v>0</v>
      </c>
      <c r="BA30" s="495">
        <f t="shared" si="48"/>
        <v>0</v>
      </c>
      <c r="BB30" s="495">
        <f t="shared" si="49"/>
        <v>0</v>
      </c>
      <c r="BC30" s="495">
        <f t="shared" si="50"/>
        <v>0</v>
      </c>
      <c r="BD30" s="495">
        <f t="shared" si="51"/>
        <v>0</v>
      </c>
      <c r="BE30" s="495">
        <f t="shared" si="52"/>
        <v>0</v>
      </c>
      <c r="BF30" s="495">
        <f t="shared" si="53"/>
        <v>0</v>
      </c>
      <c r="BG30" s="495">
        <f t="shared" si="54"/>
        <v>0</v>
      </c>
    </row>
    <row r="31" spans="1:59">
      <c r="A31" s="465" t="s">
        <v>8443</v>
      </c>
      <c r="B31" s="483">
        <v>557332961</v>
      </c>
      <c r="C31" s="462" t="s">
        <v>8404</v>
      </c>
      <c r="D31" s="462">
        <v>10</v>
      </c>
      <c r="F31" s="491" t="str" cm="1">
        <f t="array" aca="1" ref="F31" ca="1">MID(met2utc(PEPSSI_Commanding[[#This Row],[MET]]),3,15)</f>
        <v>23-261/08:50:45</v>
      </c>
      <c r="G31" s="465" t="str">
        <f t="shared" si="5"/>
        <v>MAC+10</v>
      </c>
      <c r="H31" s="466">
        <f t="shared" si="6"/>
        <v>557332916</v>
      </c>
      <c r="I31" s="466">
        <f t="shared" si="7"/>
        <v>557334766</v>
      </c>
      <c r="J31" s="465">
        <f t="shared" si="8"/>
        <v>1</v>
      </c>
      <c r="K31" s="465">
        <f t="shared" si="9"/>
        <v>9</v>
      </c>
      <c r="M31" s="462" t="str">
        <f t="shared" si="10"/>
        <v/>
      </c>
      <c r="N31" s="462" t="str">
        <f t="shared" si="11"/>
        <v/>
      </c>
      <c r="O31" s="462" t="str">
        <f t="shared" si="12"/>
        <v/>
      </c>
      <c r="P31" s="462" t="str">
        <f t="shared" si="13"/>
        <v/>
      </c>
      <c r="Q31" s="462" t="str">
        <f t="shared" si="14"/>
        <v/>
      </c>
      <c r="R31" s="462" t="str">
        <f t="shared" si="15"/>
        <v/>
      </c>
      <c r="S31" s="462" t="str">
        <f t="shared" si="16"/>
        <v/>
      </c>
      <c r="U31" s="495">
        <f t="shared" si="17"/>
        <v>0</v>
      </c>
      <c r="V31" s="495">
        <f t="shared" si="18"/>
        <v>0</v>
      </c>
      <c r="W31" s="495">
        <f t="shared" si="19"/>
        <v>0</v>
      </c>
      <c r="X31" s="495">
        <f t="shared" si="20"/>
        <v>0</v>
      </c>
      <c r="Y31" s="495">
        <f t="shared" si="21"/>
        <v>0</v>
      </c>
      <c r="Z31" s="495">
        <f t="shared" si="22"/>
        <v>0</v>
      </c>
      <c r="AA31" s="495">
        <f t="shared" si="23"/>
        <v>0</v>
      </c>
      <c r="AB31" s="496"/>
      <c r="AC31" s="495">
        <f t="shared" si="24"/>
        <v>0</v>
      </c>
      <c r="AD31" s="495">
        <f t="shared" si="25"/>
        <v>0</v>
      </c>
      <c r="AE31" s="495">
        <f t="shared" si="26"/>
        <v>0</v>
      </c>
      <c r="AF31" s="495">
        <f t="shared" si="27"/>
        <v>0</v>
      </c>
      <c r="AG31" s="495">
        <f t="shared" si="28"/>
        <v>0</v>
      </c>
      <c r="AH31" s="495">
        <f t="shared" si="29"/>
        <v>0</v>
      </c>
      <c r="AI31" s="495">
        <f t="shared" si="30"/>
        <v>0</v>
      </c>
      <c r="AJ31" s="495">
        <f t="shared" si="31"/>
        <v>0</v>
      </c>
      <c r="AK31" s="495">
        <f t="shared" si="32"/>
        <v>0</v>
      </c>
      <c r="AL31" s="495">
        <f t="shared" si="33"/>
        <v>0</v>
      </c>
      <c r="AM31" s="495">
        <f t="shared" si="34"/>
        <v>0</v>
      </c>
      <c r="AN31" s="495">
        <f t="shared" si="35"/>
        <v>0</v>
      </c>
      <c r="AO31" s="495">
        <f t="shared" si="36"/>
        <v>0</v>
      </c>
      <c r="AP31" s="495">
        <f t="shared" si="37"/>
        <v>0</v>
      </c>
      <c r="AQ31" s="495">
        <f t="shared" si="38"/>
        <v>0</v>
      </c>
      <c r="AR31" s="495">
        <f t="shared" si="39"/>
        <v>0</v>
      </c>
      <c r="AS31" s="495">
        <f t="shared" si="40"/>
        <v>0</v>
      </c>
      <c r="AT31" s="495">
        <f t="shared" si="41"/>
        <v>0</v>
      </c>
      <c r="AU31" s="495">
        <f t="shared" si="42"/>
        <v>0</v>
      </c>
      <c r="AV31" s="495">
        <f t="shared" si="43"/>
        <v>0</v>
      </c>
      <c r="AW31" s="495">
        <f t="shared" si="44"/>
        <v>0</v>
      </c>
      <c r="AX31" s="495">
        <f t="shared" si="45"/>
        <v>0</v>
      </c>
      <c r="AY31" s="495">
        <f t="shared" si="46"/>
        <v>0</v>
      </c>
      <c r="AZ31" s="495">
        <f t="shared" si="47"/>
        <v>0</v>
      </c>
      <c r="BA31" s="495">
        <f t="shared" si="48"/>
        <v>0</v>
      </c>
      <c r="BB31" s="495">
        <f t="shared" si="49"/>
        <v>0</v>
      </c>
      <c r="BC31" s="495">
        <f t="shared" si="50"/>
        <v>0</v>
      </c>
      <c r="BD31" s="495">
        <f t="shared" si="51"/>
        <v>0</v>
      </c>
      <c r="BE31" s="495">
        <f t="shared" si="52"/>
        <v>0</v>
      </c>
      <c r="BF31" s="495">
        <f t="shared" si="53"/>
        <v>0</v>
      </c>
      <c r="BG31" s="495">
        <f t="shared" si="54"/>
        <v>0</v>
      </c>
    </row>
    <row r="32" spans="1:59">
      <c r="A32" s="465" t="s">
        <v>8445</v>
      </c>
      <c r="B32" s="483">
        <v>557332961</v>
      </c>
      <c r="C32" s="462" t="s">
        <v>776</v>
      </c>
      <c r="D32" s="462">
        <v>10</v>
      </c>
      <c r="F32" s="491" t="str" cm="1">
        <f t="array" aca="1" ref="F32" ca="1">MID(met2utc(PEPSSI_Commanding[[#This Row],[MET]]),3,15)</f>
        <v>23-261/08:50:45</v>
      </c>
      <c r="G32" s="465" t="str">
        <f t="shared" si="5"/>
        <v>N2+10</v>
      </c>
      <c r="H32" s="466">
        <f t="shared" si="6"/>
        <v>557332916</v>
      </c>
      <c r="I32" s="466">
        <f t="shared" si="7"/>
        <v>557334766</v>
      </c>
      <c r="J32" s="465">
        <f t="shared" si="8"/>
        <v>2</v>
      </c>
      <c r="K32" s="465">
        <f t="shared" si="9"/>
        <v>8</v>
      </c>
      <c r="M32" s="462" t="str">
        <f t="shared" si="10"/>
        <v/>
      </c>
      <c r="N32" s="462">
        <f t="shared" si="11"/>
        <v>10</v>
      </c>
      <c r="O32" s="462" t="str">
        <f t="shared" si="12"/>
        <v/>
      </c>
      <c r="P32" s="462" t="str">
        <f t="shared" si="13"/>
        <v/>
      </c>
      <c r="Q32" s="462" t="str">
        <f t="shared" si="14"/>
        <v/>
      </c>
      <c r="R32" s="462" t="str">
        <f t="shared" si="15"/>
        <v/>
      </c>
      <c r="S32" s="462" t="str">
        <f t="shared" si="16"/>
        <v/>
      </c>
      <c r="U32" s="495">
        <f t="shared" si="17"/>
        <v>0.88124999999999998</v>
      </c>
      <c r="V32" s="495">
        <f t="shared" si="18"/>
        <v>3.65625</v>
      </c>
      <c r="W32" s="495">
        <f t="shared" si="19"/>
        <v>0</v>
      </c>
      <c r="X32" s="495">
        <f t="shared" si="20"/>
        <v>0</v>
      </c>
      <c r="Y32" s="495">
        <f t="shared" si="21"/>
        <v>133</v>
      </c>
      <c r="Z32" s="495">
        <f t="shared" si="22"/>
        <v>133</v>
      </c>
      <c r="AA32" s="495">
        <f t="shared" si="23"/>
        <v>0</v>
      </c>
      <c r="AB32" s="496"/>
      <c r="AC32" s="495">
        <f t="shared" si="24"/>
        <v>0</v>
      </c>
      <c r="AD32" s="495">
        <f t="shared" si="25"/>
        <v>0</v>
      </c>
      <c r="AE32" s="495">
        <f t="shared" si="26"/>
        <v>0</v>
      </c>
      <c r="AF32" s="495">
        <f t="shared" si="27"/>
        <v>136.65625</v>
      </c>
      <c r="AG32" s="495">
        <f t="shared" si="28"/>
        <v>136.65625</v>
      </c>
      <c r="AH32" s="495">
        <f t="shared" si="29"/>
        <v>136.65625</v>
      </c>
      <c r="AI32" s="495">
        <f t="shared" si="30"/>
        <v>136.65625</v>
      </c>
      <c r="AJ32" s="495">
        <f t="shared" si="31"/>
        <v>0.88124999999999998</v>
      </c>
      <c r="AK32" s="495">
        <f t="shared" si="32"/>
        <v>0.88124999999999998</v>
      </c>
      <c r="AL32" s="495">
        <f t="shared" si="33"/>
        <v>0.88124999999999998</v>
      </c>
      <c r="AM32" s="495">
        <f t="shared" si="34"/>
        <v>0.88124999999999998</v>
      </c>
      <c r="AN32" s="495">
        <f t="shared" si="35"/>
        <v>137.53749999999999</v>
      </c>
      <c r="AO32" s="495">
        <f t="shared" si="36"/>
        <v>137.53749999999999</v>
      </c>
      <c r="AP32" s="495">
        <f t="shared" si="37"/>
        <v>137.53749999999999</v>
      </c>
      <c r="AQ32" s="495">
        <f t="shared" si="38"/>
        <v>137.53749999999999</v>
      </c>
      <c r="AR32" s="495">
        <f t="shared" si="39"/>
        <v>0</v>
      </c>
      <c r="AS32" s="495">
        <f t="shared" si="40"/>
        <v>0</v>
      </c>
      <c r="AT32" s="495">
        <f t="shared" si="41"/>
        <v>0</v>
      </c>
      <c r="AU32" s="495">
        <f t="shared" si="42"/>
        <v>0</v>
      </c>
      <c r="AV32" s="495">
        <f t="shared" si="43"/>
        <v>136.65625</v>
      </c>
      <c r="AW32" s="495">
        <f t="shared" si="44"/>
        <v>136.65625</v>
      </c>
      <c r="AX32" s="495">
        <f t="shared" si="45"/>
        <v>136.65625</v>
      </c>
      <c r="AY32" s="495">
        <f t="shared" si="46"/>
        <v>136.65625</v>
      </c>
      <c r="AZ32" s="495">
        <f t="shared" si="47"/>
        <v>0.88124999999999998</v>
      </c>
      <c r="BA32" s="495">
        <f t="shared" si="48"/>
        <v>0.88124999999999998</v>
      </c>
      <c r="BB32" s="495">
        <f t="shared" si="49"/>
        <v>0.88124999999999998</v>
      </c>
      <c r="BC32" s="495">
        <f t="shared" si="50"/>
        <v>0.88124999999999998</v>
      </c>
      <c r="BD32" s="495">
        <f t="shared" si="51"/>
        <v>137.53749999999999</v>
      </c>
      <c r="BE32" s="495">
        <f t="shared" si="52"/>
        <v>137.53749999999999</v>
      </c>
      <c r="BF32" s="495">
        <f t="shared" si="53"/>
        <v>137.53749999999999</v>
      </c>
      <c r="BG32" s="495">
        <f t="shared" si="54"/>
        <v>137.53749999999999</v>
      </c>
    </row>
    <row r="33" spans="1:59">
      <c r="A33" s="465" t="s">
        <v>8445</v>
      </c>
      <c r="B33" s="483">
        <v>557332962</v>
      </c>
      <c r="C33" s="462" t="s">
        <v>773</v>
      </c>
      <c r="D33" s="462">
        <v>300</v>
      </c>
      <c r="F33" s="491" t="str" cm="1">
        <f t="array" aca="1" ref="F33" ca="1">MID(met2utc(PEPSSI_Commanding[[#This Row],[MET]]),3,15)</f>
        <v>23-261/08:50:46</v>
      </c>
      <c r="G33" s="465" t="str">
        <f t="shared" si="5"/>
        <v>N3+300</v>
      </c>
      <c r="H33" s="466">
        <f t="shared" si="6"/>
        <v>557332916</v>
      </c>
      <c r="I33" s="466">
        <f t="shared" si="7"/>
        <v>557334766</v>
      </c>
      <c r="J33" s="465">
        <f t="shared" si="8"/>
        <v>3</v>
      </c>
      <c r="K33" s="465">
        <f t="shared" si="9"/>
        <v>7</v>
      </c>
      <c r="M33" s="462" t="str">
        <f t="shared" si="10"/>
        <v/>
      </c>
      <c r="N33" s="462">
        <f t="shared" si="11"/>
        <v>10</v>
      </c>
      <c r="O33" s="462">
        <f t="shared" si="12"/>
        <v>300</v>
      </c>
      <c r="P33" s="462" t="str">
        <f t="shared" si="13"/>
        <v/>
      </c>
      <c r="Q33" s="462" t="str">
        <f t="shared" si="14"/>
        <v/>
      </c>
      <c r="R33" s="462" t="str">
        <f t="shared" si="15"/>
        <v/>
      </c>
      <c r="S33" s="462" t="str">
        <f t="shared" si="16"/>
        <v/>
      </c>
      <c r="U33" s="495">
        <f t="shared" si="17"/>
        <v>0.88124999999999998</v>
      </c>
      <c r="V33" s="495">
        <f t="shared" si="18"/>
        <v>3.65625</v>
      </c>
      <c r="W33" s="495">
        <f t="shared" si="19"/>
        <v>0</v>
      </c>
      <c r="X33" s="495">
        <f t="shared" si="20"/>
        <v>0</v>
      </c>
      <c r="Y33" s="495">
        <f t="shared" si="21"/>
        <v>133</v>
      </c>
      <c r="Z33" s="495">
        <f t="shared" si="22"/>
        <v>133</v>
      </c>
      <c r="AA33" s="495">
        <f t="shared" si="23"/>
        <v>66.36</v>
      </c>
      <c r="AB33" s="496"/>
      <c r="AC33" s="495">
        <f t="shared" si="24"/>
        <v>0</v>
      </c>
      <c r="AD33" s="495">
        <f t="shared" si="25"/>
        <v>66.36</v>
      </c>
      <c r="AE33" s="495">
        <f t="shared" si="26"/>
        <v>66.36</v>
      </c>
      <c r="AF33" s="495">
        <f t="shared" si="27"/>
        <v>136.65625</v>
      </c>
      <c r="AG33" s="495">
        <f t="shared" si="28"/>
        <v>136.65625</v>
      </c>
      <c r="AH33" s="495">
        <f t="shared" si="29"/>
        <v>203.01625000000001</v>
      </c>
      <c r="AI33" s="495">
        <f t="shared" si="30"/>
        <v>203.01625000000001</v>
      </c>
      <c r="AJ33" s="495">
        <f t="shared" si="31"/>
        <v>0.88124999999999998</v>
      </c>
      <c r="AK33" s="495">
        <f t="shared" si="32"/>
        <v>0.88124999999999998</v>
      </c>
      <c r="AL33" s="495">
        <f t="shared" si="33"/>
        <v>67.241249999999994</v>
      </c>
      <c r="AM33" s="495">
        <f t="shared" si="34"/>
        <v>67.241249999999994</v>
      </c>
      <c r="AN33" s="495">
        <f t="shared" si="35"/>
        <v>137.53749999999999</v>
      </c>
      <c r="AO33" s="495">
        <f t="shared" si="36"/>
        <v>137.53749999999999</v>
      </c>
      <c r="AP33" s="495">
        <f t="shared" si="37"/>
        <v>203.89749999999998</v>
      </c>
      <c r="AQ33" s="495">
        <f t="shared" si="38"/>
        <v>203.89749999999998</v>
      </c>
      <c r="AR33" s="495">
        <f t="shared" si="39"/>
        <v>0</v>
      </c>
      <c r="AS33" s="495">
        <f t="shared" si="40"/>
        <v>0</v>
      </c>
      <c r="AT33" s="495">
        <f t="shared" si="41"/>
        <v>66.36</v>
      </c>
      <c r="AU33" s="495">
        <f t="shared" si="42"/>
        <v>66.36</v>
      </c>
      <c r="AV33" s="495">
        <f t="shared" si="43"/>
        <v>136.65625</v>
      </c>
      <c r="AW33" s="495">
        <f t="shared" si="44"/>
        <v>136.65625</v>
      </c>
      <c r="AX33" s="495">
        <f t="shared" si="45"/>
        <v>203.01625000000001</v>
      </c>
      <c r="AY33" s="495">
        <f t="shared" si="46"/>
        <v>203.01625000000001</v>
      </c>
      <c r="AZ33" s="495">
        <f t="shared" si="47"/>
        <v>0.88124999999999998</v>
      </c>
      <c r="BA33" s="495">
        <f t="shared" si="48"/>
        <v>0.88124999999999998</v>
      </c>
      <c r="BB33" s="495">
        <f t="shared" si="49"/>
        <v>67.241249999999994</v>
      </c>
      <c r="BC33" s="495">
        <f t="shared" si="50"/>
        <v>67.241249999999994</v>
      </c>
      <c r="BD33" s="495">
        <f t="shared" si="51"/>
        <v>137.53749999999999</v>
      </c>
      <c r="BE33" s="495">
        <f t="shared" si="52"/>
        <v>137.53749999999999</v>
      </c>
      <c r="BF33" s="495">
        <f t="shared" si="53"/>
        <v>203.89749999999998</v>
      </c>
      <c r="BG33" s="495">
        <f t="shared" si="54"/>
        <v>203.89749999999998</v>
      </c>
    </row>
    <row r="34" spans="1:59">
      <c r="A34" s="465" t="s">
        <v>8445</v>
      </c>
      <c r="B34" s="483">
        <v>557332963</v>
      </c>
      <c r="C34" s="462" t="s">
        <v>12</v>
      </c>
      <c r="D34" s="462">
        <v>10</v>
      </c>
      <c r="F34" s="491" t="str" cm="1">
        <f t="array" aca="1" ref="F34" ca="1">MID(met2utc(PEPSSI_Commanding[[#This Row],[MET]]),3,15)</f>
        <v>23-261/08:50:47</v>
      </c>
      <c r="G34" s="465" t="str">
        <f t="shared" si="5"/>
        <v>N1+10</v>
      </c>
      <c r="H34" s="466">
        <f t="shared" si="6"/>
        <v>557332916</v>
      </c>
      <c r="I34" s="466">
        <f t="shared" si="7"/>
        <v>557334766</v>
      </c>
      <c r="J34" s="465">
        <f t="shared" si="8"/>
        <v>4</v>
      </c>
      <c r="K34" s="465">
        <f t="shared" si="9"/>
        <v>6</v>
      </c>
      <c r="M34" s="462">
        <f t="shared" si="10"/>
        <v>10</v>
      </c>
      <c r="N34" s="462">
        <f t="shared" si="11"/>
        <v>10</v>
      </c>
      <c r="O34" s="462">
        <f t="shared" si="12"/>
        <v>300</v>
      </c>
      <c r="P34" s="462" t="str">
        <f t="shared" si="13"/>
        <v/>
      </c>
      <c r="Q34" s="462" t="str">
        <f t="shared" si="14"/>
        <v/>
      </c>
      <c r="R34" s="462" t="str">
        <f t="shared" si="15"/>
        <v/>
      </c>
      <c r="S34" s="462" t="str">
        <f t="shared" si="16"/>
        <v/>
      </c>
      <c r="U34" s="495">
        <f t="shared" si="17"/>
        <v>0.88124999999999998</v>
      </c>
      <c r="V34" s="495">
        <f t="shared" si="18"/>
        <v>3.65625</v>
      </c>
      <c r="W34" s="495">
        <f t="shared" si="19"/>
        <v>0</v>
      </c>
      <c r="X34" s="495">
        <f t="shared" si="20"/>
        <v>198.8</v>
      </c>
      <c r="Y34" s="495">
        <f t="shared" si="21"/>
        <v>133</v>
      </c>
      <c r="Z34" s="495">
        <f t="shared" si="22"/>
        <v>133</v>
      </c>
      <c r="AA34" s="495">
        <f t="shared" si="23"/>
        <v>66.36</v>
      </c>
      <c r="AB34" s="496"/>
      <c r="AC34" s="495">
        <f t="shared" si="24"/>
        <v>198.8</v>
      </c>
      <c r="AD34" s="495">
        <f t="shared" si="25"/>
        <v>66.36</v>
      </c>
      <c r="AE34" s="495">
        <f t="shared" si="26"/>
        <v>265.16000000000003</v>
      </c>
      <c r="AF34" s="495">
        <f t="shared" si="27"/>
        <v>136.65625</v>
      </c>
      <c r="AG34" s="495">
        <f t="shared" si="28"/>
        <v>335.45625000000001</v>
      </c>
      <c r="AH34" s="495">
        <f t="shared" si="29"/>
        <v>203.01625000000001</v>
      </c>
      <c r="AI34" s="495">
        <f t="shared" si="30"/>
        <v>401.81625000000003</v>
      </c>
      <c r="AJ34" s="495">
        <f t="shared" si="31"/>
        <v>0.88124999999999998</v>
      </c>
      <c r="AK34" s="495">
        <f t="shared" si="32"/>
        <v>199.68125000000001</v>
      </c>
      <c r="AL34" s="495">
        <f t="shared" si="33"/>
        <v>67.241249999999994</v>
      </c>
      <c r="AM34" s="495">
        <f t="shared" si="34"/>
        <v>266.04124999999999</v>
      </c>
      <c r="AN34" s="495">
        <f t="shared" si="35"/>
        <v>137.53749999999999</v>
      </c>
      <c r="AO34" s="495">
        <f t="shared" si="36"/>
        <v>336.33749999999998</v>
      </c>
      <c r="AP34" s="495">
        <f t="shared" si="37"/>
        <v>203.89749999999998</v>
      </c>
      <c r="AQ34" s="495">
        <f t="shared" si="38"/>
        <v>402.69749999999999</v>
      </c>
      <c r="AR34" s="495">
        <f t="shared" si="39"/>
        <v>0</v>
      </c>
      <c r="AS34" s="495">
        <f t="shared" si="40"/>
        <v>198.8</v>
      </c>
      <c r="AT34" s="495">
        <f t="shared" si="41"/>
        <v>66.36</v>
      </c>
      <c r="AU34" s="495">
        <f t="shared" si="42"/>
        <v>265.16000000000003</v>
      </c>
      <c r="AV34" s="495">
        <f t="shared" si="43"/>
        <v>136.65625</v>
      </c>
      <c r="AW34" s="495">
        <f t="shared" si="44"/>
        <v>335.45625000000001</v>
      </c>
      <c r="AX34" s="495">
        <f t="shared" si="45"/>
        <v>203.01625000000001</v>
      </c>
      <c r="AY34" s="495">
        <f t="shared" si="46"/>
        <v>401.81625000000003</v>
      </c>
      <c r="AZ34" s="495">
        <f t="shared" si="47"/>
        <v>0.88124999999999998</v>
      </c>
      <c r="BA34" s="495">
        <f t="shared" si="48"/>
        <v>199.68125000000001</v>
      </c>
      <c r="BB34" s="495">
        <f t="shared" si="49"/>
        <v>67.241249999999994</v>
      </c>
      <c r="BC34" s="495">
        <f t="shared" si="50"/>
        <v>266.04124999999999</v>
      </c>
      <c r="BD34" s="495">
        <f t="shared" si="51"/>
        <v>137.53749999999999</v>
      </c>
      <c r="BE34" s="495">
        <f t="shared" si="52"/>
        <v>336.33749999999998</v>
      </c>
      <c r="BF34" s="495">
        <f t="shared" si="53"/>
        <v>203.89749999999998</v>
      </c>
      <c r="BG34" s="495">
        <f t="shared" si="54"/>
        <v>402.69749999999999</v>
      </c>
    </row>
    <row r="35" spans="1:59">
      <c r="A35" s="465" t="s">
        <v>8447</v>
      </c>
      <c r="B35" s="483">
        <v>557332964</v>
      </c>
      <c r="C35" s="462" t="s">
        <v>8403</v>
      </c>
      <c r="D35" s="462">
        <v>1</v>
      </c>
      <c r="F35" s="491" t="str" cm="1">
        <f t="array" aca="1" ref="F35" ca="1">MID(met2utc(PEPSSI_Commanding[[#This Row],[MET]]),3,15)</f>
        <v>23-261/08:50:48</v>
      </c>
      <c r="G35" s="465" t="str">
        <f t="shared" si="5"/>
        <v>STAT+1</v>
      </c>
      <c r="H35" s="466">
        <f t="shared" si="6"/>
        <v>557332916</v>
      </c>
      <c r="I35" s="466">
        <f t="shared" si="7"/>
        <v>557334766</v>
      </c>
      <c r="J35" s="465">
        <f t="shared" si="8"/>
        <v>5</v>
      </c>
      <c r="K35" s="465">
        <f t="shared" si="9"/>
        <v>5</v>
      </c>
      <c r="M35" s="462">
        <f t="shared" si="10"/>
        <v>10</v>
      </c>
      <c r="N35" s="462">
        <f t="shared" si="11"/>
        <v>10</v>
      </c>
      <c r="O35" s="462">
        <f t="shared" si="12"/>
        <v>300</v>
      </c>
      <c r="P35" s="462">
        <f t="shared" si="13"/>
        <v>1</v>
      </c>
      <c r="Q35" s="462" t="str">
        <f t="shared" si="14"/>
        <v/>
      </c>
      <c r="R35" s="462" t="str">
        <f t="shared" si="15"/>
        <v/>
      </c>
      <c r="S35" s="462" t="str">
        <f t="shared" si="16"/>
        <v/>
      </c>
      <c r="U35" s="495">
        <f t="shared" si="17"/>
        <v>0.88124999999999998</v>
      </c>
      <c r="V35" s="495">
        <f t="shared" si="18"/>
        <v>3.65625</v>
      </c>
      <c r="W35" s="495">
        <f t="shared" si="19"/>
        <v>512</v>
      </c>
      <c r="X35" s="495">
        <f t="shared" si="20"/>
        <v>198.8</v>
      </c>
      <c r="Y35" s="495">
        <f t="shared" si="21"/>
        <v>133</v>
      </c>
      <c r="Z35" s="495">
        <f t="shared" si="22"/>
        <v>133</v>
      </c>
      <c r="AA35" s="495">
        <f t="shared" si="23"/>
        <v>66.36</v>
      </c>
      <c r="AB35" s="496"/>
      <c r="AC35" s="495">
        <f t="shared" si="24"/>
        <v>198.8</v>
      </c>
      <c r="AD35" s="495">
        <f t="shared" si="25"/>
        <v>66.36</v>
      </c>
      <c r="AE35" s="495">
        <f t="shared" si="26"/>
        <v>265.16000000000003</v>
      </c>
      <c r="AF35" s="495">
        <f t="shared" si="27"/>
        <v>136.65625</v>
      </c>
      <c r="AG35" s="495">
        <f t="shared" si="28"/>
        <v>335.45625000000001</v>
      </c>
      <c r="AH35" s="495">
        <f t="shared" si="29"/>
        <v>203.01625000000001</v>
      </c>
      <c r="AI35" s="495">
        <f t="shared" si="30"/>
        <v>401.81625000000003</v>
      </c>
      <c r="AJ35" s="495">
        <f t="shared" si="31"/>
        <v>0.88124999999999998</v>
      </c>
      <c r="AK35" s="495">
        <f t="shared" si="32"/>
        <v>199.68125000000001</v>
      </c>
      <c r="AL35" s="495">
        <f t="shared" si="33"/>
        <v>67.241249999999994</v>
      </c>
      <c r="AM35" s="495">
        <f t="shared" si="34"/>
        <v>266.04124999999999</v>
      </c>
      <c r="AN35" s="495">
        <f t="shared" si="35"/>
        <v>137.53749999999999</v>
      </c>
      <c r="AO35" s="495">
        <f t="shared" si="36"/>
        <v>336.33749999999998</v>
      </c>
      <c r="AP35" s="495">
        <f t="shared" si="37"/>
        <v>203.89749999999998</v>
      </c>
      <c r="AQ35" s="495">
        <f t="shared" si="38"/>
        <v>402.69749999999999</v>
      </c>
      <c r="AR35" s="495">
        <f t="shared" si="39"/>
        <v>512</v>
      </c>
      <c r="AS35" s="495">
        <f t="shared" si="40"/>
        <v>710.8</v>
      </c>
      <c r="AT35" s="495">
        <f t="shared" si="41"/>
        <v>578.36</v>
      </c>
      <c r="AU35" s="495">
        <f t="shared" si="42"/>
        <v>777.16000000000008</v>
      </c>
      <c r="AV35" s="495">
        <f t="shared" si="43"/>
        <v>648.65625</v>
      </c>
      <c r="AW35" s="495">
        <f t="shared" si="44"/>
        <v>847.45624999999995</v>
      </c>
      <c r="AX35" s="495">
        <f t="shared" si="45"/>
        <v>715.01625000000001</v>
      </c>
      <c r="AY35" s="495">
        <f t="shared" si="46"/>
        <v>913.81625000000008</v>
      </c>
      <c r="AZ35" s="495">
        <f t="shared" si="47"/>
        <v>512.88125000000002</v>
      </c>
      <c r="BA35" s="495">
        <f t="shared" si="48"/>
        <v>711.68125000000009</v>
      </c>
      <c r="BB35" s="495">
        <f t="shared" si="49"/>
        <v>579.24125000000004</v>
      </c>
      <c r="BC35" s="495">
        <f t="shared" si="50"/>
        <v>778.04124999999999</v>
      </c>
      <c r="BD35" s="495">
        <f t="shared" si="51"/>
        <v>649.53750000000002</v>
      </c>
      <c r="BE35" s="495">
        <f t="shared" si="52"/>
        <v>848.33750000000009</v>
      </c>
      <c r="BF35" s="495">
        <f t="shared" si="53"/>
        <v>715.89750000000004</v>
      </c>
      <c r="BG35" s="495">
        <f t="shared" si="54"/>
        <v>914.69749999999999</v>
      </c>
    </row>
    <row r="36" spans="1:59">
      <c r="A36" s="465" t="s">
        <v>8445</v>
      </c>
      <c r="B36" s="483">
        <v>557334447</v>
      </c>
      <c r="C36" s="462" t="s">
        <v>776</v>
      </c>
      <c r="D36" s="462">
        <v>40</v>
      </c>
      <c r="F36" s="491" t="str" cm="1">
        <f t="array" aca="1" ref="F36" ca="1">MID(met2utc(PEPSSI_Commanding[[#This Row],[MET]]),3,15)</f>
        <v>23-261/09:15:31</v>
      </c>
      <c r="G36" s="465" t="str">
        <f t="shared" si="5"/>
        <v>N2+40</v>
      </c>
      <c r="H36" s="466">
        <f t="shared" si="6"/>
        <v>557332916</v>
      </c>
      <c r="I36" s="466">
        <f t="shared" si="7"/>
        <v>557334766</v>
      </c>
      <c r="J36" s="465">
        <f t="shared" si="8"/>
        <v>6</v>
      </c>
      <c r="K36" s="465">
        <f t="shared" si="9"/>
        <v>4</v>
      </c>
      <c r="M36" s="462">
        <f t="shared" si="10"/>
        <v>10</v>
      </c>
      <c r="N36" s="462">
        <f t="shared" si="11"/>
        <v>40</v>
      </c>
      <c r="O36" s="462">
        <f t="shared" si="12"/>
        <v>300</v>
      </c>
      <c r="P36" s="462">
        <f t="shared" si="13"/>
        <v>1</v>
      </c>
      <c r="Q36" s="462" t="str">
        <f t="shared" si="14"/>
        <v/>
      </c>
      <c r="R36" s="462" t="str">
        <f t="shared" si="15"/>
        <v/>
      </c>
      <c r="S36" s="462" t="str">
        <f t="shared" si="16"/>
        <v/>
      </c>
      <c r="U36" s="495">
        <f t="shared" si="17"/>
        <v>0.22031249999999999</v>
      </c>
      <c r="V36" s="495">
        <f t="shared" si="18"/>
        <v>0.9140625</v>
      </c>
      <c r="W36" s="495">
        <f t="shared" si="19"/>
        <v>512</v>
      </c>
      <c r="X36" s="495">
        <f t="shared" si="20"/>
        <v>198.8</v>
      </c>
      <c r="Y36" s="495">
        <f t="shared" si="21"/>
        <v>33.25</v>
      </c>
      <c r="Z36" s="495">
        <f t="shared" si="22"/>
        <v>33.25</v>
      </c>
      <c r="AA36" s="495">
        <f t="shared" si="23"/>
        <v>66.36</v>
      </c>
      <c r="AB36" s="496"/>
      <c r="AC36" s="495">
        <f t="shared" si="24"/>
        <v>198.8</v>
      </c>
      <c r="AD36" s="495">
        <f t="shared" si="25"/>
        <v>66.36</v>
      </c>
      <c r="AE36" s="495">
        <f t="shared" si="26"/>
        <v>265.16000000000003</v>
      </c>
      <c r="AF36" s="495">
        <f t="shared" si="27"/>
        <v>34.1640625</v>
      </c>
      <c r="AG36" s="495">
        <f t="shared" si="28"/>
        <v>232.96406250000001</v>
      </c>
      <c r="AH36" s="495">
        <f t="shared" si="29"/>
        <v>100.5240625</v>
      </c>
      <c r="AI36" s="495">
        <f t="shared" si="30"/>
        <v>299.32406250000003</v>
      </c>
      <c r="AJ36" s="495">
        <f t="shared" si="31"/>
        <v>0.22031249999999999</v>
      </c>
      <c r="AK36" s="495">
        <f t="shared" si="32"/>
        <v>199.02031250000002</v>
      </c>
      <c r="AL36" s="495">
        <f t="shared" si="33"/>
        <v>66.580312500000005</v>
      </c>
      <c r="AM36" s="495">
        <f t="shared" si="34"/>
        <v>265.3803125</v>
      </c>
      <c r="AN36" s="495">
        <f t="shared" si="35"/>
        <v>34.384374999999999</v>
      </c>
      <c r="AO36" s="495">
        <f t="shared" si="36"/>
        <v>233.18437500000002</v>
      </c>
      <c r="AP36" s="495">
        <f t="shared" si="37"/>
        <v>100.74437499999999</v>
      </c>
      <c r="AQ36" s="495">
        <f t="shared" si="38"/>
        <v>299.544375</v>
      </c>
      <c r="AR36" s="495">
        <f t="shared" si="39"/>
        <v>512</v>
      </c>
      <c r="AS36" s="495">
        <f t="shared" si="40"/>
        <v>710.8</v>
      </c>
      <c r="AT36" s="495">
        <f t="shared" si="41"/>
        <v>578.36</v>
      </c>
      <c r="AU36" s="495">
        <f t="shared" si="42"/>
        <v>777.16000000000008</v>
      </c>
      <c r="AV36" s="495">
        <f t="shared" si="43"/>
        <v>546.1640625</v>
      </c>
      <c r="AW36" s="495">
        <f t="shared" si="44"/>
        <v>744.96406249999995</v>
      </c>
      <c r="AX36" s="495">
        <f t="shared" si="45"/>
        <v>612.52406250000001</v>
      </c>
      <c r="AY36" s="495">
        <f t="shared" si="46"/>
        <v>811.32406250000008</v>
      </c>
      <c r="AZ36" s="495">
        <f t="shared" si="47"/>
        <v>512.22031249999998</v>
      </c>
      <c r="BA36" s="495">
        <f t="shared" si="48"/>
        <v>711.02031250000005</v>
      </c>
      <c r="BB36" s="495">
        <f t="shared" si="49"/>
        <v>578.58031249999999</v>
      </c>
      <c r="BC36" s="495">
        <f t="shared" si="50"/>
        <v>777.38031249999995</v>
      </c>
      <c r="BD36" s="495">
        <f t="shared" si="51"/>
        <v>546.38437499999998</v>
      </c>
      <c r="BE36" s="495">
        <f t="shared" si="52"/>
        <v>745.18437500000005</v>
      </c>
      <c r="BF36" s="495">
        <f t="shared" si="53"/>
        <v>612.74437499999999</v>
      </c>
      <c r="BG36" s="495">
        <f t="shared" si="54"/>
        <v>811.54437499999995</v>
      </c>
    </row>
    <row r="37" spans="1:59">
      <c r="A37" s="465" t="s">
        <v>8445</v>
      </c>
      <c r="B37" s="483">
        <v>557334448</v>
      </c>
      <c r="C37" s="462" t="s">
        <v>773</v>
      </c>
      <c r="D37" s="462">
        <v>7200</v>
      </c>
      <c r="F37" s="491" t="str" cm="1">
        <f t="array" aca="1" ref="F37" ca="1">MID(met2utc(PEPSSI_Commanding[[#This Row],[MET]]),3,15)</f>
        <v>23-261/09:15:32</v>
      </c>
      <c r="G37" s="465" t="str">
        <f t="shared" si="5"/>
        <v>N3+7200</v>
      </c>
      <c r="H37" s="466">
        <f t="shared" si="6"/>
        <v>557332916</v>
      </c>
      <c r="I37" s="466">
        <f t="shared" si="7"/>
        <v>557334766</v>
      </c>
      <c r="J37" s="465">
        <f t="shared" si="8"/>
        <v>7</v>
      </c>
      <c r="K37" s="465">
        <f t="shared" si="9"/>
        <v>3</v>
      </c>
      <c r="M37" s="462">
        <f t="shared" si="10"/>
        <v>10</v>
      </c>
      <c r="N37" s="462">
        <f t="shared" si="11"/>
        <v>40</v>
      </c>
      <c r="O37" s="462">
        <f t="shared" si="12"/>
        <v>7200</v>
      </c>
      <c r="P37" s="462">
        <f t="shared" si="13"/>
        <v>1</v>
      </c>
      <c r="Q37" s="462" t="str">
        <f t="shared" si="14"/>
        <v/>
      </c>
      <c r="R37" s="462" t="str">
        <f t="shared" si="15"/>
        <v/>
      </c>
      <c r="S37" s="462" t="str">
        <f t="shared" si="16"/>
        <v/>
      </c>
      <c r="U37" s="495">
        <f t="shared" si="17"/>
        <v>0.22031249999999999</v>
      </c>
      <c r="V37" s="495">
        <f t="shared" si="18"/>
        <v>0.9140625</v>
      </c>
      <c r="W37" s="495">
        <f t="shared" si="19"/>
        <v>512</v>
      </c>
      <c r="X37" s="495">
        <f t="shared" si="20"/>
        <v>198.8</v>
      </c>
      <c r="Y37" s="495">
        <f t="shared" si="21"/>
        <v>33.25</v>
      </c>
      <c r="Z37" s="495">
        <f t="shared" si="22"/>
        <v>33.25</v>
      </c>
      <c r="AA37" s="495">
        <f t="shared" si="23"/>
        <v>2.7650000000000001</v>
      </c>
      <c r="AB37" s="496"/>
      <c r="AC37" s="495">
        <f t="shared" si="24"/>
        <v>198.8</v>
      </c>
      <c r="AD37" s="495">
        <f t="shared" si="25"/>
        <v>2.7650000000000001</v>
      </c>
      <c r="AE37" s="495">
        <f t="shared" si="26"/>
        <v>201.565</v>
      </c>
      <c r="AF37" s="495">
        <f t="shared" si="27"/>
        <v>34.1640625</v>
      </c>
      <c r="AG37" s="495">
        <f t="shared" si="28"/>
        <v>232.96406250000001</v>
      </c>
      <c r="AH37" s="495">
        <f t="shared" si="29"/>
        <v>36.929062500000001</v>
      </c>
      <c r="AI37" s="495">
        <f t="shared" si="30"/>
        <v>235.7290625</v>
      </c>
      <c r="AJ37" s="495">
        <f t="shared" si="31"/>
        <v>0.22031249999999999</v>
      </c>
      <c r="AK37" s="495">
        <f t="shared" si="32"/>
        <v>199.02031250000002</v>
      </c>
      <c r="AL37" s="495">
        <f t="shared" si="33"/>
        <v>2.9853125</v>
      </c>
      <c r="AM37" s="495">
        <f t="shared" si="34"/>
        <v>201.7853125</v>
      </c>
      <c r="AN37" s="495">
        <f t="shared" si="35"/>
        <v>34.384374999999999</v>
      </c>
      <c r="AO37" s="495">
        <f t="shared" si="36"/>
        <v>233.18437500000002</v>
      </c>
      <c r="AP37" s="495">
        <f t="shared" si="37"/>
        <v>37.149374999999999</v>
      </c>
      <c r="AQ37" s="495">
        <f t="shared" si="38"/>
        <v>235.949375</v>
      </c>
      <c r="AR37" s="495">
        <f t="shared" si="39"/>
        <v>512</v>
      </c>
      <c r="AS37" s="495">
        <f t="shared" si="40"/>
        <v>710.8</v>
      </c>
      <c r="AT37" s="495">
        <f t="shared" si="41"/>
        <v>514.76499999999999</v>
      </c>
      <c r="AU37" s="495">
        <f t="shared" si="42"/>
        <v>713.56500000000005</v>
      </c>
      <c r="AV37" s="495">
        <f t="shared" si="43"/>
        <v>546.1640625</v>
      </c>
      <c r="AW37" s="495">
        <f t="shared" si="44"/>
        <v>744.96406249999995</v>
      </c>
      <c r="AX37" s="495">
        <f t="shared" si="45"/>
        <v>548.92906249999999</v>
      </c>
      <c r="AY37" s="495">
        <f t="shared" si="46"/>
        <v>747.72906250000005</v>
      </c>
      <c r="AZ37" s="495">
        <f t="shared" si="47"/>
        <v>512.22031249999998</v>
      </c>
      <c r="BA37" s="495">
        <f t="shared" si="48"/>
        <v>711.02031250000005</v>
      </c>
      <c r="BB37" s="495">
        <f t="shared" si="49"/>
        <v>514.98531249999996</v>
      </c>
      <c r="BC37" s="495">
        <f t="shared" si="50"/>
        <v>713.78531249999992</v>
      </c>
      <c r="BD37" s="495">
        <f t="shared" si="51"/>
        <v>546.38437499999998</v>
      </c>
      <c r="BE37" s="495">
        <f t="shared" si="52"/>
        <v>745.18437500000005</v>
      </c>
      <c r="BF37" s="495">
        <f t="shared" si="53"/>
        <v>549.14937499999996</v>
      </c>
      <c r="BG37" s="495">
        <f t="shared" si="54"/>
        <v>747.94937499999992</v>
      </c>
    </row>
    <row r="38" spans="1:59">
      <c r="A38" s="465" t="s">
        <v>8445</v>
      </c>
      <c r="B38" s="483">
        <v>557334449</v>
      </c>
      <c r="C38" s="462" t="s">
        <v>12</v>
      </c>
      <c r="D38" s="462">
        <v>3600</v>
      </c>
      <c r="F38" s="491" t="str" cm="1">
        <f t="array" aca="1" ref="F38" ca="1">MID(met2utc(PEPSSI_Commanding[[#This Row],[MET]]),3,15)</f>
        <v>23-261/09:15:33</v>
      </c>
      <c r="G38" s="465" t="str">
        <f t="shared" si="5"/>
        <v>N1+3600</v>
      </c>
      <c r="H38" s="466">
        <f t="shared" si="6"/>
        <v>557332916</v>
      </c>
      <c r="I38" s="466">
        <f t="shared" si="7"/>
        <v>557334766</v>
      </c>
      <c r="J38" s="465">
        <f t="shared" si="8"/>
        <v>8</v>
      </c>
      <c r="K38" s="465">
        <f t="shared" si="9"/>
        <v>2</v>
      </c>
      <c r="M38" s="462">
        <f t="shared" si="10"/>
        <v>3600</v>
      </c>
      <c r="N38" s="462">
        <f t="shared" si="11"/>
        <v>40</v>
      </c>
      <c r="O38" s="462">
        <f t="shared" si="12"/>
        <v>7200</v>
      </c>
      <c r="P38" s="462">
        <f t="shared" si="13"/>
        <v>1</v>
      </c>
      <c r="Q38" s="462" t="str">
        <f t="shared" si="14"/>
        <v/>
      </c>
      <c r="R38" s="462" t="str">
        <f t="shared" si="15"/>
        <v/>
      </c>
      <c r="S38" s="462" t="str">
        <f t="shared" si="16"/>
        <v/>
      </c>
      <c r="U38" s="495">
        <f t="shared" si="17"/>
        <v>0.22031249999999999</v>
      </c>
      <c r="V38" s="495">
        <f t="shared" si="18"/>
        <v>0.9140625</v>
      </c>
      <c r="W38" s="495">
        <f t="shared" si="19"/>
        <v>512</v>
      </c>
      <c r="X38" s="495">
        <f t="shared" si="20"/>
        <v>0.55222222222222217</v>
      </c>
      <c r="Y38" s="495">
        <f t="shared" si="21"/>
        <v>33.25</v>
      </c>
      <c r="Z38" s="495">
        <f t="shared" si="22"/>
        <v>33.25</v>
      </c>
      <c r="AA38" s="495">
        <f t="shared" si="23"/>
        <v>2.7650000000000001</v>
      </c>
      <c r="AB38" s="496"/>
      <c r="AC38" s="495">
        <f t="shared" si="24"/>
        <v>0.55222222222222217</v>
      </c>
      <c r="AD38" s="495">
        <f t="shared" si="25"/>
        <v>2.7650000000000001</v>
      </c>
      <c r="AE38" s="495">
        <f t="shared" si="26"/>
        <v>3.3172222222222221</v>
      </c>
      <c r="AF38" s="495">
        <f t="shared" si="27"/>
        <v>34.1640625</v>
      </c>
      <c r="AG38" s="495">
        <f t="shared" si="28"/>
        <v>34.71628472222222</v>
      </c>
      <c r="AH38" s="495">
        <f t="shared" si="29"/>
        <v>36.929062500000001</v>
      </c>
      <c r="AI38" s="495">
        <f t="shared" si="30"/>
        <v>37.48128472222222</v>
      </c>
      <c r="AJ38" s="495">
        <f t="shared" si="31"/>
        <v>0.22031249999999999</v>
      </c>
      <c r="AK38" s="495">
        <f t="shared" si="32"/>
        <v>0.77253472222222219</v>
      </c>
      <c r="AL38" s="495">
        <f t="shared" si="33"/>
        <v>2.9853125</v>
      </c>
      <c r="AM38" s="495">
        <f t="shared" si="34"/>
        <v>3.5375347222222224</v>
      </c>
      <c r="AN38" s="495">
        <f t="shared" si="35"/>
        <v>34.384374999999999</v>
      </c>
      <c r="AO38" s="495">
        <f t="shared" si="36"/>
        <v>34.936597222222218</v>
      </c>
      <c r="AP38" s="495">
        <f t="shared" si="37"/>
        <v>37.149374999999999</v>
      </c>
      <c r="AQ38" s="495">
        <f t="shared" si="38"/>
        <v>37.701597222222219</v>
      </c>
      <c r="AR38" s="495">
        <f t="shared" si="39"/>
        <v>512</v>
      </c>
      <c r="AS38" s="495">
        <f t="shared" si="40"/>
        <v>512.55222222222221</v>
      </c>
      <c r="AT38" s="495">
        <f t="shared" si="41"/>
        <v>514.76499999999999</v>
      </c>
      <c r="AU38" s="495">
        <f t="shared" si="42"/>
        <v>515.3172222222222</v>
      </c>
      <c r="AV38" s="495">
        <f t="shared" si="43"/>
        <v>546.1640625</v>
      </c>
      <c r="AW38" s="495">
        <f t="shared" si="44"/>
        <v>546.71628472222221</v>
      </c>
      <c r="AX38" s="495">
        <f t="shared" si="45"/>
        <v>548.92906249999999</v>
      </c>
      <c r="AY38" s="495">
        <f t="shared" si="46"/>
        <v>549.4812847222222</v>
      </c>
      <c r="AZ38" s="495">
        <f t="shared" si="47"/>
        <v>512.22031249999998</v>
      </c>
      <c r="BA38" s="495">
        <f t="shared" si="48"/>
        <v>512.77253472222219</v>
      </c>
      <c r="BB38" s="495">
        <f t="shared" si="49"/>
        <v>514.98531249999996</v>
      </c>
      <c r="BC38" s="495">
        <f t="shared" si="50"/>
        <v>515.53753472222218</v>
      </c>
      <c r="BD38" s="495">
        <f t="shared" si="51"/>
        <v>546.38437499999998</v>
      </c>
      <c r="BE38" s="495">
        <f t="shared" si="52"/>
        <v>546.93659722222219</v>
      </c>
      <c r="BF38" s="495">
        <f t="shared" si="53"/>
        <v>549.14937499999996</v>
      </c>
      <c r="BG38" s="495">
        <f t="shared" si="54"/>
        <v>549.70159722222218</v>
      </c>
    </row>
    <row r="39" spans="1:59">
      <c r="A39" s="465" t="s">
        <v>8447</v>
      </c>
      <c r="B39" s="483">
        <v>557334450</v>
      </c>
      <c r="C39" s="462" t="s">
        <v>8403</v>
      </c>
      <c r="D39" s="462">
        <v>300</v>
      </c>
      <c r="F39" s="491" t="str" cm="1">
        <f t="array" aca="1" ref="F39" ca="1">MID(met2utc(PEPSSI_Commanding[[#This Row],[MET]]),3,15)</f>
        <v>23-261/09:15:34</v>
      </c>
      <c r="G39" s="465" t="str">
        <f t="shared" si="5"/>
        <v>STAT+300</v>
      </c>
      <c r="H39" s="466">
        <f t="shared" si="6"/>
        <v>557332916</v>
      </c>
      <c r="I39" s="466">
        <f t="shared" si="7"/>
        <v>557334766</v>
      </c>
      <c r="J39" s="465">
        <f t="shared" si="8"/>
        <v>9</v>
      </c>
      <c r="K39" s="465">
        <f t="shared" si="9"/>
        <v>1</v>
      </c>
      <c r="M39" s="462">
        <f t="shared" si="10"/>
        <v>3600</v>
      </c>
      <c r="N39" s="462">
        <f t="shared" si="11"/>
        <v>40</v>
      </c>
      <c r="O39" s="462">
        <f t="shared" si="12"/>
        <v>7200</v>
      </c>
      <c r="P39" s="462">
        <f t="shared" si="13"/>
        <v>300</v>
      </c>
      <c r="Q39" s="462" t="str">
        <f t="shared" si="14"/>
        <v/>
      </c>
      <c r="R39" s="462" t="str">
        <f t="shared" si="15"/>
        <v/>
      </c>
      <c r="S39" s="462" t="str">
        <f t="shared" si="16"/>
        <v/>
      </c>
      <c r="U39" s="495">
        <f t="shared" si="17"/>
        <v>0.22031249999999999</v>
      </c>
      <c r="V39" s="495">
        <f t="shared" si="18"/>
        <v>0.9140625</v>
      </c>
      <c r="W39" s="495">
        <f t="shared" si="19"/>
        <v>1.7066666666666668</v>
      </c>
      <c r="X39" s="495">
        <f t="shared" si="20"/>
        <v>0.55222222222222217</v>
      </c>
      <c r="Y39" s="495">
        <f t="shared" si="21"/>
        <v>33.25</v>
      </c>
      <c r="Z39" s="495">
        <f t="shared" si="22"/>
        <v>33.25</v>
      </c>
      <c r="AA39" s="495">
        <f t="shared" si="23"/>
        <v>2.7650000000000001</v>
      </c>
      <c r="AB39" s="496"/>
      <c r="AC39" s="495">
        <f t="shared" si="24"/>
        <v>0.55222222222222217</v>
      </c>
      <c r="AD39" s="495">
        <f t="shared" si="25"/>
        <v>2.7650000000000001</v>
      </c>
      <c r="AE39" s="495">
        <f t="shared" si="26"/>
        <v>3.3172222222222221</v>
      </c>
      <c r="AF39" s="495">
        <f t="shared" si="27"/>
        <v>34.1640625</v>
      </c>
      <c r="AG39" s="495">
        <f t="shared" si="28"/>
        <v>34.71628472222222</v>
      </c>
      <c r="AH39" s="495">
        <f t="shared" si="29"/>
        <v>36.929062500000001</v>
      </c>
      <c r="AI39" s="495">
        <f t="shared" si="30"/>
        <v>37.48128472222222</v>
      </c>
      <c r="AJ39" s="495">
        <f t="shared" si="31"/>
        <v>0.22031249999999999</v>
      </c>
      <c r="AK39" s="495">
        <f t="shared" si="32"/>
        <v>0.77253472222222219</v>
      </c>
      <c r="AL39" s="495">
        <f t="shared" si="33"/>
        <v>2.9853125</v>
      </c>
      <c r="AM39" s="495">
        <f t="shared" si="34"/>
        <v>3.5375347222222224</v>
      </c>
      <c r="AN39" s="495">
        <f t="shared" si="35"/>
        <v>34.384374999999999</v>
      </c>
      <c r="AO39" s="495">
        <f t="shared" si="36"/>
        <v>34.936597222222218</v>
      </c>
      <c r="AP39" s="495">
        <f t="shared" si="37"/>
        <v>37.149374999999999</v>
      </c>
      <c r="AQ39" s="495">
        <f t="shared" si="38"/>
        <v>37.701597222222219</v>
      </c>
      <c r="AR39" s="495">
        <f t="shared" si="39"/>
        <v>1.7066666666666668</v>
      </c>
      <c r="AS39" s="495">
        <f t="shared" si="40"/>
        <v>2.2588888888888889</v>
      </c>
      <c r="AT39" s="495">
        <f t="shared" si="41"/>
        <v>4.4716666666666667</v>
      </c>
      <c r="AU39" s="495">
        <f t="shared" si="42"/>
        <v>5.0238888888888891</v>
      </c>
      <c r="AV39" s="495">
        <f t="shared" si="43"/>
        <v>35.870729166666663</v>
      </c>
      <c r="AW39" s="495">
        <f t="shared" si="44"/>
        <v>36.422951388888883</v>
      </c>
      <c r="AX39" s="495">
        <f t="shared" si="45"/>
        <v>38.635729166666664</v>
      </c>
      <c r="AY39" s="495">
        <f t="shared" si="46"/>
        <v>39.187951388888884</v>
      </c>
      <c r="AZ39" s="495">
        <f t="shared" si="47"/>
        <v>1.9269791666666667</v>
      </c>
      <c r="BA39" s="495">
        <f t="shared" si="48"/>
        <v>2.4792013888888889</v>
      </c>
      <c r="BB39" s="495">
        <f t="shared" si="49"/>
        <v>4.691979166666667</v>
      </c>
      <c r="BC39" s="495">
        <f t="shared" si="50"/>
        <v>5.2442013888888894</v>
      </c>
      <c r="BD39" s="495">
        <f t="shared" si="51"/>
        <v>36.091041666666669</v>
      </c>
      <c r="BE39" s="495">
        <f t="shared" si="52"/>
        <v>36.643263888888889</v>
      </c>
      <c r="BF39" s="495">
        <f t="shared" si="53"/>
        <v>38.85604166666667</v>
      </c>
      <c r="BG39" s="495">
        <f t="shared" si="54"/>
        <v>39.408263888888889</v>
      </c>
    </row>
    <row r="40" spans="1:59">
      <c r="A40" s="465" t="s">
        <v>8445</v>
      </c>
      <c r="B40" s="483">
        <v>557334766</v>
      </c>
      <c r="C40" s="462" t="s">
        <v>776</v>
      </c>
      <c r="D40" s="462">
        <v>100</v>
      </c>
      <c r="F40" s="491" t="str" cm="1">
        <f t="array" aca="1" ref="F40" ca="1">MID(met2utc(PEPSSI_Commanding[[#This Row],[MET]]),3,15)</f>
        <v>23-261/09:20:50</v>
      </c>
      <c r="G40" s="465" t="str">
        <f t="shared" si="5"/>
        <v>N2+100</v>
      </c>
      <c r="H40" s="466">
        <f t="shared" si="6"/>
        <v>557334766</v>
      </c>
      <c r="I40" s="466">
        <f t="shared" si="7"/>
        <v>557490486</v>
      </c>
      <c r="J40" s="465">
        <f t="shared" si="8"/>
        <v>10</v>
      </c>
      <c r="K40" s="465">
        <f t="shared" si="9"/>
        <v>4</v>
      </c>
      <c r="M40" s="462">
        <f t="shared" si="10"/>
        <v>3600</v>
      </c>
      <c r="N40" s="462">
        <f t="shared" si="11"/>
        <v>100</v>
      </c>
      <c r="O40" s="462">
        <f t="shared" si="12"/>
        <v>7200</v>
      </c>
      <c r="P40" s="462">
        <f t="shared" si="13"/>
        <v>300</v>
      </c>
      <c r="Q40" s="462" t="str">
        <f t="shared" si="14"/>
        <v/>
      </c>
      <c r="R40" s="462" t="str">
        <f t="shared" si="15"/>
        <v/>
      </c>
      <c r="S40" s="462" t="str">
        <f t="shared" si="16"/>
        <v/>
      </c>
      <c r="U40" s="495">
        <f t="shared" si="17"/>
        <v>8.8124999999999995E-2</v>
      </c>
      <c r="V40" s="495">
        <f t="shared" si="18"/>
        <v>0.36562499999999998</v>
      </c>
      <c r="W40" s="495">
        <f t="shared" si="19"/>
        <v>1.7066666666666668</v>
      </c>
      <c r="X40" s="495">
        <f t="shared" si="20"/>
        <v>0.55222222222222217</v>
      </c>
      <c r="Y40" s="495">
        <f t="shared" si="21"/>
        <v>13.3</v>
      </c>
      <c r="Z40" s="495">
        <f t="shared" si="22"/>
        <v>13.3</v>
      </c>
      <c r="AA40" s="495">
        <f t="shared" si="23"/>
        <v>2.7650000000000001</v>
      </c>
      <c r="AB40" s="496"/>
      <c r="AC40" s="495">
        <f t="shared" si="24"/>
        <v>0.55222222222222217</v>
      </c>
      <c r="AD40" s="495">
        <f t="shared" si="25"/>
        <v>2.7650000000000001</v>
      </c>
      <c r="AE40" s="495">
        <f t="shared" si="26"/>
        <v>3.3172222222222221</v>
      </c>
      <c r="AF40" s="495">
        <f t="shared" si="27"/>
        <v>13.665625</v>
      </c>
      <c r="AG40" s="495">
        <f t="shared" si="28"/>
        <v>14.217847222222222</v>
      </c>
      <c r="AH40" s="495">
        <f t="shared" si="29"/>
        <v>16.430624999999999</v>
      </c>
      <c r="AI40" s="495">
        <f t="shared" si="30"/>
        <v>16.982847222222222</v>
      </c>
      <c r="AJ40" s="495">
        <f t="shared" si="31"/>
        <v>8.8124999999999995E-2</v>
      </c>
      <c r="AK40" s="495">
        <f t="shared" si="32"/>
        <v>0.64034722222222218</v>
      </c>
      <c r="AL40" s="495">
        <f t="shared" si="33"/>
        <v>2.8531249999999999</v>
      </c>
      <c r="AM40" s="495">
        <f t="shared" si="34"/>
        <v>3.4053472222222219</v>
      </c>
      <c r="AN40" s="495">
        <f t="shared" si="35"/>
        <v>13.75375</v>
      </c>
      <c r="AO40" s="495">
        <f t="shared" si="36"/>
        <v>14.305972222222222</v>
      </c>
      <c r="AP40" s="495">
        <f t="shared" si="37"/>
        <v>16.518750000000001</v>
      </c>
      <c r="AQ40" s="495">
        <f t="shared" si="38"/>
        <v>17.070972222222224</v>
      </c>
      <c r="AR40" s="495">
        <f t="shared" si="39"/>
        <v>1.7066666666666668</v>
      </c>
      <c r="AS40" s="495">
        <f t="shared" si="40"/>
        <v>2.2588888888888889</v>
      </c>
      <c r="AT40" s="495">
        <f t="shared" si="41"/>
        <v>4.4716666666666667</v>
      </c>
      <c r="AU40" s="495">
        <f t="shared" si="42"/>
        <v>5.0238888888888891</v>
      </c>
      <c r="AV40" s="495">
        <f t="shared" si="43"/>
        <v>15.372291666666667</v>
      </c>
      <c r="AW40" s="495">
        <f t="shared" si="44"/>
        <v>15.924513888888889</v>
      </c>
      <c r="AX40" s="495">
        <f t="shared" si="45"/>
        <v>18.137291666666666</v>
      </c>
      <c r="AY40" s="495">
        <f t="shared" si="46"/>
        <v>18.689513888888889</v>
      </c>
      <c r="AZ40" s="495">
        <f t="shared" si="47"/>
        <v>1.7947916666666668</v>
      </c>
      <c r="BA40" s="495">
        <f t="shared" si="48"/>
        <v>2.3470138888888892</v>
      </c>
      <c r="BB40" s="495">
        <f t="shared" si="49"/>
        <v>4.5597916666666674</v>
      </c>
      <c r="BC40" s="495">
        <f t="shared" si="50"/>
        <v>5.1120138888888897</v>
      </c>
      <c r="BD40" s="495">
        <f t="shared" si="51"/>
        <v>15.460416666666667</v>
      </c>
      <c r="BE40" s="495">
        <f t="shared" si="52"/>
        <v>16.01263888888889</v>
      </c>
      <c r="BF40" s="495">
        <f t="shared" si="53"/>
        <v>18.225416666666668</v>
      </c>
      <c r="BG40" s="495">
        <f t="shared" si="54"/>
        <v>18.777638888888891</v>
      </c>
    </row>
    <row r="41" spans="1:59">
      <c r="A41" s="465" t="s">
        <v>8445</v>
      </c>
      <c r="B41" s="483">
        <v>557334769</v>
      </c>
      <c r="C41" s="462" t="s">
        <v>12</v>
      </c>
      <c r="D41" s="462">
        <v>100</v>
      </c>
      <c r="F41" s="491" t="str" cm="1">
        <f t="array" aca="1" ref="F41" ca="1">MID(met2utc(PEPSSI_Commanding[[#This Row],[MET]]),3,15)</f>
        <v>23-261/09:20:53</v>
      </c>
      <c r="G41" s="465" t="str">
        <f t="shared" si="5"/>
        <v>N1+100</v>
      </c>
      <c r="H41" s="466">
        <f t="shared" si="6"/>
        <v>557334766</v>
      </c>
      <c r="I41" s="466">
        <f t="shared" si="7"/>
        <v>557490486</v>
      </c>
      <c r="J41" s="465">
        <f t="shared" si="8"/>
        <v>11</v>
      </c>
      <c r="K41" s="465">
        <f t="shared" si="9"/>
        <v>3</v>
      </c>
      <c r="M41" s="462">
        <f t="shared" si="10"/>
        <v>100</v>
      </c>
      <c r="N41" s="462">
        <f t="shared" si="11"/>
        <v>100</v>
      </c>
      <c r="O41" s="462">
        <f t="shared" si="12"/>
        <v>7200</v>
      </c>
      <c r="P41" s="462">
        <f t="shared" si="13"/>
        <v>300</v>
      </c>
      <c r="Q41" s="462" t="str">
        <f t="shared" si="14"/>
        <v/>
      </c>
      <c r="R41" s="462" t="str">
        <f t="shared" si="15"/>
        <v/>
      </c>
      <c r="S41" s="462" t="str">
        <f t="shared" si="16"/>
        <v/>
      </c>
      <c r="U41" s="495">
        <f t="shared" si="17"/>
        <v>8.8124999999999995E-2</v>
      </c>
      <c r="V41" s="495">
        <f t="shared" si="18"/>
        <v>0.36562499999999998</v>
      </c>
      <c r="W41" s="495">
        <f t="shared" si="19"/>
        <v>1.7066666666666668</v>
      </c>
      <c r="X41" s="495">
        <f t="shared" si="20"/>
        <v>19.88</v>
      </c>
      <c r="Y41" s="495">
        <f t="shared" si="21"/>
        <v>13.3</v>
      </c>
      <c r="Z41" s="495">
        <f t="shared" si="22"/>
        <v>13.3</v>
      </c>
      <c r="AA41" s="495">
        <f t="shared" si="23"/>
        <v>2.7650000000000001</v>
      </c>
      <c r="AB41" s="496"/>
      <c r="AC41" s="495">
        <f t="shared" si="24"/>
        <v>19.88</v>
      </c>
      <c r="AD41" s="495">
        <f t="shared" si="25"/>
        <v>2.7650000000000001</v>
      </c>
      <c r="AE41" s="495">
        <f t="shared" si="26"/>
        <v>22.645</v>
      </c>
      <c r="AF41" s="495">
        <f t="shared" si="27"/>
        <v>13.665625</v>
      </c>
      <c r="AG41" s="495">
        <f t="shared" si="28"/>
        <v>33.545625000000001</v>
      </c>
      <c r="AH41" s="495">
        <f t="shared" si="29"/>
        <v>16.430624999999999</v>
      </c>
      <c r="AI41" s="495">
        <f t="shared" si="30"/>
        <v>36.310625000000002</v>
      </c>
      <c r="AJ41" s="495">
        <f t="shared" si="31"/>
        <v>8.8124999999999995E-2</v>
      </c>
      <c r="AK41" s="495">
        <f t="shared" si="32"/>
        <v>19.968125000000001</v>
      </c>
      <c r="AL41" s="495">
        <f t="shared" si="33"/>
        <v>2.8531249999999999</v>
      </c>
      <c r="AM41" s="495">
        <f t="shared" si="34"/>
        <v>22.733124999999998</v>
      </c>
      <c r="AN41" s="495">
        <f t="shared" si="35"/>
        <v>13.75375</v>
      </c>
      <c r="AO41" s="495">
        <f t="shared" si="36"/>
        <v>33.633749999999999</v>
      </c>
      <c r="AP41" s="495">
        <f t="shared" si="37"/>
        <v>16.518750000000001</v>
      </c>
      <c r="AQ41" s="495">
        <f t="shared" si="38"/>
        <v>36.39875</v>
      </c>
      <c r="AR41" s="495">
        <f t="shared" si="39"/>
        <v>1.7066666666666668</v>
      </c>
      <c r="AS41" s="495">
        <f t="shared" si="40"/>
        <v>21.586666666666666</v>
      </c>
      <c r="AT41" s="495">
        <f t="shared" si="41"/>
        <v>4.4716666666666667</v>
      </c>
      <c r="AU41" s="495">
        <f t="shared" si="42"/>
        <v>24.351666666666667</v>
      </c>
      <c r="AV41" s="495">
        <f t="shared" si="43"/>
        <v>15.372291666666667</v>
      </c>
      <c r="AW41" s="495">
        <f t="shared" si="44"/>
        <v>35.252291666666665</v>
      </c>
      <c r="AX41" s="495">
        <f t="shared" si="45"/>
        <v>18.137291666666666</v>
      </c>
      <c r="AY41" s="495">
        <f t="shared" si="46"/>
        <v>38.017291666666665</v>
      </c>
      <c r="AZ41" s="495">
        <f t="shared" si="47"/>
        <v>1.7947916666666668</v>
      </c>
      <c r="BA41" s="495">
        <f t="shared" si="48"/>
        <v>21.674791666666664</v>
      </c>
      <c r="BB41" s="495">
        <f t="shared" si="49"/>
        <v>4.5597916666666674</v>
      </c>
      <c r="BC41" s="495">
        <f t="shared" si="50"/>
        <v>24.439791666666665</v>
      </c>
      <c r="BD41" s="495">
        <f t="shared" si="51"/>
        <v>15.460416666666667</v>
      </c>
      <c r="BE41" s="495">
        <f t="shared" si="52"/>
        <v>35.34041666666667</v>
      </c>
      <c r="BF41" s="495">
        <f t="shared" si="53"/>
        <v>18.225416666666668</v>
      </c>
      <c r="BG41" s="495">
        <f t="shared" si="54"/>
        <v>38.10541666666667</v>
      </c>
    </row>
    <row r="42" spans="1:59">
      <c r="A42" s="465" t="s">
        <v>8445</v>
      </c>
      <c r="B42" s="483">
        <v>557334772</v>
      </c>
      <c r="C42" s="462" t="s">
        <v>773</v>
      </c>
      <c r="D42" s="462">
        <v>7200</v>
      </c>
      <c r="F42" s="491" t="str" cm="1">
        <f t="array" aca="1" ref="F42" ca="1">MID(met2utc(PEPSSI_Commanding[[#This Row],[MET]]),3,15)</f>
        <v>23-261/09:20:56</v>
      </c>
      <c r="G42" s="465" t="str">
        <f t="shared" si="5"/>
        <v>N3+7200</v>
      </c>
      <c r="H42" s="466">
        <f t="shared" si="6"/>
        <v>557334766</v>
      </c>
      <c r="I42" s="466">
        <f t="shared" si="7"/>
        <v>557490486</v>
      </c>
      <c r="J42" s="465">
        <f t="shared" si="8"/>
        <v>12</v>
      </c>
      <c r="K42" s="465">
        <f t="shared" si="9"/>
        <v>2</v>
      </c>
      <c r="M42" s="462">
        <f t="shared" si="10"/>
        <v>100</v>
      </c>
      <c r="N42" s="462">
        <f t="shared" si="11"/>
        <v>100</v>
      </c>
      <c r="O42" s="462">
        <f t="shared" si="12"/>
        <v>7200</v>
      </c>
      <c r="P42" s="462">
        <f t="shared" si="13"/>
        <v>300</v>
      </c>
      <c r="Q42" s="462" t="str">
        <f t="shared" si="14"/>
        <v/>
      </c>
      <c r="R42" s="462" t="str">
        <f t="shared" si="15"/>
        <v/>
      </c>
      <c r="S42" s="462" t="str">
        <f t="shared" si="16"/>
        <v/>
      </c>
      <c r="U42" s="495">
        <f t="shared" si="17"/>
        <v>8.8124999999999995E-2</v>
      </c>
      <c r="V42" s="495">
        <f t="shared" si="18"/>
        <v>0.36562499999999998</v>
      </c>
      <c r="W42" s="495">
        <f t="shared" si="19"/>
        <v>1.7066666666666668</v>
      </c>
      <c r="X42" s="495">
        <f t="shared" si="20"/>
        <v>19.88</v>
      </c>
      <c r="Y42" s="495">
        <f t="shared" si="21"/>
        <v>13.3</v>
      </c>
      <c r="Z42" s="495">
        <f t="shared" si="22"/>
        <v>13.3</v>
      </c>
      <c r="AA42" s="495">
        <f t="shared" si="23"/>
        <v>2.7650000000000001</v>
      </c>
      <c r="AB42" s="496"/>
      <c r="AC42" s="495">
        <f t="shared" si="24"/>
        <v>19.88</v>
      </c>
      <c r="AD42" s="495">
        <f t="shared" si="25"/>
        <v>2.7650000000000001</v>
      </c>
      <c r="AE42" s="495">
        <f t="shared" si="26"/>
        <v>22.645</v>
      </c>
      <c r="AF42" s="495">
        <f t="shared" si="27"/>
        <v>13.665625</v>
      </c>
      <c r="AG42" s="495">
        <f t="shared" si="28"/>
        <v>33.545625000000001</v>
      </c>
      <c r="AH42" s="495">
        <f t="shared" si="29"/>
        <v>16.430624999999999</v>
      </c>
      <c r="AI42" s="495">
        <f t="shared" si="30"/>
        <v>36.310625000000002</v>
      </c>
      <c r="AJ42" s="495">
        <f t="shared" si="31"/>
        <v>8.8124999999999995E-2</v>
      </c>
      <c r="AK42" s="495">
        <f t="shared" si="32"/>
        <v>19.968125000000001</v>
      </c>
      <c r="AL42" s="495">
        <f t="shared" si="33"/>
        <v>2.8531249999999999</v>
      </c>
      <c r="AM42" s="495">
        <f t="shared" si="34"/>
        <v>22.733124999999998</v>
      </c>
      <c r="AN42" s="495">
        <f t="shared" si="35"/>
        <v>13.75375</v>
      </c>
      <c r="AO42" s="495">
        <f t="shared" si="36"/>
        <v>33.633749999999999</v>
      </c>
      <c r="AP42" s="495">
        <f t="shared" si="37"/>
        <v>16.518750000000001</v>
      </c>
      <c r="AQ42" s="495">
        <f t="shared" si="38"/>
        <v>36.39875</v>
      </c>
      <c r="AR42" s="495">
        <f t="shared" si="39"/>
        <v>1.7066666666666668</v>
      </c>
      <c r="AS42" s="495">
        <f t="shared" si="40"/>
        <v>21.586666666666666</v>
      </c>
      <c r="AT42" s="495">
        <f t="shared" si="41"/>
        <v>4.4716666666666667</v>
      </c>
      <c r="AU42" s="495">
        <f t="shared" si="42"/>
        <v>24.351666666666667</v>
      </c>
      <c r="AV42" s="495">
        <f t="shared" si="43"/>
        <v>15.372291666666667</v>
      </c>
      <c r="AW42" s="495">
        <f t="shared" si="44"/>
        <v>35.252291666666665</v>
      </c>
      <c r="AX42" s="495">
        <f t="shared" si="45"/>
        <v>18.137291666666666</v>
      </c>
      <c r="AY42" s="495">
        <f t="shared" si="46"/>
        <v>38.017291666666665</v>
      </c>
      <c r="AZ42" s="495">
        <f t="shared" si="47"/>
        <v>1.7947916666666668</v>
      </c>
      <c r="BA42" s="495">
        <f t="shared" si="48"/>
        <v>21.674791666666664</v>
      </c>
      <c r="BB42" s="495">
        <f t="shared" si="49"/>
        <v>4.5597916666666674</v>
      </c>
      <c r="BC42" s="495">
        <f t="shared" si="50"/>
        <v>24.439791666666665</v>
      </c>
      <c r="BD42" s="495">
        <f t="shared" si="51"/>
        <v>15.460416666666667</v>
      </c>
      <c r="BE42" s="495">
        <f t="shared" si="52"/>
        <v>35.34041666666667</v>
      </c>
      <c r="BF42" s="495">
        <f t="shared" si="53"/>
        <v>18.225416666666668</v>
      </c>
      <c r="BG42" s="495">
        <f t="shared" si="54"/>
        <v>38.10541666666667</v>
      </c>
    </row>
    <row r="43" spans="1:59">
      <c r="A43" s="465" t="s">
        <v>8447</v>
      </c>
      <c r="B43" s="483">
        <v>557334775</v>
      </c>
      <c r="C43" s="462" t="s">
        <v>8403</v>
      </c>
      <c r="D43" s="462">
        <v>1800</v>
      </c>
      <c r="F43" s="491" t="str" cm="1">
        <f t="array" aca="1" ref="F43" ca="1">MID(met2utc(PEPSSI_Commanding[[#This Row],[MET]]),3,15)</f>
        <v>23-261/09:20:59</v>
      </c>
      <c r="G43" s="465" t="str">
        <f t="shared" si="5"/>
        <v>STAT+1800</v>
      </c>
      <c r="H43" s="466">
        <f t="shared" si="6"/>
        <v>557334766</v>
      </c>
      <c r="I43" s="466">
        <f t="shared" si="7"/>
        <v>557490486</v>
      </c>
      <c r="J43" s="465">
        <f t="shared" si="8"/>
        <v>13</v>
      </c>
      <c r="K43" s="465">
        <f t="shared" si="9"/>
        <v>1</v>
      </c>
      <c r="M43" s="462">
        <f t="shared" si="10"/>
        <v>100</v>
      </c>
      <c r="N43" s="462">
        <f t="shared" si="11"/>
        <v>100</v>
      </c>
      <c r="O43" s="462">
        <f t="shared" si="12"/>
        <v>7200</v>
      </c>
      <c r="P43" s="462">
        <f t="shared" si="13"/>
        <v>1800</v>
      </c>
      <c r="Q43" s="462" t="str">
        <f t="shared" si="14"/>
        <v/>
      </c>
      <c r="R43" s="462" t="str">
        <f t="shared" si="15"/>
        <v/>
      </c>
      <c r="S43" s="462" t="str">
        <f t="shared" si="16"/>
        <v/>
      </c>
      <c r="U43" s="495">
        <f t="shared" si="17"/>
        <v>8.8124999999999995E-2</v>
      </c>
      <c r="V43" s="495">
        <f t="shared" si="18"/>
        <v>0.36562499999999998</v>
      </c>
      <c r="W43" s="495">
        <f t="shared" si="19"/>
        <v>0.28444444444444444</v>
      </c>
      <c r="X43" s="495">
        <f t="shared" si="20"/>
        <v>19.88</v>
      </c>
      <c r="Y43" s="495">
        <f t="shared" si="21"/>
        <v>13.3</v>
      </c>
      <c r="Z43" s="495">
        <f t="shared" si="22"/>
        <v>13.3</v>
      </c>
      <c r="AA43" s="495">
        <f t="shared" si="23"/>
        <v>2.7650000000000001</v>
      </c>
      <c r="AB43" s="496"/>
      <c r="AC43" s="495">
        <f t="shared" si="24"/>
        <v>19.88</v>
      </c>
      <c r="AD43" s="495">
        <f t="shared" si="25"/>
        <v>2.7650000000000001</v>
      </c>
      <c r="AE43" s="495">
        <f t="shared" si="26"/>
        <v>22.645</v>
      </c>
      <c r="AF43" s="495">
        <f t="shared" si="27"/>
        <v>13.665625</v>
      </c>
      <c r="AG43" s="495">
        <f t="shared" si="28"/>
        <v>33.545625000000001</v>
      </c>
      <c r="AH43" s="495">
        <f t="shared" si="29"/>
        <v>16.430624999999999</v>
      </c>
      <c r="AI43" s="495">
        <f t="shared" si="30"/>
        <v>36.310625000000002</v>
      </c>
      <c r="AJ43" s="495">
        <f t="shared" si="31"/>
        <v>8.8124999999999995E-2</v>
      </c>
      <c r="AK43" s="495">
        <f t="shared" si="32"/>
        <v>19.968125000000001</v>
      </c>
      <c r="AL43" s="495">
        <f t="shared" si="33"/>
        <v>2.8531249999999999</v>
      </c>
      <c r="AM43" s="495">
        <f t="shared" si="34"/>
        <v>22.733124999999998</v>
      </c>
      <c r="AN43" s="495">
        <f t="shared" si="35"/>
        <v>13.75375</v>
      </c>
      <c r="AO43" s="495">
        <f t="shared" si="36"/>
        <v>33.633749999999999</v>
      </c>
      <c r="AP43" s="495">
        <f t="shared" si="37"/>
        <v>16.518750000000001</v>
      </c>
      <c r="AQ43" s="495">
        <f t="shared" si="38"/>
        <v>36.39875</v>
      </c>
      <c r="AR43" s="495">
        <f t="shared" si="39"/>
        <v>0.28444444444444444</v>
      </c>
      <c r="AS43" s="495">
        <f t="shared" si="40"/>
        <v>20.164444444444442</v>
      </c>
      <c r="AT43" s="495">
        <f t="shared" si="41"/>
        <v>3.0494444444444446</v>
      </c>
      <c r="AU43" s="495">
        <f t="shared" si="42"/>
        <v>22.929444444444442</v>
      </c>
      <c r="AV43" s="495">
        <f t="shared" si="43"/>
        <v>13.950069444444445</v>
      </c>
      <c r="AW43" s="495">
        <f t="shared" si="44"/>
        <v>33.830069444444447</v>
      </c>
      <c r="AX43" s="495">
        <f t="shared" si="45"/>
        <v>16.715069444444445</v>
      </c>
      <c r="AY43" s="495">
        <f t="shared" si="46"/>
        <v>36.595069444444448</v>
      </c>
      <c r="AZ43" s="495">
        <f t="shared" si="47"/>
        <v>0.37256944444444445</v>
      </c>
      <c r="BA43" s="495">
        <f t="shared" si="48"/>
        <v>20.252569444444443</v>
      </c>
      <c r="BB43" s="495">
        <f t="shared" si="49"/>
        <v>3.1375694444444444</v>
      </c>
      <c r="BC43" s="495">
        <f t="shared" si="50"/>
        <v>23.017569444444444</v>
      </c>
      <c r="BD43" s="495">
        <f t="shared" si="51"/>
        <v>14.038194444444445</v>
      </c>
      <c r="BE43" s="495">
        <f t="shared" si="52"/>
        <v>33.918194444444445</v>
      </c>
      <c r="BF43" s="495">
        <f t="shared" si="53"/>
        <v>16.803194444444443</v>
      </c>
      <c r="BG43" s="495">
        <f t="shared" si="54"/>
        <v>36.683194444444439</v>
      </c>
    </row>
    <row r="44" spans="1:59">
      <c r="A44" s="465" t="s">
        <v>8441</v>
      </c>
      <c r="B44" s="483">
        <v>557490486</v>
      </c>
      <c r="C44" s="462" t="s">
        <v>8461</v>
      </c>
      <c r="F44" s="491" t="str" cm="1">
        <f t="array" aca="1" ref="F44" ca="1">MID(met2utc(PEPSSI_Commanding[[#This Row],[MET]]),3,15)</f>
        <v>23-263/04:36:10</v>
      </c>
      <c r="G44" s="465" t="str">
        <f t="shared" si="5"/>
        <v>OFF</v>
      </c>
      <c r="H44" s="466">
        <f t="shared" si="6"/>
        <v>557334766</v>
      </c>
      <c r="I44" s="466">
        <f t="shared" si="7"/>
        <v>557490486</v>
      </c>
      <c r="J44" s="465">
        <f t="shared" si="8"/>
        <v>14</v>
      </c>
      <c r="K44" s="465">
        <f t="shared" si="9"/>
        <v>0</v>
      </c>
      <c r="M44" s="462">
        <f t="shared" si="10"/>
        <v>100</v>
      </c>
      <c r="N44" s="462">
        <f t="shared" si="11"/>
        <v>100</v>
      </c>
      <c r="O44" s="462">
        <f t="shared" si="12"/>
        <v>7200</v>
      </c>
      <c r="P44" s="462">
        <f t="shared" si="13"/>
        <v>1800</v>
      </c>
      <c r="Q44" s="462" t="str">
        <f t="shared" si="14"/>
        <v/>
      </c>
      <c r="R44" s="462" t="str">
        <f t="shared" si="15"/>
        <v/>
      </c>
      <c r="S44" s="462" t="str">
        <f t="shared" si="16"/>
        <v/>
      </c>
      <c r="U44" s="495">
        <f t="shared" si="17"/>
        <v>8.8124999999999995E-2</v>
      </c>
      <c r="V44" s="495">
        <f t="shared" si="18"/>
        <v>0.36562499999999998</v>
      </c>
      <c r="W44" s="495">
        <f t="shared" si="19"/>
        <v>0.28444444444444444</v>
      </c>
      <c r="X44" s="495">
        <f t="shared" si="20"/>
        <v>19.88</v>
      </c>
      <c r="Y44" s="495">
        <f t="shared" si="21"/>
        <v>13.3</v>
      </c>
      <c r="Z44" s="495">
        <f t="shared" si="22"/>
        <v>13.3</v>
      </c>
      <c r="AA44" s="495">
        <f t="shared" si="23"/>
        <v>2.7650000000000001</v>
      </c>
      <c r="AB44" s="496"/>
      <c r="AC44" s="495">
        <f t="shared" si="24"/>
        <v>19.88</v>
      </c>
      <c r="AD44" s="495">
        <f t="shared" si="25"/>
        <v>2.7650000000000001</v>
      </c>
      <c r="AE44" s="495">
        <f t="shared" si="26"/>
        <v>22.645</v>
      </c>
      <c r="AF44" s="495">
        <f t="shared" si="27"/>
        <v>13.665625</v>
      </c>
      <c r="AG44" s="495">
        <f t="shared" si="28"/>
        <v>33.545625000000001</v>
      </c>
      <c r="AH44" s="495">
        <f t="shared" si="29"/>
        <v>16.430624999999999</v>
      </c>
      <c r="AI44" s="495">
        <f t="shared" si="30"/>
        <v>36.310625000000002</v>
      </c>
      <c r="AJ44" s="495">
        <f t="shared" si="31"/>
        <v>8.8124999999999995E-2</v>
      </c>
      <c r="AK44" s="495">
        <f t="shared" si="32"/>
        <v>19.968125000000001</v>
      </c>
      <c r="AL44" s="495">
        <f t="shared" si="33"/>
        <v>2.8531249999999999</v>
      </c>
      <c r="AM44" s="495">
        <f t="shared" si="34"/>
        <v>22.733124999999998</v>
      </c>
      <c r="AN44" s="495">
        <f t="shared" si="35"/>
        <v>13.75375</v>
      </c>
      <c r="AO44" s="495">
        <f t="shared" si="36"/>
        <v>33.633749999999999</v>
      </c>
      <c r="AP44" s="495">
        <f t="shared" si="37"/>
        <v>16.518750000000001</v>
      </c>
      <c r="AQ44" s="495">
        <f t="shared" si="38"/>
        <v>36.39875</v>
      </c>
      <c r="AR44" s="495">
        <f t="shared" si="39"/>
        <v>0.28444444444444444</v>
      </c>
      <c r="AS44" s="495">
        <f t="shared" si="40"/>
        <v>20.164444444444442</v>
      </c>
      <c r="AT44" s="495">
        <f t="shared" si="41"/>
        <v>3.0494444444444446</v>
      </c>
      <c r="AU44" s="495">
        <f t="shared" si="42"/>
        <v>22.929444444444442</v>
      </c>
      <c r="AV44" s="495">
        <f t="shared" si="43"/>
        <v>13.950069444444445</v>
      </c>
      <c r="AW44" s="495">
        <f t="shared" si="44"/>
        <v>33.830069444444447</v>
      </c>
      <c r="AX44" s="495">
        <f t="shared" si="45"/>
        <v>16.715069444444445</v>
      </c>
      <c r="AY44" s="495">
        <f t="shared" si="46"/>
        <v>36.595069444444448</v>
      </c>
      <c r="AZ44" s="495">
        <f t="shared" si="47"/>
        <v>0.37256944444444445</v>
      </c>
      <c r="BA44" s="495">
        <f t="shared" si="48"/>
        <v>20.252569444444443</v>
      </c>
      <c r="BB44" s="495">
        <f t="shared" si="49"/>
        <v>3.1375694444444444</v>
      </c>
      <c r="BC44" s="495">
        <f t="shared" si="50"/>
        <v>23.017569444444444</v>
      </c>
      <c r="BD44" s="495">
        <f t="shared" si="51"/>
        <v>14.038194444444445</v>
      </c>
      <c r="BE44" s="495">
        <f t="shared" si="52"/>
        <v>33.918194444444445</v>
      </c>
      <c r="BF44" s="495">
        <f t="shared" si="53"/>
        <v>16.803194444444443</v>
      </c>
      <c r="BG44" s="495">
        <f t="shared" si="54"/>
        <v>36.683194444444439</v>
      </c>
    </row>
    <row r="45" spans="1:59">
      <c r="A45" s="465" t="s">
        <v>8441</v>
      </c>
      <c r="B45" s="483">
        <v>557794316</v>
      </c>
      <c r="C45" s="462" t="s">
        <v>1148</v>
      </c>
      <c r="F45" s="491" t="str" cm="1">
        <f t="array" aca="1" ref="F45" ca="1">MID(met2utc(PEPSSI_Commanding[[#This Row],[MET]]),3,15)</f>
        <v>23-266/17:00:00</v>
      </c>
      <c r="G45" s="465" t="str">
        <f t="shared" si="5"/>
        <v>ON</v>
      </c>
      <c r="H45" s="466">
        <f t="shared" si="6"/>
        <v>557794316</v>
      </c>
      <c r="I45" s="466">
        <f t="shared" si="7"/>
        <v>557796166</v>
      </c>
      <c r="J45" s="465">
        <f t="shared" si="8"/>
        <v>0</v>
      </c>
      <c r="K45" s="465">
        <f t="shared" si="9"/>
        <v>10</v>
      </c>
      <c r="M45" s="462" t="str">
        <f t="shared" si="10"/>
        <v/>
      </c>
      <c r="N45" s="462" t="str">
        <f t="shared" si="11"/>
        <v/>
      </c>
      <c r="O45" s="462" t="str">
        <f t="shared" si="12"/>
        <v/>
      </c>
      <c r="P45" s="462" t="str">
        <f t="shared" si="13"/>
        <v/>
      </c>
      <c r="Q45" s="462" t="str">
        <f t="shared" si="14"/>
        <v/>
      </c>
      <c r="R45" s="462" t="str">
        <f t="shared" si="15"/>
        <v/>
      </c>
      <c r="S45" s="462" t="str">
        <f t="shared" si="16"/>
        <v/>
      </c>
      <c r="U45" s="495">
        <f t="shared" si="17"/>
        <v>0</v>
      </c>
      <c r="V45" s="495">
        <f t="shared" si="18"/>
        <v>0</v>
      </c>
      <c r="W45" s="495">
        <f t="shared" si="19"/>
        <v>0</v>
      </c>
      <c r="X45" s="495">
        <f t="shared" si="20"/>
        <v>0</v>
      </c>
      <c r="Y45" s="495">
        <f t="shared" si="21"/>
        <v>0</v>
      </c>
      <c r="Z45" s="495">
        <f t="shared" si="22"/>
        <v>0</v>
      </c>
      <c r="AA45" s="495">
        <f t="shared" si="23"/>
        <v>0</v>
      </c>
      <c r="AB45" s="496"/>
      <c r="AC45" s="495">
        <f t="shared" si="24"/>
        <v>0</v>
      </c>
      <c r="AD45" s="495">
        <f t="shared" si="25"/>
        <v>0</v>
      </c>
      <c r="AE45" s="495">
        <f t="shared" si="26"/>
        <v>0</v>
      </c>
      <c r="AF45" s="495">
        <f t="shared" si="27"/>
        <v>0</v>
      </c>
      <c r="AG45" s="495">
        <f t="shared" si="28"/>
        <v>0</v>
      </c>
      <c r="AH45" s="495">
        <f t="shared" si="29"/>
        <v>0</v>
      </c>
      <c r="AI45" s="495">
        <f t="shared" si="30"/>
        <v>0</v>
      </c>
      <c r="AJ45" s="495">
        <f t="shared" si="31"/>
        <v>0</v>
      </c>
      <c r="AK45" s="495">
        <f t="shared" si="32"/>
        <v>0</v>
      </c>
      <c r="AL45" s="495">
        <f t="shared" si="33"/>
        <v>0</v>
      </c>
      <c r="AM45" s="495">
        <f t="shared" si="34"/>
        <v>0</v>
      </c>
      <c r="AN45" s="495">
        <f t="shared" si="35"/>
        <v>0</v>
      </c>
      <c r="AO45" s="495">
        <f t="shared" si="36"/>
        <v>0</v>
      </c>
      <c r="AP45" s="495">
        <f t="shared" si="37"/>
        <v>0</v>
      </c>
      <c r="AQ45" s="495">
        <f t="shared" si="38"/>
        <v>0</v>
      </c>
      <c r="AR45" s="495">
        <f t="shared" si="39"/>
        <v>0</v>
      </c>
      <c r="AS45" s="495">
        <f t="shared" si="40"/>
        <v>0</v>
      </c>
      <c r="AT45" s="495">
        <f t="shared" si="41"/>
        <v>0</v>
      </c>
      <c r="AU45" s="495">
        <f t="shared" si="42"/>
        <v>0</v>
      </c>
      <c r="AV45" s="495">
        <f t="shared" si="43"/>
        <v>0</v>
      </c>
      <c r="AW45" s="495">
        <f t="shared" si="44"/>
        <v>0</v>
      </c>
      <c r="AX45" s="495">
        <f t="shared" si="45"/>
        <v>0</v>
      </c>
      <c r="AY45" s="495">
        <f t="shared" si="46"/>
        <v>0</v>
      </c>
      <c r="AZ45" s="495">
        <f t="shared" si="47"/>
        <v>0</v>
      </c>
      <c r="BA45" s="495">
        <f t="shared" si="48"/>
        <v>0</v>
      </c>
      <c r="BB45" s="495">
        <f t="shared" si="49"/>
        <v>0</v>
      </c>
      <c r="BC45" s="495">
        <f t="shared" si="50"/>
        <v>0</v>
      </c>
      <c r="BD45" s="495">
        <f t="shared" si="51"/>
        <v>0</v>
      </c>
      <c r="BE45" s="495">
        <f t="shared" si="52"/>
        <v>0</v>
      </c>
      <c r="BF45" s="495">
        <f t="shared" si="53"/>
        <v>0</v>
      </c>
      <c r="BG45" s="495">
        <f t="shared" si="54"/>
        <v>0</v>
      </c>
    </row>
    <row r="46" spans="1:59">
      <c r="A46" s="465" t="s">
        <v>8443</v>
      </c>
      <c r="B46" s="483">
        <v>557794361</v>
      </c>
      <c r="C46" s="462" t="s">
        <v>8404</v>
      </c>
      <c r="D46" s="462">
        <v>10</v>
      </c>
      <c r="F46" s="491" t="str" cm="1">
        <f t="array" aca="1" ref="F46" ca="1">MID(met2utc(PEPSSI_Commanding[[#This Row],[MET]]),3,15)</f>
        <v>23-266/17:00:45</v>
      </c>
      <c r="G46" s="465" t="str">
        <f t="shared" ref="G46:G77" si="55">_xlfn.TEXTJOIN("+",TRUE,$C46:$D46)</f>
        <v>MAC+10</v>
      </c>
      <c r="H46" s="466">
        <f t="shared" ref="H46:H77" si="56">IF($C46="ON",$B46,IF(RIGHT($H45,9)="MET Start","",IF(AND($K46&lt;&gt;0,$K45=1),$B46,$H45)))</f>
        <v>557794316</v>
      </c>
      <c r="I46" s="466">
        <f t="shared" ref="I46:I77" si="57">IF($C46="OFF",$B46,IF($B47="",$B46+31500000,IF($K46=1,$B47,I47)))</f>
        <v>557796166</v>
      </c>
      <c r="J46" s="465">
        <f t="shared" ref="J46:J77" si="58">IF($G46="ON",0,IF(OR(J45="",LEFT(J45,6)="Offset"),"",J45+1))</f>
        <v>1</v>
      </c>
      <c r="K46" s="465">
        <f t="shared" ref="K46:K77" si="59">IF($G46="OFF",0,IF(AND($J47&lt;&gt;0,$J46&lt;&gt;9,$G47&lt;&gt;"MAC+111",($B47-$B46)&lt;7200),K47+1,1))</f>
        <v>9</v>
      </c>
      <c r="M46" s="462" t="str">
        <f t="shared" ref="M46:M77" si="60">IF($C46="ON","",IF($C46="N1",$D46,IF(M45="N1","",M45)))</f>
        <v/>
      </c>
      <c r="N46" s="462" t="str">
        <f t="shared" ref="N46:N77" si="61">IF($C46="ON","",IF($C46="N2",$D46,IF($G46="MAC+103",3,IF($G46="MAC+104",2,IF(N45="N2","",N45)))))</f>
        <v/>
      </c>
      <c r="O46" s="462" t="str">
        <f t="shared" ref="O46:O77" si="62">IF($C46="ON","",IF($C46="N3",$D46,IF(O45="N3","",O45)))</f>
        <v/>
      </c>
      <c r="P46" s="462" t="str">
        <f t="shared" ref="P46:P77" si="63">IF($C46="ON","",IF($C46="STAT",$D46,IF(P45="STAT","",P45)))</f>
        <v/>
      </c>
      <c r="Q46" s="462" t="str">
        <f t="shared" ref="Q46:Q77" si="64">IF($C46="ON","",IF(AND($C46="MAC",105&lt;=$D46,$D46&lt;=110),"",IF(AND($C46="MAC",103&lt;=$D46,$D46&lt;=104),"disabled",IF(Q45="N2 disabled","",Q45))))</f>
        <v/>
      </c>
      <c r="R46" s="462" t="str">
        <f t="shared" ref="R46:R77" si="65">IF(OR($G46="ON",$G46="MAC+111"),"",IF($G46="MAC+105",300,IF($G46="MAC+106",600,IF($G46="MAC+107",840,IF($G46="MAC+108",1200,IF($G46="MAC+109",1800,IF($G46="MAC+110",43200,IF(LEFT(R45,4)="105-","",R45))))))))</f>
        <v/>
      </c>
      <c r="S46" s="462" t="str">
        <f t="shared" ref="S46:S77" si="66">IF($C46="ON","",IF($G46="MAC+102","102",IF(RIGHT(S45,1)="?","",S45)))</f>
        <v/>
      </c>
      <c r="U46" s="495">
        <f t="shared" ref="U46:U77" si="67">IF($N46="",0,U$1/64/$N46)</f>
        <v>0</v>
      </c>
      <c r="V46" s="495">
        <f t="shared" ref="V46:V77" si="68">IF($N46="",0,V$1/64/$N46)</f>
        <v>0</v>
      </c>
      <c r="W46" s="495">
        <f t="shared" ref="W46:W77" si="69">IF($P46="",0,W$1/$P46)</f>
        <v>0</v>
      </c>
      <c r="X46" s="495">
        <f t="shared" ref="X46:X77" si="70">IF($M46="",0,X$1/$M46)</f>
        <v>0</v>
      </c>
      <c r="Y46" s="495">
        <f t="shared" ref="Y46:Y77" si="71">IF(OR($N46="",$Q46&lt;&gt;""),0,Y$1/$N46)</f>
        <v>0</v>
      </c>
      <c r="Z46" s="495">
        <f t="shared" ref="Z46:Z77" si="72">IF($N46="",0,IF($R46="",1,R46/43200)*Y46)</f>
        <v>0</v>
      </c>
      <c r="AA46" s="495">
        <f t="shared" ref="AA46:AA77" si="73">IF($O46="",0,AA$1/$O46)</f>
        <v>0</v>
      </c>
      <c r="AB46" s="496"/>
      <c r="AC46" s="495">
        <f t="shared" ref="AC46:AC77" si="74">IF(AC$3&lt;&gt;"",$W46,0)+IF(AC$4&lt;&gt;"",$U46,0)+IF(AC$5&lt;&gt;"",$Z46+IF($S46&lt;&gt;"102",$V46,0),0)+IF(AC$6&lt;&gt;"",$AA46+IF($S46="102",$V46,0),0)+IF(AC$7&lt;&gt;"",$X46,0)</f>
        <v>0</v>
      </c>
      <c r="AD46" s="495">
        <f t="shared" ref="AD46:AD77" si="75">IF(AD$3&lt;&gt;"",$W46,0)+IF(AD$4&lt;&gt;"",$U46,0)+IF(AD$5&lt;&gt;"",$Z46+IF($S46&lt;&gt;"102",$V46,0),0)+IF(AD$6&lt;&gt;"",$AA46+IF($S46="102",$V46,0),0)+IF(AD$7&lt;&gt;"",$X46,0)</f>
        <v>0</v>
      </c>
      <c r="AE46" s="495">
        <f t="shared" ref="AE46:AE77" si="76">IF(AE$3&lt;&gt;"",$W46,0)+IF(AE$4&lt;&gt;"",$U46,0)+IF(AE$5&lt;&gt;"",$Z46+IF($S46&lt;&gt;"102",$V46,0),0)+IF(AE$6&lt;&gt;"",$AA46+IF($S46="102",$V46,0),0)+IF(AE$7&lt;&gt;"",$X46,0)</f>
        <v>0</v>
      </c>
      <c r="AF46" s="495">
        <f t="shared" ref="AF46:AF77" si="77">IF(AF$3&lt;&gt;"",$W46,0)+IF(AF$4&lt;&gt;"",$U46,0)+IF(AF$5&lt;&gt;"",$Z46+IF($S46&lt;&gt;"102",$V46,0),0)+IF(AF$6&lt;&gt;"",$AA46+IF($S46="102",$V46,0),0)+IF(AF$7&lt;&gt;"",$X46,0)</f>
        <v>0</v>
      </c>
      <c r="AG46" s="495">
        <f t="shared" ref="AG46:AG77" si="78">IF(AG$3&lt;&gt;"",$W46,0)+IF(AG$4&lt;&gt;"",$U46,0)+IF(AG$5&lt;&gt;"",$Z46+IF($S46&lt;&gt;"102",$V46,0),0)+IF(AG$6&lt;&gt;"",$AA46+IF($S46="102",$V46,0),0)+IF(AG$7&lt;&gt;"",$X46,0)</f>
        <v>0</v>
      </c>
      <c r="AH46" s="495">
        <f t="shared" ref="AH46:AH77" si="79">IF(AH$3&lt;&gt;"",$W46,0)+IF(AH$4&lt;&gt;"",$U46,0)+IF(AH$5&lt;&gt;"",$Z46+IF($S46&lt;&gt;"102",$V46,0),0)+IF(AH$6&lt;&gt;"",$AA46+IF($S46="102",$V46,0),0)+IF(AH$7&lt;&gt;"",$X46,0)</f>
        <v>0</v>
      </c>
      <c r="AI46" s="495">
        <f t="shared" ref="AI46:AI77" si="80">IF(AI$3&lt;&gt;"",$W46,0)+IF(AI$4&lt;&gt;"",$U46,0)+IF(AI$5&lt;&gt;"",$Z46+IF($S46&lt;&gt;"102",$V46,0),0)+IF(AI$6&lt;&gt;"",$AA46+IF($S46="102",$V46,0),0)+IF(AI$7&lt;&gt;"",$X46,0)</f>
        <v>0</v>
      </c>
      <c r="AJ46" s="495">
        <f t="shared" ref="AJ46:AJ77" si="81">IF(AJ$3&lt;&gt;"",$W46,0)+IF(AJ$4&lt;&gt;"",$U46,0)+IF(AJ$5&lt;&gt;"",$Z46+IF($S46&lt;&gt;"102",$V46,0),0)+IF(AJ$6&lt;&gt;"",$AA46+IF($S46="102",$V46,0),0)+IF(AJ$7&lt;&gt;"",$X46,0)</f>
        <v>0</v>
      </c>
      <c r="AK46" s="495">
        <f t="shared" ref="AK46:AK77" si="82">IF(AK$3&lt;&gt;"",$W46,0)+IF(AK$4&lt;&gt;"",$U46,0)+IF(AK$5&lt;&gt;"",$Z46+IF($S46&lt;&gt;"102",$V46,0),0)+IF(AK$6&lt;&gt;"",$AA46+IF($S46="102",$V46,0),0)+IF(AK$7&lt;&gt;"",$X46,0)</f>
        <v>0</v>
      </c>
      <c r="AL46" s="495">
        <f t="shared" ref="AL46:AL77" si="83">IF(AL$3&lt;&gt;"",$W46,0)+IF(AL$4&lt;&gt;"",$U46,0)+IF(AL$5&lt;&gt;"",$Z46+IF($S46&lt;&gt;"102",$V46,0),0)+IF(AL$6&lt;&gt;"",$AA46+IF($S46="102",$V46,0),0)+IF(AL$7&lt;&gt;"",$X46,0)</f>
        <v>0</v>
      </c>
      <c r="AM46" s="495">
        <f t="shared" ref="AM46:AM77" si="84">IF(AM$3&lt;&gt;"",$W46,0)+IF(AM$4&lt;&gt;"",$U46,0)+IF(AM$5&lt;&gt;"",$Z46+IF($S46&lt;&gt;"102",$V46,0),0)+IF(AM$6&lt;&gt;"",$AA46+IF($S46="102",$V46,0),0)+IF(AM$7&lt;&gt;"",$X46,0)</f>
        <v>0</v>
      </c>
      <c r="AN46" s="495">
        <f t="shared" ref="AN46:AN77" si="85">IF(AN$3&lt;&gt;"",$W46,0)+IF(AN$4&lt;&gt;"",$U46,0)+IF(AN$5&lt;&gt;"",$Z46+IF($S46&lt;&gt;"102",$V46,0),0)+IF(AN$6&lt;&gt;"",$AA46+IF($S46="102",$V46,0),0)+IF(AN$7&lt;&gt;"",$X46,0)</f>
        <v>0</v>
      </c>
      <c r="AO46" s="495">
        <f t="shared" ref="AO46:AO77" si="86">IF(AO$3&lt;&gt;"",$W46,0)+IF(AO$4&lt;&gt;"",$U46,0)+IF(AO$5&lt;&gt;"",$Z46+IF($S46&lt;&gt;"102",$V46,0),0)+IF(AO$6&lt;&gt;"",$AA46+IF($S46="102",$V46,0),0)+IF(AO$7&lt;&gt;"",$X46,0)</f>
        <v>0</v>
      </c>
      <c r="AP46" s="495">
        <f t="shared" ref="AP46:AP77" si="87">IF(AP$3&lt;&gt;"",$W46,0)+IF(AP$4&lt;&gt;"",$U46,0)+IF(AP$5&lt;&gt;"",$Z46+IF($S46&lt;&gt;"102",$V46,0),0)+IF(AP$6&lt;&gt;"",$AA46+IF($S46="102",$V46,0),0)+IF(AP$7&lt;&gt;"",$X46,0)</f>
        <v>0</v>
      </c>
      <c r="AQ46" s="495">
        <f t="shared" ref="AQ46:AQ77" si="88">IF(AQ$3&lt;&gt;"",$W46,0)+IF(AQ$4&lt;&gt;"",$U46,0)+IF(AQ$5&lt;&gt;"",$Z46+IF($S46&lt;&gt;"102",$V46,0),0)+IF(AQ$6&lt;&gt;"",$AA46+IF($S46="102",$V46,0),0)+IF(AQ$7&lt;&gt;"",$X46,0)</f>
        <v>0</v>
      </c>
      <c r="AR46" s="495">
        <f t="shared" ref="AR46:AR77" si="89">IF(AR$3&lt;&gt;"",$W46,0)+IF(AR$4&lt;&gt;"",$U46,0)+IF(AR$5&lt;&gt;"",$Z46+IF($S46&lt;&gt;"102",$V46,0),0)+IF(AR$6&lt;&gt;"",$AA46+IF($S46="102",$V46,0),0)+IF(AR$7&lt;&gt;"",$X46,0)</f>
        <v>0</v>
      </c>
      <c r="AS46" s="495">
        <f t="shared" ref="AS46:AS77" si="90">IF(AS$3&lt;&gt;"",$W46,0)+IF(AS$4&lt;&gt;"",$U46,0)+IF(AS$5&lt;&gt;"",$Z46+IF($S46&lt;&gt;"102",$V46,0),0)+IF(AS$6&lt;&gt;"",$AA46+IF($S46="102",$V46,0),0)+IF(AS$7&lt;&gt;"",$X46,0)</f>
        <v>0</v>
      </c>
      <c r="AT46" s="495">
        <f t="shared" ref="AT46:AT77" si="91">IF(AT$3&lt;&gt;"",$W46,0)+IF(AT$4&lt;&gt;"",$U46,0)+IF(AT$5&lt;&gt;"",$Z46+IF($S46&lt;&gt;"102",$V46,0),0)+IF(AT$6&lt;&gt;"",$AA46+IF($S46="102",$V46,0),0)+IF(AT$7&lt;&gt;"",$X46,0)</f>
        <v>0</v>
      </c>
      <c r="AU46" s="495">
        <f t="shared" ref="AU46:AU77" si="92">IF(AU$3&lt;&gt;"",$W46,0)+IF(AU$4&lt;&gt;"",$U46,0)+IF(AU$5&lt;&gt;"",$Z46+IF($S46&lt;&gt;"102",$V46,0),0)+IF(AU$6&lt;&gt;"",$AA46+IF($S46="102",$V46,0),0)+IF(AU$7&lt;&gt;"",$X46,0)</f>
        <v>0</v>
      </c>
      <c r="AV46" s="495">
        <f t="shared" ref="AV46:AV77" si="93">IF(AV$3&lt;&gt;"",$W46,0)+IF(AV$4&lt;&gt;"",$U46,0)+IF(AV$5&lt;&gt;"",$Z46+IF($S46&lt;&gt;"102",$V46,0),0)+IF(AV$6&lt;&gt;"",$AA46+IF($S46="102",$V46,0),0)+IF(AV$7&lt;&gt;"",$X46,0)</f>
        <v>0</v>
      </c>
      <c r="AW46" s="495">
        <f t="shared" ref="AW46:AW77" si="94">IF(AW$3&lt;&gt;"",$W46,0)+IF(AW$4&lt;&gt;"",$U46,0)+IF(AW$5&lt;&gt;"",$Z46+IF($S46&lt;&gt;"102",$V46,0),0)+IF(AW$6&lt;&gt;"",$AA46+IF($S46="102",$V46,0),0)+IF(AW$7&lt;&gt;"",$X46,0)</f>
        <v>0</v>
      </c>
      <c r="AX46" s="495">
        <f t="shared" ref="AX46:AX77" si="95">IF(AX$3&lt;&gt;"",$W46,0)+IF(AX$4&lt;&gt;"",$U46,0)+IF(AX$5&lt;&gt;"",$Z46+IF($S46&lt;&gt;"102",$V46,0),0)+IF(AX$6&lt;&gt;"",$AA46+IF($S46="102",$V46,0),0)+IF(AX$7&lt;&gt;"",$X46,0)</f>
        <v>0</v>
      </c>
      <c r="AY46" s="495">
        <f t="shared" ref="AY46:AY77" si="96">IF(AY$3&lt;&gt;"",$W46,0)+IF(AY$4&lt;&gt;"",$U46,0)+IF(AY$5&lt;&gt;"",$Z46+IF($S46&lt;&gt;"102",$V46,0),0)+IF(AY$6&lt;&gt;"",$AA46+IF($S46="102",$V46,0),0)+IF(AY$7&lt;&gt;"",$X46,0)</f>
        <v>0</v>
      </c>
      <c r="AZ46" s="495">
        <f t="shared" ref="AZ46:AZ77" si="97">IF(AZ$3&lt;&gt;"",$W46,0)+IF(AZ$4&lt;&gt;"",$U46,0)+IF(AZ$5&lt;&gt;"",$Z46+IF($S46&lt;&gt;"102",$V46,0),0)+IF(AZ$6&lt;&gt;"",$AA46+IF($S46="102",$V46,0),0)+IF(AZ$7&lt;&gt;"",$X46,0)</f>
        <v>0</v>
      </c>
      <c r="BA46" s="495">
        <f t="shared" ref="BA46:BA77" si="98">IF(BA$3&lt;&gt;"",$W46,0)+IF(BA$4&lt;&gt;"",$U46,0)+IF(BA$5&lt;&gt;"",$Z46+IF($S46&lt;&gt;"102",$V46,0),0)+IF(BA$6&lt;&gt;"",$AA46+IF($S46="102",$V46,0),0)+IF(BA$7&lt;&gt;"",$X46,0)</f>
        <v>0</v>
      </c>
      <c r="BB46" s="495">
        <f t="shared" ref="BB46:BB77" si="99">IF(BB$3&lt;&gt;"",$W46,0)+IF(BB$4&lt;&gt;"",$U46,0)+IF(BB$5&lt;&gt;"",$Z46+IF($S46&lt;&gt;"102",$V46,0),0)+IF(BB$6&lt;&gt;"",$AA46+IF($S46="102",$V46,0),0)+IF(BB$7&lt;&gt;"",$X46,0)</f>
        <v>0</v>
      </c>
      <c r="BC46" s="495">
        <f t="shared" ref="BC46:BC77" si="100">IF(BC$3&lt;&gt;"",$W46,0)+IF(BC$4&lt;&gt;"",$U46,0)+IF(BC$5&lt;&gt;"",$Z46+IF($S46&lt;&gt;"102",$V46,0),0)+IF(BC$6&lt;&gt;"",$AA46+IF($S46="102",$V46,0),0)+IF(BC$7&lt;&gt;"",$X46,0)</f>
        <v>0</v>
      </c>
      <c r="BD46" s="495">
        <f t="shared" ref="BD46:BD77" si="101">IF(BD$3&lt;&gt;"",$W46,0)+IF(BD$4&lt;&gt;"",$U46,0)+IF(BD$5&lt;&gt;"",$Z46+IF($S46&lt;&gt;"102",$V46,0),0)+IF(BD$6&lt;&gt;"",$AA46+IF($S46="102",$V46,0),0)+IF(BD$7&lt;&gt;"",$X46,0)</f>
        <v>0</v>
      </c>
      <c r="BE46" s="495">
        <f t="shared" ref="BE46:BE77" si="102">IF(BE$3&lt;&gt;"",$W46,0)+IF(BE$4&lt;&gt;"",$U46,0)+IF(BE$5&lt;&gt;"",$Z46+IF($S46&lt;&gt;"102",$V46,0),0)+IF(BE$6&lt;&gt;"",$AA46+IF($S46="102",$V46,0),0)+IF(BE$7&lt;&gt;"",$X46,0)</f>
        <v>0</v>
      </c>
      <c r="BF46" s="495">
        <f t="shared" ref="BF46:BF77" si="103">IF(BF$3&lt;&gt;"",$W46,0)+IF(BF$4&lt;&gt;"",$U46,0)+IF(BF$5&lt;&gt;"",$Z46+IF($S46&lt;&gt;"102",$V46,0),0)+IF(BF$6&lt;&gt;"",$AA46+IF($S46="102",$V46,0),0)+IF(BF$7&lt;&gt;"",$X46,0)</f>
        <v>0</v>
      </c>
      <c r="BG46" s="495">
        <f t="shared" ref="BG46:BG77" si="104">IF(BG$3&lt;&gt;"",$W46,0)+IF(BG$4&lt;&gt;"",$U46,0)+IF(BG$5&lt;&gt;"",$Z46+IF($S46&lt;&gt;"102",$V46,0),0)+IF(BG$6&lt;&gt;"",$AA46+IF($S46="102",$V46,0),0)+IF(BG$7&lt;&gt;"",$X46,0)</f>
        <v>0</v>
      </c>
    </row>
    <row r="47" spans="1:59">
      <c r="A47" s="465" t="s">
        <v>8445</v>
      </c>
      <c r="B47" s="483">
        <v>557794361</v>
      </c>
      <c r="C47" s="462" t="s">
        <v>776</v>
      </c>
      <c r="D47" s="462">
        <v>10</v>
      </c>
      <c r="F47" s="491" t="str" cm="1">
        <f t="array" aca="1" ref="F47" ca="1">MID(met2utc(PEPSSI_Commanding[[#This Row],[MET]]),3,15)</f>
        <v>23-266/17:00:45</v>
      </c>
      <c r="G47" s="465" t="str">
        <f t="shared" si="55"/>
        <v>N2+10</v>
      </c>
      <c r="H47" s="466">
        <f t="shared" si="56"/>
        <v>557794316</v>
      </c>
      <c r="I47" s="466">
        <f t="shared" si="57"/>
        <v>557796166</v>
      </c>
      <c r="J47" s="465">
        <f t="shared" si="58"/>
        <v>2</v>
      </c>
      <c r="K47" s="465">
        <f t="shared" si="59"/>
        <v>8</v>
      </c>
      <c r="M47" s="462" t="str">
        <f t="shared" si="60"/>
        <v/>
      </c>
      <c r="N47" s="462">
        <f t="shared" si="61"/>
        <v>10</v>
      </c>
      <c r="O47" s="462" t="str">
        <f t="shared" si="62"/>
        <v/>
      </c>
      <c r="P47" s="462" t="str">
        <f t="shared" si="63"/>
        <v/>
      </c>
      <c r="Q47" s="462" t="str">
        <f t="shared" si="64"/>
        <v/>
      </c>
      <c r="R47" s="462" t="str">
        <f t="shared" si="65"/>
        <v/>
      </c>
      <c r="S47" s="462" t="str">
        <f t="shared" si="66"/>
        <v/>
      </c>
      <c r="U47" s="495">
        <f t="shared" si="67"/>
        <v>0.88124999999999998</v>
      </c>
      <c r="V47" s="495">
        <f t="shared" si="68"/>
        <v>3.65625</v>
      </c>
      <c r="W47" s="495">
        <f t="shared" si="69"/>
        <v>0</v>
      </c>
      <c r="X47" s="495">
        <f t="shared" si="70"/>
        <v>0</v>
      </c>
      <c r="Y47" s="495">
        <f t="shared" si="71"/>
        <v>133</v>
      </c>
      <c r="Z47" s="495">
        <f t="shared" si="72"/>
        <v>133</v>
      </c>
      <c r="AA47" s="495">
        <f t="shared" si="73"/>
        <v>0</v>
      </c>
      <c r="AB47" s="496"/>
      <c r="AC47" s="495">
        <f t="shared" si="74"/>
        <v>0</v>
      </c>
      <c r="AD47" s="495">
        <f t="shared" si="75"/>
        <v>0</v>
      </c>
      <c r="AE47" s="495">
        <f t="shared" si="76"/>
        <v>0</v>
      </c>
      <c r="AF47" s="495">
        <f t="shared" si="77"/>
        <v>136.65625</v>
      </c>
      <c r="AG47" s="495">
        <f t="shared" si="78"/>
        <v>136.65625</v>
      </c>
      <c r="AH47" s="495">
        <f t="shared" si="79"/>
        <v>136.65625</v>
      </c>
      <c r="AI47" s="495">
        <f t="shared" si="80"/>
        <v>136.65625</v>
      </c>
      <c r="AJ47" s="495">
        <f t="shared" si="81"/>
        <v>0.88124999999999998</v>
      </c>
      <c r="AK47" s="495">
        <f t="shared" si="82"/>
        <v>0.88124999999999998</v>
      </c>
      <c r="AL47" s="495">
        <f t="shared" si="83"/>
        <v>0.88124999999999998</v>
      </c>
      <c r="AM47" s="495">
        <f t="shared" si="84"/>
        <v>0.88124999999999998</v>
      </c>
      <c r="AN47" s="495">
        <f t="shared" si="85"/>
        <v>137.53749999999999</v>
      </c>
      <c r="AO47" s="495">
        <f t="shared" si="86"/>
        <v>137.53749999999999</v>
      </c>
      <c r="AP47" s="495">
        <f t="shared" si="87"/>
        <v>137.53749999999999</v>
      </c>
      <c r="AQ47" s="495">
        <f t="shared" si="88"/>
        <v>137.53749999999999</v>
      </c>
      <c r="AR47" s="495">
        <f t="shared" si="89"/>
        <v>0</v>
      </c>
      <c r="AS47" s="495">
        <f t="shared" si="90"/>
        <v>0</v>
      </c>
      <c r="AT47" s="495">
        <f t="shared" si="91"/>
        <v>0</v>
      </c>
      <c r="AU47" s="495">
        <f t="shared" si="92"/>
        <v>0</v>
      </c>
      <c r="AV47" s="495">
        <f t="shared" si="93"/>
        <v>136.65625</v>
      </c>
      <c r="AW47" s="495">
        <f t="shared" si="94"/>
        <v>136.65625</v>
      </c>
      <c r="AX47" s="495">
        <f t="shared" si="95"/>
        <v>136.65625</v>
      </c>
      <c r="AY47" s="495">
        <f t="shared" si="96"/>
        <v>136.65625</v>
      </c>
      <c r="AZ47" s="495">
        <f t="shared" si="97"/>
        <v>0.88124999999999998</v>
      </c>
      <c r="BA47" s="495">
        <f t="shared" si="98"/>
        <v>0.88124999999999998</v>
      </c>
      <c r="BB47" s="495">
        <f t="shared" si="99"/>
        <v>0.88124999999999998</v>
      </c>
      <c r="BC47" s="495">
        <f t="shared" si="100"/>
        <v>0.88124999999999998</v>
      </c>
      <c r="BD47" s="495">
        <f t="shared" si="101"/>
        <v>137.53749999999999</v>
      </c>
      <c r="BE47" s="495">
        <f t="shared" si="102"/>
        <v>137.53749999999999</v>
      </c>
      <c r="BF47" s="495">
        <f t="shared" si="103"/>
        <v>137.53749999999999</v>
      </c>
      <c r="BG47" s="495">
        <f t="shared" si="104"/>
        <v>137.53749999999999</v>
      </c>
    </row>
    <row r="48" spans="1:59">
      <c r="A48" s="465" t="s">
        <v>8445</v>
      </c>
      <c r="B48" s="483">
        <v>557794362</v>
      </c>
      <c r="C48" s="462" t="s">
        <v>773</v>
      </c>
      <c r="D48" s="462">
        <v>300</v>
      </c>
      <c r="F48" s="491" t="str" cm="1">
        <f t="array" aca="1" ref="F48" ca="1">MID(met2utc(PEPSSI_Commanding[[#This Row],[MET]]),3,15)</f>
        <v>23-266/17:00:46</v>
      </c>
      <c r="G48" s="465" t="str">
        <f t="shared" si="55"/>
        <v>N3+300</v>
      </c>
      <c r="H48" s="466">
        <f t="shared" si="56"/>
        <v>557794316</v>
      </c>
      <c r="I48" s="466">
        <f t="shared" si="57"/>
        <v>557796166</v>
      </c>
      <c r="J48" s="465">
        <f t="shared" si="58"/>
        <v>3</v>
      </c>
      <c r="K48" s="465">
        <f t="shared" si="59"/>
        <v>7</v>
      </c>
      <c r="M48" s="462" t="str">
        <f t="shared" si="60"/>
        <v/>
      </c>
      <c r="N48" s="462">
        <f t="shared" si="61"/>
        <v>10</v>
      </c>
      <c r="O48" s="462">
        <f t="shared" si="62"/>
        <v>300</v>
      </c>
      <c r="P48" s="462" t="str">
        <f t="shared" si="63"/>
        <v/>
      </c>
      <c r="Q48" s="462" t="str">
        <f t="shared" si="64"/>
        <v/>
      </c>
      <c r="R48" s="462" t="str">
        <f t="shared" si="65"/>
        <v/>
      </c>
      <c r="S48" s="462" t="str">
        <f t="shared" si="66"/>
        <v/>
      </c>
      <c r="U48" s="495">
        <f t="shared" si="67"/>
        <v>0.88124999999999998</v>
      </c>
      <c r="V48" s="495">
        <f t="shared" si="68"/>
        <v>3.65625</v>
      </c>
      <c r="W48" s="495">
        <f t="shared" si="69"/>
        <v>0</v>
      </c>
      <c r="X48" s="495">
        <f t="shared" si="70"/>
        <v>0</v>
      </c>
      <c r="Y48" s="495">
        <f t="shared" si="71"/>
        <v>133</v>
      </c>
      <c r="Z48" s="495">
        <f t="shared" si="72"/>
        <v>133</v>
      </c>
      <c r="AA48" s="495">
        <f t="shared" si="73"/>
        <v>66.36</v>
      </c>
      <c r="AB48" s="496"/>
      <c r="AC48" s="495">
        <f t="shared" si="74"/>
        <v>0</v>
      </c>
      <c r="AD48" s="495">
        <f t="shared" si="75"/>
        <v>66.36</v>
      </c>
      <c r="AE48" s="495">
        <f t="shared" si="76"/>
        <v>66.36</v>
      </c>
      <c r="AF48" s="495">
        <f t="shared" si="77"/>
        <v>136.65625</v>
      </c>
      <c r="AG48" s="495">
        <f t="shared" si="78"/>
        <v>136.65625</v>
      </c>
      <c r="AH48" s="495">
        <f t="shared" si="79"/>
        <v>203.01625000000001</v>
      </c>
      <c r="AI48" s="495">
        <f t="shared" si="80"/>
        <v>203.01625000000001</v>
      </c>
      <c r="AJ48" s="495">
        <f t="shared" si="81"/>
        <v>0.88124999999999998</v>
      </c>
      <c r="AK48" s="495">
        <f t="shared" si="82"/>
        <v>0.88124999999999998</v>
      </c>
      <c r="AL48" s="495">
        <f t="shared" si="83"/>
        <v>67.241249999999994</v>
      </c>
      <c r="AM48" s="495">
        <f t="shared" si="84"/>
        <v>67.241249999999994</v>
      </c>
      <c r="AN48" s="495">
        <f t="shared" si="85"/>
        <v>137.53749999999999</v>
      </c>
      <c r="AO48" s="495">
        <f t="shared" si="86"/>
        <v>137.53749999999999</v>
      </c>
      <c r="AP48" s="495">
        <f t="shared" si="87"/>
        <v>203.89749999999998</v>
      </c>
      <c r="AQ48" s="495">
        <f t="shared" si="88"/>
        <v>203.89749999999998</v>
      </c>
      <c r="AR48" s="495">
        <f t="shared" si="89"/>
        <v>0</v>
      </c>
      <c r="AS48" s="495">
        <f t="shared" si="90"/>
        <v>0</v>
      </c>
      <c r="AT48" s="495">
        <f t="shared" si="91"/>
        <v>66.36</v>
      </c>
      <c r="AU48" s="495">
        <f t="shared" si="92"/>
        <v>66.36</v>
      </c>
      <c r="AV48" s="495">
        <f t="shared" si="93"/>
        <v>136.65625</v>
      </c>
      <c r="AW48" s="495">
        <f t="shared" si="94"/>
        <v>136.65625</v>
      </c>
      <c r="AX48" s="495">
        <f t="shared" si="95"/>
        <v>203.01625000000001</v>
      </c>
      <c r="AY48" s="495">
        <f t="shared" si="96"/>
        <v>203.01625000000001</v>
      </c>
      <c r="AZ48" s="495">
        <f t="shared" si="97"/>
        <v>0.88124999999999998</v>
      </c>
      <c r="BA48" s="495">
        <f t="shared" si="98"/>
        <v>0.88124999999999998</v>
      </c>
      <c r="BB48" s="495">
        <f t="shared" si="99"/>
        <v>67.241249999999994</v>
      </c>
      <c r="BC48" s="495">
        <f t="shared" si="100"/>
        <v>67.241249999999994</v>
      </c>
      <c r="BD48" s="495">
        <f t="shared" si="101"/>
        <v>137.53749999999999</v>
      </c>
      <c r="BE48" s="495">
        <f t="shared" si="102"/>
        <v>137.53749999999999</v>
      </c>
      <c r="BF48" s="495">
        <f t="shared" si="103"/>
        <v>203.89749999999998</v>
      </c>
      <c r="BG48" s="495">
        <f t="shared" si="104"/>
        <v>203.89749999999998</v>
      </c>
    </row>
    <row r="49" spans="1:59">
      <c r="A49" s="465" t="s">
        <v>8445</v>
      </c>
      <c r="B49" s="483">
        <v>557794363</v>
      </c>
      <c r="C49" s="462" t="s">
        <v>12</v>
      </c>
      <c r="D49" s="462">
        <v>10</v>
      </c>
      <c r="F49" s="491" t="str" cm="1">
        <f t="array" aca="1" ref="F49" ca="1">MID(met2utc(PEPSSI_Commanding[[#This Row],[MET]]),3,15)</f>
        <v>23-266/17:00:47</v>
      </c>
      <c r="G49" s="465" t="str">
        <f t="shared" si="55"/>
        <v>N1+10</v>
      </c>
      <c r="H49" s="466">
        <f t="shared" si="56"/>
        <v>557794316</v>
      </c>
      <c r="I49" s="466">
        <f t="shared" si="57"/>
        <v>557796166</v>
      </c>
      <c r="J49" s="465">
        <f t="shared" si="58"/>
        <v>4</v>
      </c>
      <c r="K49" s="465">
        <f t="shared" si="59"/>
        <v>6</v>
      </c>
      <c r="M49" s="462">
        <f t="shared" si="60"/>
        <v>10</v>
      </c>
      <c r="N49" s="462">
        <f t="shared" si="61"/>
        <v>10</v>
      </c>
      <c r="O49" s="462">
        <f t="shared" si="62"/>
        <v>300</v>
      </c>
      <c r="P49" s="462" t="str">
        <f t="shared" si="63"/>
        <v/>
      </c>
      <c r="Q49" s="462" t="str">
        <f t="shared" si="64"/>
        <v/>
      </c>
      <c r="R49" s="462" t="str">
        <f t="shared" si="65"/>
        <v/>
      </c>
      <c r="S49" s="462" t="str">
        <f t="shared" si="66"/>
        <v/>
      </c>
      <c r="U49" s="495">
        <f t="shared" si="67"/>
        <v>0.88124999999999998</v>
      </c>
      <c r="V49" s="495">
        <f t="shared" si="68"/>
        <v>3.65625</v>
      </c>
      <c r="W49" s="495">
        <f t="shared" si="69"/>
        <v>0</v>
      </c>
      <c r="X49" s="495">
        <f t="shared" si="70"/>
        <v>198.8</v>
      </c>
      <c r="Y49" s="495">
        <f t="shared" si="71"/>
        <v>133</v>
      </c>
      <c r="Z49" s="495">
        <f t="shared" si="72"/>
        <v>133</v>
      </c>
      <c r="AA49" s="495">
        <f t="shared" si="73"/>
        <v>66.36</v>
      </c>
      <c r="AB49" s="496"/>
      <c r="AC49" s="495">
        <f t="shared" si="74"/>
        <v>198.8</v>
      </c>
      <c r="AD49" s="495">
        <f t="shared" si="75"/>
        <v>66.36</v>
      </c>
      <c r="AE49" s="495">
        <f t="shared" si="76"/>
        <v>265.16000000000003</v>
      </c>
      <c r="AF49" s="495">
        <f t="shared" si="77"/>
        <v>136.65625</v>
      </c>
      <c r="AG49" s="495">
        <f t="shared" si="78"/>
        <v>335.45625000000001</v>
      </c>
      <c r="AH49" s="495">
        <f t="shared" si="79"/>
        <v>203.01625000000001</v>
      </c>
      <c r="AI49" s="495">
        <f t="shared" si="80"/>
        <v>401.81625000000003</v>
      </c>
      <c r="AJ49" s="495">
        <f t="shared" si="81"/>
        <v>0.88124999999999998</v>
      </c>
      <c r="AK49" s="495">
        <f t="shared" si="82"/>
        <v>199.68125000000001</v>
      </c>
      <c r="AL49" s="495">
        <f t="shared" si="83"/>
        <v>67.241249999999994</v>
      </c>
      <c r="AM49" s="495">
        <f t="shared" si="84"/>
        <v>266.04124999999999</v>
      </c>
      <c r="AN49" s="495">
        <f t="shared" si="85"/>
        <v>137.53749999999999</v>
      </c>
      <c r="AO49" s="495">
        <f t="shared" si="86"/>
        <v>336.33749999999998</v>
      </c>
      <c r="AP49" s="495">
        <f t="shared" si="87"/>
        <v>203.89749999999998</v>
      </c>
      <c r="AQ49" s="495">
        <f t="shared" si="88"/>
        <v>402.69749999999999</v>
      </c>
      <c r="AR49" s="495">
        <f t="shared" si="89"/>
        <v>0</v>
      </c>
      <c r="AS49" s="495">
        <f t="shared" si="90"/>
        <v>198.8</v>
      </c>
      <c r="AT49" s="495">
        <f t="shared" si="91"/>
        <v>66.36</v>
      </c>
      <c r="AU49" s="495">
        <f t="shared" si="92"/>
        <v>265.16000000000003</v>
      </c>
      <c r="AV49" s="495">
        <f t="shared" si="93"/>
        <v>136.65625</v>
      </c>
      <c r="AW49" s="495">
        <f t="shared" si="94"/>
        <v>335.45625000000001</v>
      </c>
      <c r="AX49" s="495">
        <f t="shared" si="95"/>
        <v>203.01625000000001</v>
      </c>
      <c r="AY49" s="495">
        <f t="shared" si="96"/>
        <v>401.81625000000003</v>
      </c>
      <c r="AZ49" s="495">
        <f t="shared" si="97"/>
        <v>0.88124999999999998</v>
      </c>
      <c r="BA49" s="495">
        <f t="shared" si="98"/>
        <v>199.68125000000001</v>
      </c>
      <c r="BB49" s="495">
        <f t="shared" si="99"/>
        <v>67.241249999999994</v>
      </c>
      <c r="BC49" s="495">
        <f t="shared" si="100"/>
        <v>266.04124999999999</v>
      </c>
      <c r="BD49" s="495">
        <f t="shared" si="101"/>
        <v>137.53749999999999</v>
      </c>
      <c r="BE49" s="495">
        <f t="shared" si="102"/>
        <v>336.33749999999998</v>
      </c>
      <c r="BF49" s="495">
        <f t="shared" si="103"/>
        <v>203.89749999999998</v>
      </c>
      <c r="BG49" s="495">
        <f t="shared" si="104"/>
        <v>402.69749999999999</v>
      </c>
    </row>
    <row r="50" spans="1:59">
      <c r="A50" s="465" t="s">
        <v>8447</v>
      </c>
      <c r="B50" s="483">
        <v>557794364</v>
      </c>
      <c r="C50" s="462" t="s">
        <v>8403</v>
      </c>
      <c r="D50" s="462">
        <v>1</v>
      </c>
      <c r="F50" s="491" t="str" cm="1">
        <f t="array" aca="1" ref="F50" ca="1">MID(met2utc(PEPSSI_Commanding[[#This Row],[MET]]),3,15)</f>
        <v>23-266/17:00:48</v>
      </c>
      <c r="G50" s="465" t="str">
        <f t="shared" si="55"/>
        <v>STAT+1</v>
      </c>
      <c r="H50" s="466">
        <f t="shared" si="56"/>
        <v>557794316</v>
      </c>
      <c r="I50" s="466">
        <f t="shared" si="57"/>
        <v>557796166</v>
      </c>
      <c r="J50" s="465">
        <f t="shared" si="58"/>
        <v>5</v>
      </c>
      <c r="K50" s="465">
        <f t="shared" si="59"/>
        <v>5</v>
      </c>
      <c r="M50" s="462">
        <f t="shared" si="60"/>
        <v>10</v>
      </c>
      <c r="N50" s="462">
        <f t="shared" si="61"/>
        <v>10</v>
      </c>
      <c r="O50" s="462">
        <f t="shared" si="62"/>
        <v>300</v>
      </c>
      <c r="P50" s="462">
        <f t="shared" si="63"/>
        <v>1</v>
      </c>
      <c r="Q50" s="462" t="str">
        <f t="shared" si="64"/>
        <v/>
      </c>
      <c r="R50" s="462" t="str">
        <f t="shared" si="65"/>
        <v/>
      </c>
      <c r="S50" s="462" t="str">
        <f t="shared" si="66"/>
        <v/>
      </c>
      <c r="U50" s="495">
        <f t="shared" si="67"/>
        <v>0.88124999999999998</v>
      </c>
      <c r="V50" s="495">
        <f t="shared" si="68"/>
        <v>3.65625</v>
      </c>
      <c r="W50" s="495">
        <f t="shared" si="69"/>
        <v>512</v>
      </c>
      <c r="X50" s="495">
        <f t="shared" si="70"/>
        <v>198.8</v>
      </c>
      <c r="Y50" s="495">
        <f t="shared" si="71"/>
        <v>133</v>
      </c>
      <c r="Z50" s="495">
        <f t="shared" si="72"/>
        <v>133</v>
      </c>
      <c r="AA50" s="495">
        <f t="shared" si="73"/>
        <v>66.36</v>
      </c>
      <c r="AB50" s="496"/>
      <c r="AC50" s="495">
        <f t="shared" si="74"/>
        <v>198.8</v>
      </c>
      <c r="AD50" s="495">
        <f t="shared" si="75"/>
        <v>66.36</v>
      </c>
      <c r="AE50" s="495">
        <f t="shared" si="76"/>
        <v>265.16000000000003</v>
      </c>
      <c r="AF50" s="495">
        <f t="shared" si="77"/>
        <v>136.65625</v>
      </c>
      <c r="AG50" s="495">
        <f t="shared" si="78"/>
        <v>335.45625000000001</v>
      </c>
      <c r="AH50" s="495">
        <f t="shared" si="79"/>
        <v>203.01625000000001</v>
      </c>
      <c r="AI50" s="495">
        <f t="shared" si="80"/>
        <v>401.81625000000003</v>
      </c>
      <c r="AJ50" s="495">
        <f t="shared" si="81"/>
        <v>0.88124999999999998</v>
      </c>
      <c r="AK50" s="495">
        <f t="shared" si="82"/>
        <v>199.68125000000001</v>
      </c>
      <c r="AL50" s="495">
        <f t="shared" si="83"/>
        <v>67.241249999999994</v>
      </c>
      <c r="AM50" s="495">
        <f t="shared" si="84"/>
        <v>266.04124999999999</v>
      </c>
      <c r="AN50" s="495">
        <f t="shared" si="85"/>
        <v>137.53749999999999</v>
      </c>
      <c r="AO50" s="495">
        <f t="shared" si="86"/>
        <v>336.33749999999998</v>
      </c>
      <c r="AP50" s="495">
        <f t="shared" si="87"/>
        <v>203.89749999999998</v>
      </c>
      <c r="AQ50" s="495">
        <f t="shared" si="88"/>
        <v>402.69749999999999</v>
      </c>
      <c r="AR50" s="495">
        <f t="shared" si="89"/>
        <v>512</v>
      </c>
      <c r="AS50" s="495">
        <f t="shared" si="90"/>
        <v>710.8</v>
      </c>
      <c r="AT50" s="495">
        <f t="shared" si="91"/>
        <v>578.36</v>
      </c>
      <c r="AU50" s="495">
        <f t="shared" si="92"/>
        <v>777.16000000000008</v>
      </c>
      <c r="AV50" s="495">
        <f t="shared" si="93"/>
        <v>648.65625</v>
      </c>
      <c r="AW50" s="495">
        <f t="shared" si="94"/>
        <v>847.45624999999995</v>
      </c>
      <c r="AX50" s="495">
        <f t="shared" si="95"/>
        <v>715.01625000000001</v>
      </c>
      <c r="AY50" s="495">
        <f t="shared" si="96"/>
        <v>913.81625000000008</v>
      </c>
      <c r="AZ50" s="495">
        <f t="shared" si="97"/>
        <v>512.88125000000002</v>
      </c>
      <c r="BA50" s="495">
        <f t="shared" si="98"/>
        <v>711.68125000000009</v>
      </c>
      <c r="BB50" s="495">
        <f t="shared" si="99"/>
        <v>579.24125000000004</v>
      </c>
      <c r="BC50" s="495">
        <f t="shared" si="100"/>
        <v>778.04124999999999</v>
      </c>
      <c r="BD50" s="495">
        <f t="shared" si="101"/>
        <v>649.53750000000002</v>
      </c>
      <c r="BE50" s="495">
        <f t="shared" si="102"/>
        <v>848.33750000000009</v>
      </c>
      <c r="BF50" s="495">
        <f t="shared" si="103"/>
        <v>715.89750000000004</v>
      </c>
      <c r="BG50" s="495">
        <f t="shared" si="104"/>
        <v>914.69749999999999</v>
      </c>
    </row>
    <row r="51" spans="1:59">
      <c r="A51" s="465" t="s">
        <v>8445</v>
      </c>
      <c r="B51" s="483">
        <v>557795847</v>
      </c>
      <c r="C51" s="462" t="s">
        <v>776</v>
      </c>
      <c r="D51" s="462">
        <v>40</v>
      </c>
      <c r="F51" s="491" t="str" cm="1">
        <f t="array" aca="1" ref="F51" ca="1">MID(met2utc(PEPSSI_Commanding[[#This Row],[MET]]),3,15)</f>
        <v>23-266/17:25:31</v>
      </c>
      <c r="G51" s="465" t="str">
        <f t="shared" si="55"/>
        <v>N2+40</v>
      </c>
      <c r="H51" s="466">
        <f t="shared" si="56"/>
        <v>557794316</v>
      </c>
      <c r="I51" s="466">
        <f t="shared" si="57"/>
        <v>557796166</v>
      </c>
      <c r="J51" s="465">
        <f t="shared" si="58"/>
        <v>6</v>
      </c>
      <c r="K51" s="465">
        <f t="shared" si="59"/>
        <v>4</v>
      </c>
      <c r="M51" s="462">
        <f t="shared" si="60"/>
        <v>10</v>
      </c>
      <c r="N51" s="462">
        <f t="shared" si="61"/>
        <v>40</v>
      </c>
      <c r="O51" s="462">
        <f t="shared" si="62"/>
        <v>300</v>
      </c>
      <c r="P51" s="462">
        <f t="shared" si="63"/>
        <v>1</v>
      </c>
      <c r="Q51" s="462" t="str">
        <f t="shared" si="64"/>
        <v/>
      </c>
      <c r="R51" s="462" t="str">
        <f t="shared" si="65"/>
        <v/>
      </c>
      <c r="S51" s="462" t="str">
        <f t="shared" si="66"/>
        <v/>
      </c>
      <c r="U51" s="495">
        <f t="shared" si="67"/>
        <v>0.22031249999999999</v>
      </c>
      <c r="V51" s="495">
        <f t="shared" si="68"/>
        <v>0.9140625</v>
      </c>
      <c r="W51" s="495">
        <f t="shared" si="69"/>
        <v>512</v>
      </c>
      <c r="X51" s="495">
        <f t="shared" si="70"/>
        <v>198.8</v>
      </c>
      <c r="Y51" s="495">
        <f t="shared" si="71"/>
        <v>33.25</v>
      </c>
      <c r="Z51" s="495">
        <f t="shared" si="72"/>
        <v>33.25</v>
      </c>
      <c r="AA51" s="495">
        <f t="shared" si="73"/>
        <v>66.36</v>
      </c>
      <c r="AB51" s="496"/>
      <c r="AC51" s="495">
        <f t="shared" si="74"/>
        <v>198.8</v>
      </c>
      <c r="AD51" s="495">
        <f t="shared" si="75"/>
        <v>66.36</v>
      </c>
      <c r="AE51" s="495">
        <f t="shared" si="76"/>
        <v>265.16000000000003</v>
      </c>
      <c r="AF51" s="495">
        <f t="shared" si="77"/>
        <v>34.1640625</v>
      </c>
      <c r="AG51" s="495">
        <f t="shared" si="78"/>
        <v>232.96406250000001</v>
      </c>
      <c r="AH51" s="495">
        <f t="shared" si="79"/>
        <v>100.5240625</v>
      </c>
      <c r="AI51" s="495">
        <f t="shared" si="80"/>
        <v>299.32406250000003</v>
      </c>
      <c r="AJ51" s="495">
        <f t="shared" si="81"/>
        <v>0.22031249999999999</v>
      </c>
      <c r="AK51" s="495">
        <f t="shared" si="82"/>
        <v>199.02031250000002</v>
      </c>
      <c r="AL51" s="495">
        <f t="shared" si="83"/>
        <v>66.580312500000005</v>
      </c>
      <c r="AM51" s="495">
        <f t="shared" si="84"/>
        <v>265.3803125</v>
      </c>
      <c r="AN51" s="495">
        <f t="shared" si="85"/>
        <v>34.384374999999999</v>
      </c>
      <c r="AO51" s="495">
        <f t="shared" si="86"/>
        <v>233.18437500000002</v>
      </c>
      <c r="AP51" s="495">
        <f t="shared" si="87"/>
        <v>100.74437499999999</v>
      </c>
      <c r="AQ51" s="495">
        <f t="shared" si="88"/>
        <v>299.544375</v>
      </c>
      <c r="AR51" s="495">
        <f t="shared" si="89"/>
        <v>512</v>
      </c>
      <c r="AS51" s="495">
        <f t="shared" si="90"/>
        <v>710.8</v>
      </c>
      <c r="AT51" s="495">
        <f t="shared" si="91"/>
        <v>578.36</v>
      </c>
      <c r="AU51" s="495">
        <f t="shared" si="92"/>
        <v>777.16000000000008</v>
      </c>
      <c r="AV51" s="495">
        <f t="shared" si="93"/>
        <v>546.1640625</v>
      </c>
      <c r="AW51" s="495">
        <f t="shared" si="94"/>
        <v>744.96406249999995</v>
      </c>
      <c r="AX51" s="495">
        <f t="shared" si="95"/>
        <v>612.52406250000001</v>
      </c>
      <c r="AY51" s="495">
        <f t="shared" si="96"/>
        <v>811.32406250000008</v>
      </c>
      <c r="AZ51" s="495">
        <f t="shared" si="97"/>
        <v>512.22031249999998</v>
      </c>
      <c r="BA51" s="495">
        <f t="shared" si="98"/>
        <v>711.02031250000005</v>
      </c>
      <c r="BB51" s="495">
        <f t="shared" si="99"/>
        <v>578.58031249999999</v>
      </c>
      <c r="BC51" s="495">
        <f t="shared" si="100"/>
        <v>777.38031249999995</v>
      </c>
      <c r="BD51" s="495">
        <f t="shared" si="101"/>
        <v>546.38437499999998</v>
      </c>
      <c r="BE51" s="495">
        <f t="shared" si="102"/>
        <v>745.18437500000005</v>
      </c>
      <c r="BF51" s="495">
        <f t="shared" si="103"/>
        <v>612.74437499999999</v>
      </c>
      <c r="BG51" s="495">
        <f t="shared" si="104"/>
        <v>811.54437499999995</v>
      </c>
    </row>
    <row r="52" spans="1:59">
      <c r="A52" s="465" t="s">
        <v>8445</v>
      </c>
      <c r="B52" s="483">
        <v>557795848</v>
      </c>
      <c r="C52" s="462" t="s">
        <v>773</v>
      </c>
      <c r="D52" s="462">
        <v>7200</v>
      </c>
      <c r="F52" s="491" t="str" cm="1">
        <f t="array" aca="1" ref="F52" ca="1">MID(met2utc(PEPSSI_Commanding[[#This Row],[MET]]),3,15)</f>
        <v>23-266/17:25:32</v>
      </c>
      <c r="G52" s="465" t="str">
        <f t="shared" si="55"/>
        <v>N3+7200</v>
      </c>
      <c r="H52" s="466">
        <f t="shared" si="56"/>
        <v>557794316</v>
      </c>
      <c r="I52" s="466">
        <f t="shared" si="57"/>
        <v>557796166</v>
      </c>
      <c r="J52" s="465">
        <f t="shared" si="58"/>
        <v>7</v>
      </c>
      <c r="K52" s="465">
        <f t="shared" si="59"/>
        <v>3</v>
      </c>
      <c r="M52" s="462">
        <f t="shared" si="60"/>
        <v>10</v>
      </c>
      <c r="N52" s="462">
        <f t="shared" si="61"/>
        <v>40</v>
      </c>
      <c r="O52" s="462">
        <f t="shared" si="62"/>
        <v>7200</v>
      </c>
      <c r="P52" s="462">
        <f t="shared" si="63"/>
        <v>1</v>
      </c>
      <c r="Q52" s="462" t="str">
        <f t="shared" si="64"/>
        <v/>
      </c>
      <c r="R52" s="462" t="str">
        <f t="shared" si="65"/>
        <v/>
      </c>
      <c r="S52" s="462" t="str">
        <f t="shared" si="66"/>
        <v/>
      </c>
      <c r="U52" s="495">
        <f t="shared" si="67"/>
        <v>0.22031249999999999</v>
      </c>
      <c r="V52" s="495">
        <f t="shared" si="68"/>
        <v>0.9140625</v>
      </c>
      <c r="W52" s="495">
        <f t="shared" si="69"/>
        <v>512</v>
      </c>
      <c r="X52" s="495">
        <f t="shared" si="70"/>
        <v>198.8</v>
      </c>
      <c r="Y52" s="495">
        <f t="shared" si="71"/>
        <v>33.25</v>
      </c>
      <c r="Z52" s="495">
        <f t="shared" si="72"/>
        <v>33.25</v>
      </c>
      <c r="AA52" s="495">
        <f t="shared" si="73"/>
        <v>2.7650000000000001</v>
      </c>
      <c r="AB52" s="496"/>
      <c r="AC52" s="495">
        <f t="shared" si="74"/>
        <v>198.8</v>
      </c>
      <c r="AD52" s="495">
        <f t="shared" si="75"/>
        <v>2.7650000000000001</v>
      </c>
      <c r="AE52" s="495">
        <f t="shared" si="76"/>
        <v>201.565</v>
      </c>
      <c r="AF52" s="495">
        <f t="shared" si="77"/>
        <v>34.1640625</v>
      </c>
      <c r="AG52" s="495">
        <f t="shared" si="78"/>
        <v>232.96406250000001</v>
      </c>
      <c r="AH52" s="495">
        <f t="shared" si="79"/>
        <v>36.929062500000001</v>
      </c>
      <c r="AI52" s="495">
        <f t="shared" si="80"/>
        <v>235.7290625</v>
      </c>
      <c r="AJ52" s="495">
        <f t="shared" si="81"/>
        <v>0.22031249999999999</v>
      </c>
      <c r="AK52" s="495">
        <f t="shared" si="82"/>
        <v>199.02031250000002</v>
      </c>
      <c r="AL52" s="495">
        <f t="shared" si="83"/>
        <v>2.9853125</v>
      </c>
      <c r="AM52" s="495">
        <f t="shared" si="84"/>
        <v>201.7853125</v>
      </c>
      <c r="AN52" s="495">
        <f t="shared" si="85"/>
        <v>34.384374999999999</v>
      </c>
      <c r="AO52" s="495">
        <f t="shared" si="86"/>
        <v>233.18437500000002</v>
      </c>
      <c r="AP52" s="495">
        <f t="shared" si="87"/>
        <v>37.149374999999999</v>
      </c>
      <c r="AQ52" s="495">
        <f t="shared" si="88"/>
        <v>235.949375</v>
      </c>
      <c r="AR52" s="495">
        <f t="shared" si="89"/>
        <v>512</v>
      </c>
      <c r="AS52" s="495">
        <f t="shared" si="90"/>
        <v>710.8</v>
      </c>
      <c r="AT52" s="495">
        <f t="shared" si="91"/>
        <v>514.76499999999999</v>
      </c>
      <c r="AU52" s="495">
        <f t="shared" si="92"/>
        <v>713.56500000000005</v>
      </c>
      <c r="AV52" s="495">
        <f t="shared" si="93"/>
        <v>546.1640625</v>
      </c>
      <c r="AW52" s="495">
        <f t="shared" si="94"/>
        <v>744.96406249999995</v>
      </c>
      <c r="AX52" s="495">
        <f t="shared" si="95"/>
        <v>548.92906249999999</v>
      </c>
      <c r="AY52" s="495">
        <f t="shared" si="96"/>
        <v>747.72906250000005</v>
      </c>
      <c r="AZ52" s="495">
        <f t="shared" si="97"/>
        <v>512.22031249999998</v>
      </c>
      <c r="BA52" s="495">
        <f t="shared" si="98"/>
        <v>711.02031250000005</v>
      </c>
      <c r="BB52" s="495">
        <f t="shared" si="99"/>
        <v>514.98531249999996</v>
      </c>
      <c r="BC52" s="495">
        <f t="shared" si="100"/>
        <v>713.78531249999992</v>
      </c>
      <c r="BD52" s="495">
        <f t="shared" si="101"/>
        <v>546.38437499999998</v>
      </c>
      <c r="BE52" s="495">
        <f t="shared" si="102"/>
        <v>745.18437500000005</v>
      </c>
      <c r="BF52" s="495">
        <f t="shared" si="103"/>
        <v>549.14937499999996</v>
      </c>
      <c r="BG52" s="495">
        <f t="shared" si="104"/>
        <v>747.94937499999992</v>
      </c>
    </row>
    <row r="53" spans="1:59">
      <c r="A53" s="465" t="s">
        <v>8445</v>
      </c>
      <c r="B53" s="483">
        <v>557795849</v>
      </c>
      <c r="C53" s="462" t="s">
        <v>12</v>
      </c>
      <c r="D53" s="462">
        <v>3600</v>
      </c>
      <c r="F53" s="491" t="str" cm="1">
        <f t="array" aca="1" ref="F53" ca="1">MID(met2utc(PEPSSI_Commanding[[#This Row],[MET]]),3,15)</f>
        <v>23-266/17:25:33</v>
      </c>
      <c r="G53" s="465" t="str">
        <f t="shared" si="55"/>
        <v>N1+3600</v>
      </c>
      <c r="H53" s="466">
        <f t="shared" si="56"/>
        <v>557794316</v>
      </c>
      <c r="I53" s="466">
        <f t="shared" si="57"/>
        <v>557796166</v>
      </c>
      <c r="J53" s="465">
        <f t="shared" si="58"/>
        <v>8</v>
      </c>
      <c r="K53" s="465">
        <f t="shared" si="59"/>
        <v>2</v>
      </c>
      <c r="M53" s="462">
        <f t="shared" si="60"/>
        <v>3600</v>
      </c>
      <c r="N53" s="462">
        <f t="shared" si="61"/>
        <v>40</v>
      </c>
      <c r="O53" s="462">
        <f t="shared" si="62"/>
        <v>7200</v>
      </c>
      <c r="P53" s="462">
        <f t="shared" si="63"/>
        <v>1</v>
      </c>
      <c r="Q53" s="462" t="str">
        <f t="shared" si="64"/>
        <v/>
      </c>
      <c r="R53" s="462" t="str">
        <f t="shared" si="65"/>
        <v/>
      </c>
      <c r="S53" s="462" t="str">
        <f t="shared" si="66"/>
        <v/>
      </c>
      <c r="U53" s="495">
        <f t="shared" si="67"/>
        <v>0.22031249999999999</v>
      </c>
      <c r="V53" s="495">
        <f t="shared" si="68"/>
        <v>0.9140625</v>
      </c>
      <c r="W53" s="495">
        <f t="shared" si="69"/>
        <v>512</v>
      </c>
      <c r="X53" s="495">
        <f t="shared" si="70"/>
        <v>0.55222222222222217</v>
      </c>
      <c r="Y53" s="495">
        <f t="shared" si="71"/>
        <v>33.25</v>
      </c>
      <c r="Z53" s="495">
        <f t="shared" si="72"/>
        <v>33.25</v>
      </c>
      <c r="AA53" s="495">
        <f t="shared" si="73"/>
        <v>2.7650000000000001</v>
      </c>
      <c r="AB53" s="496"/>
      <c r="AC53" s="495">
        <f t="shared" si="74"/>
        <v>0.55222222222222217</v>
      </c>
      <c r="AD53" s="495">
        <f t="shared" si="75"/>
        <v>2.7650000000000001</v>
      </c>
      <c r="AE53" s="495">
        <f t="shared" si="76"/>
        <v>3.3172222222222221</v>
      </c>
      <c r="AF53" s="495">
        <f t="shared" si="77"/>
        <v>34.1640625</v>
      </c>
      <c r="AG53" s="495">
        <f t="shared" si="78"/>
        <v>34.71628472222222</v>
      </c>
      <c r="AH53" s="495">
        <f t="shared" si="79"/>
        <v>36.929062500000001</v>
      </c>
      <c r="AI53" s="495">
        <f t="shared" si="80"/>
        <v>37.48128472222222</v>
      </c>
      <c r="AJ53" s="495">
        <f t="shared" si="81"/>
        <v>0.22031249999999999</v>
      </c>
      <c r="AK53" s="495">
        <f t="shared" si="82"/>
        <v>0.77253472222222219</v>
      </c>
      <c r="AL53" s="495">
        <f t="shared" si="83"/>
        <v>2.9853125</v>
      </c>
      <c r="AM53" s="495">
        <f t="shared" si="84"/>
        <v>3.5375347222222224</v>
      </c>
      <c r="AN53" s="495">
        <f t="shared" si="85"/>
        <v>34.384374999999999</v>
      </c>
      <c r="AO53" s="495">
        <f t="shared" si="86"/>
        <v>34.936597222222218</v>
      </c>
      <c r="AP53" s="495">
        <f t="shared" si="87"/>
        <v>37.149374999999999</v>
      </c>
      <c r="AQ53" s="495">
        <f t="shared" si="88"/>
        <v>37.701597222222219</v>
      </c>
      <c r="AR53" s="495">
        <f t="shared" si="89"/>
        <v>512</v>
      </c>
      <c r="AS53" s="495">
        <f t="shared" si="90"/>
        <v>512.55222222222221</v>
      </c>
      <c r="AT53" s="495">
        <f t="shared" si="91"/>
        <v>514.76499999999999</v>
      </c>
      <c r="AU53" s="495">
        <f t="shared" si="92"/>
        <v>515.3172222222222</v>
      </c>
      <c r="AV53" s="495">
        <f t="shared" si="93"/>
        <v>546.1640625</v>
      </c>
      <c r="AW53" s="495">
        <f t="shared" si="94"/>
        <v>546.71628472222221</v>
      </c>
      <c r="AX53" s="495">
        <f t="shared" si="95"/>
        <v>548.92906249999999</v>
      </c>
      <c r="AY53" s="495">
        <f t="shared" si="96"/>
        <v>549.4812847222222</v>
      </c>
      <c r="AZ53" s="495">
        <f t="shared" si="97"/>
        <v>512.22031249999998</v>
      </c>
      <c r="BA53" s="495">
        <f t="shared" si="98"/>
        <v>512.77253472222219</v>
      </c>
      <c r="BB53" s="495">
        <f t="shared" si="99"/>
        <v>514.98531249999996</v>
      </c>
      <c r="BC53" s="495">
        <f t="shared" si="100"/>
        <v>515.53753472222218</v>
      </c>
      <c r="BD53" s="495">
        <f t="shared" si="101"/>
        <v>546.38437499999998</v>
      </c>
      <c r="BE53" s="495">
        <f t="shared" si="102"/>
        <v>546.93659722222219</v>
      </c>
      <c r="BF53" s="495">
        <f t="shared" si="103"/>
        <v>549.14937499999996</v>
      </c>
      <c r="BG53" s="495">
        <f t="shared" si="104"/>
        <v>549.70159722222218</v>
      </c>
    </row>
    <row r="54" spans="1:59">
      <c r="A54" s="465" t="s">
        <v>8447</v>
      </c>
      <c r="B54" s="483">
        <v>557795850</v>
      </c>
      <c r="C54" s="462" t="s">
        <v>8403</v>
      </c>
      <c r="D54" s="462">
        <v>300</v>
      </c>
      <c r="F54" s="491" t="str" cm="1">
        <f t="array" aca="1" ref="F54" ca="1">MID(met2utc(PEPSSI_Commanding[[#This Row],[MET]]),3,15)</f>
        <v>23-266/17:25:34</v>
      </c>
      <c r="G54" s="465" t="str">
        <f t="shared" si="55"/>
        <v>STAT+300</v>
      </c>
      <c r="H54" s="466">
        <f t="shared" si="56"/>
        <v>557794316</v>
      </c>
      <c r="I54" s="466">
        <f t="shared" si="57"/>
        <v>557796166</v>
      </c>
      <c r="J54" s="465">
        <f t="shared" si="58"/>
        <v>9</v>
      </c>
      <c r="K54" s="465">
        <f t="shared" si="59"/>
        <v>1</v>
      </c>
      <c r="M54" s="462">
        <f t="shared" si="60"/>
        <v>3600</v>
      </c>
      <c r="N54" s="462">
        <f t="shared" si="61"/>
        <v>40</v>
      </c>
      <c r="O54" s="462">
        <f t="shared" si="62"/>
        <v>7200</v>
      </c>
      <c r="P54" s="462">
        <f t="shared" si="63"/>
        <v>300</v>
      </c>
      <c r="Q54" s="462" t="str">
        <f t="shared" si="64"/>
        <v/>
      </c>
      <c r="R54" s="462" t="str">
        <f t="shared" si="65"/>
        <v/>
      </c>
      <c r="S54" s="462" t="str">
        <f t="shared" si="66"/>
        <v/>
      </c>
      <c r="U54" s="495">
        <f t="shared" si="67"/>
        <v>0.22031249999999999</v>
      </c>
      <c r="V54" s="495">
        <f t="shared" si="68"/>
        <v>0.9140625</v>
      </c>
      <c r="W54" s="495">
        <f t="shared" si="69"/>
        <v>1.7066666666666668</v>
      </c>
      <c r="X54" s="495">
        <f t="shared" si="70"/>
        <v>0.55222222222222217</v>
      </c>
      <c r="Y54" s="495">
        <f t="shared" si="71"/>
        <v>33.25</v>
      </c>
      <c r="Z54" s="495">
        <f t="shared" si="72"/>
        <v>33.25</v>
      </c>
      <c r="AA54" s="495">
        <f t="shared" si="73"/>
        <v>2.7650000000000001</v>
      </c>
      <c r="AB54" s="496"/>
      <c r="AC54" s="495">
        <f t="shared" si="74"/>
        <v>0.55222222222222217</v>
      </c>
      <c r="AD54" s="495">
        <f t="shared" si="75"/>
        <v>2.7650000000000001</v>
      </c>
      <c r="AE54" s="495">
        <f t="shared" si="76"/>
        <v>3.3172222222222221</v>
      </c>
      <c r="AF54" s="495">
        <f t="shared" si="77"/>
        <v>34.1640625</v>
      </c>
      <c r="AG54" s="495">
        <f t="shared" si="78"/>
        <v>34.71628472222222</v>
      </c>
      <c r="AH54" s="495">
        <f t="shared" si="79"/>
        <v>36.929062500000001</v>
      </c>
      <c r="AI54" s="495">
        <f t="shared" si="80"/>
        <v>37.48128472222222</v>
      </c>
      <c r="AJ54" s="495">
        <f t="shared" si="81"/>
        <v>0.22031249999999999</v>
      </c>
      <c r="AK54" s="495">
        <f t="shared" si="82"/>
        <v>0.77253472222222219</v>
      </c>
      <c r="AL54" s="495">
        <f t="shared" si="83"/>
        <v>2.9853125</v>
      </c>
      <c r="AM54" s="495">
        <f t="shared" si="84"/>
        <v>3.5375347222222224</v>
      </c>
      <c r="AN54" s="495">
        <f t="shared" si="85"/>
        <v>34.384374999999999</v>
      </c>
      <c r="AO54" s="495">
        <f t="shared" si="86"/>
        <v>34.936597222222218</v>
      </c>
      <c r="AP54" s="495">
        <f t="shared" si="87"/>
        <v>37.149374999999999</v>
      </c>
      <c r="AQ54" s="495">
        <f t="shared" si="88"/>
        <v>37.701597222222219</v>
      </c>
      <c r="AR54" s="495">
        <f t="shared" si="89"/>
        <v>1.7066666666666668</v>
      </c>
      <c r="AS54" s="495">
        <f t="shared" si="90"/>
        <v>2.2588888888888889</v>
      </c>
      <c r="AT54" s="495">
        <f t="shared" si="91"/>
        <v>4.4716666666666667</v>
      </c>
      <c r="AU54" s="495">
        <f t="shared" si="92"/>
        <v>5.0238888888888891</v>
      </c>
      <c r="AV54" s="495">
        <f t="shared" si="93"/>
        <v>35.870729166666663</v>
      </c>
      <c r="AW54" s="495">
        <f t="shared" si="94"/>
        <v>36.422951388888883</v>
      </c>
      <c r="AX54" s="495">
        <f t="shared" si="95"/>
        <v>38.635729166666664</v>
      </c>
      <c r="AY54" s="495">
        <f t="shared" si="96"/>
        <v>39.187951388888884</v>
      </c>
      <c r="AZ54" s="495">
        <f t="shared" si="97"/>
        <v>1.9269791666666667</v>
      </c>
      <c r="BA54" s="495">
        <f t="shared" si="98"/>
        <v>2.4792013888888889</v>
      </c>
      <c r="BB54" s="495">
        <f t="shared" si="99"/>
        <v>4.691979166666667</v>
      </c>
      <c r="BC54" s="495">
        <f t="shared" si="100"/>
        <v>5.2442013888888894</v>
      </c>
      <c r="BD54" s="495">
        <f t="shared" si="101"/>
        <v>36.091041666666669</v>
      </c>
      <c r="BE54" s="495">
        <f t="shared" si="102"/>
        <v>36.643263888888889</v>
      </c>
      <c r="BF54" s="495">
        <f t="shared" si="103"/>
        <v>38.85604166666667</v>
      </c>
      <c r="BG54" s="495">
        <f t="shared" si="104"/>
        <v>39.408263888888889</v>
      </c>
    </row>
    <row r="55" spans="1:59">
      <c r="A55" s="465" t="s">
        <v>8445</v>
      </c>
      <c r="B55" s="483">
        <v>557796166</v>
      </c>
      <c r="C55" s="462" t="s">
        <v>776</v>
      </c>
      <c r="D55" s="462">
        <v>100</v>
      </c>
      <c r="F55" s="491" t="str" cm="1">
        <f t="array" aca="1" ref="F55" ca="1">MID(met2utc(PEPSSI_Commanding[[#This Row],[MET]]),3,15)</f>
        <v>23-266/17:30:50</v>
      </c>
      <c r="G55" s="465" t="str">
        <f t="shared" si="55"/>
        <v>N2+100</v>
      </c>
      <c r="H55" s="466">
        <f t="shared" si="56"/>
        <v>557796166</v>
      </c>
      <c r="I55" s="466">
        <f t="shared" si="57"/>
        <v>558078186</v>
      </c>
      <c r="J55" s="465">
        <f t="shared" si="58"/>
        <v>10</v>
      </c>
      <c r="K55" s="465">
        <f t="shared" si="59"/>
        <v>4</v>
      </c>
      <c r="M55" s="462">
        <f t="shared" si="60"/>
        <v>3600</v>
      </c>
      <c r="N55" s="462">
        <f t="shared" si="61"/>
        <v>100</v>
      </c>
      <c r="O55" s="462">
        <f t="shared" si="62"/>
        <v>7200</v>
      </c>
      <c r="P55" s="462">
        <f t="shared" si="63"/>
        <v>300</v>
      </c>
      <c r="Q55" s="462" t="str">
        <f t="shared" si="64"/>
        <v/>
      </c>
      <c r="R55" s="462" t="str">
        <f t="shared" si="65"/>
        <v/>
      </c>
      <c r="S55" s="462" t="str">
        <f t="shared" si="66"/>
        <v/>
      </c>
      <c r="U55" s="495">
        <f t="shared" si="67"/>
        <v>8.8124999999999995E-2</v>
      </c>
      <c r="V55" s="495">
        <f t="shared" si="68"/>
        <v>0.36562499999999998</v>
      </c>
      <c r="W55" s="495">
        <f t="shared" si="69"/>
        <v>1.7066666666666668</v>
      </c>
      <c r="X55" s="495">
        <f t="shared" si="70"/>
        <v>0.55222222222222217</v>
      </c>
      <c r="Y55" s="495">
        <f t="shared" si="71"/>
        <v>13.3</v>
      </c>
      <c r="Z55" s="495">
        <f t="shared" si="72"/>
        <v>13.3</v>
      </c>
      <c r="AA55" s="495">
        <f t="shared" si="73"/>
        <v>2.7650000000000001</v>
      </c>
      <c r="AB55" s="496"/>
      <c r="AC55" s="495">
        <f t="shared" si="74"/>
        <v>0.55222222222222217</v>
      </c>
      <c r="AD55" s="495">
        <f t="shared" si="75"/>
        <v>2.7650000000000001</v>
      </c>
      <c r="AE55" s="495">
        <f t="shared" si="76"/>
        <v>3.3172222222222221</v>
      </c>
      <c r="AF55" s="495">
        <f t="shared" si="77"/>
        <v>13.665625</v>
      </c>
      <c r="AG55" s="495">
        <f t="shared" si="78"/>
        <v>14.217847222222222</v>
      </c>
      <c r="AH55" s="495">
        <f t="shared" si="79"/>
        <v>16.430624999999999</v>
      </c>
      <c r="AI55" s="495">
        <f t="shared" si="80"/>
        <v>16.982847222222222</v>
      </c>
      <c r="AJ55" s="495">
        <f t="shared" si="81"/>
        <v>8.8124999999999995E-2</v>
      </c>
      <c r="AK55" s="495">
        <f t="shared" si="82"/>
        <v>0.64034722222222218</v>
      </c>
      <c r="AL55" s="495">
        <f t="shared" si="83"/>
        <v>2.8531249999999999</v>
      </c>
      <c r="AM55" s="495">
        <f t="shared" si="84"/>
        <v>3.4053472222222219</v>
      </c>
      <c r="AN55" s="495">
        <f t="shared" si="85"/>
        <v>13.75375</v>
      </c>
      <c r="AO55" s="495">
        <f t="shared" si="86"/>
        <v>14.305972222222222</v>
      </c>
      <c r="AP55" s="495">
        <f t="shared" si="87"/>
        <v>16.518750000000001</v>
      </c>
      <c r="AQ55" s="495">
        <f t="shared" si="88"/>
        <v>17.070972222222224</v>
      </c>
      <c r="AR55" s="495">
        <f t="shared" si="89"/>
        <v>1.7066666666666668</v>
      </c>
      <c r="AS55" s="495">
        <f t="shared" si="90"/>
        <v>2.2588888888888889</v>
      </c>
      <c r="AT55" s="495">
        <f t="shared" si="91"/>
        <v>4.4716666666666667</v>
      </c>
      <c r="AU55" s="495">
        <f t="shared" si="92"/>
        <v>5.0238888888888891</v>
      </c>
      <c r="AV55" s="495">
        <f t="shared" si="93"/>
        <v>15.372291666666667</v>
      </c>
      <c r="AW55" s="495">
        <f t="shared" si="94"/>
        <v>15.924513888888889</v>
      </c>
      <c r="AX55" s="495">
        <f t="shared" si="95"/>
        <v>18.137291666666666</v>
      </c>
      <c r="AY55" s="495">
        <f t="shared" si="96"/>
        <v>18.689513888888889</v>
      </c>
      <c r="AZ55" s="495">
        <f t="shared" si="97"/>
        <v>1.7947916666666668</v>
      </c>
      <c r="BA55" s="495">
        <f t="shared" si="98"/>
        <v>2.3470138888888892</v>
      </c>
      <c r="BB55" s="495">
        <f t="shared" si="99"/>
        <v>4.5597916666666674</v>
      </c>
      <c r="BC55" s="495">
        <f t="shared" si="100"/>
        <v>5.1120138888888897</v>
      </c>
      <c r="BD55" s="495">
        <f t="shared" si="101"/>
        <v>15.460416666666667</v>
      </c>
      <c r="BE55" s="495">
        <f t="shared" si="102"/>
        <v>16.01263888888889</v>
      </c>
      <c r="BF55" s="495">
        <f t="shared" si="103"/>
        <v>18.225416666666668</v>
      </c>
      <c r="BG55" s="495">
        <f t="shared" si="104"/>
        <v>18.777638888888891</v>
      </c>
    </row>
    <row r="56" spans="1:59">
      <c r="A56" s="465" t="s">
        <v>8445</v>
      </c>
      <c r="B56" s="483">
        <v>557796169</v>
      </c>
      <c r="C56" s="462" t="s">
        <v>12</v>
      </c>
      <c r="D56" s="462">
        <v>100</v>
      </c>
      <c r="F56" s="491" t="str" cm="1">
        <f t="array" aca="1" ref="F56" ca="1">MID(met2utc(PEPSSI_Commanding[[#This Row],[MET]]),3,15)</f>
        <v>23-266/17:30:53</v>
      </c>
      <c r="G56" s="465" t="str">
        <f t="shared" si="55"/>
        <v>N1+100</v>
      </c>
      <c r="H56" s="466">
        <f t="shared" si="56"/>
        <v>557796166</v>
      </c>
      <c r="I56" s="466">
        <f t="shared" si="57"/>
        <v>558078186</v>
      </c>
      <c r="J56" s="465">
        <f t="shared" si="58"/>
        <v>11</v>
      </c>
      <c r="K56" s="465">
        <f t="shared" si="59"/>
        <v>3</v>
      </c>
      <c r="M56" s="462">
        <f t="shared" si="60"/>
        <v>100</v>
      </c>
      <c r="N56" s="462">
        <f t="shared" si="61"/>
        <v>100</v>
      </c>
      <c r="O56" s="462">
        <f t="shared" si="62"/>
        <v>7200</v>
      </c>
      <c r="P56" s="462">
        <f t="shared" si="63"/>
        <v>300</v>
      </c>
      <c r="Q56" s="462" t="str">
        <f t="shared" si="64"/>
        <v/>
      </c>
      <c r="R56" s="462" t="str">
        <f t="shared" si="65"/>
        <v/>
      </c>
      <c r="S56" s="462" t="str">
        <f t="shared" si="66"/>
        <v/>
      </c>
      <c r="U56" s="495">
        <f t="shared" si="67"/>
        <v>8.8124999999999995E-2</v>
      </c>
      <c r="V56" s="495">
        <f t="shared" si="68"/>
        <v>0.36562499999999998</v>
      </c>
      <c r="W56" s="495">
        <f t="shared" si="69"/>
        <v>1.7066666666666668</v>
      </c>
      <c r="X56" s="495">
        <f t="shared" si="70"/>
        <v>19.88</v>
      </c>
      <c r="Y56" s="495">
        <f t="shared" si="71"/>
        <v>13.3</v>
      </c>
      <c r="Z56" s="495">
        <f t="shared" si="72"/>
        <v>13.3</v>
      </c>
      <c r="AA56" s="495">
        <f t="shared" si="73"/>
        <v>2.7650000000000001</v>
      </c>
      <c r="AB56" s="496"/>
      <c r="AC56" s="495">
        <f t="shared" si="74"/>
        <v>19.88</v>
      </c>
      <c r="AD56" s="495">
        <f t="shared" si="75"/>
        <v>2.7650000000000001</v>
      </c>
      <c r="AE56" s="495">
        <f t="shared" si="76"/>
        <v>22.645</v>
      </c>
      <c r="AF56" s="495">
        <f t="shared" si="77"/>
        <v>13.665625</v>
      </c>
      <c r="AG56" s="495">
        <f t="shared" si="78"/>
        <v>33.545625000000001</v>
      </c>
      <c r="AH56" s="495">
        <f t="shared" si="79"/>
        <v>16.430624999999999</v>
      </c>
      <c r="AI56" s="495">
        <f t="shared" si="80"/>
        <v>36.310625000000002</v>
      </c>
      <c r="AJ56" s="495">
        <f t="shared" si="81"/>
        <v>8.8124999999999995E-2</v>
      </c>
      <c r="AK56" s="495">
        <f t="shared" si="82"/>
        <v>19.968125000000001</v>
      </c>
      <c r="AL56" s="495">
        <f t="shared" si="83"/>
        <v>2.8531249999999999</v>
      </c>
      <c r="AM56" s="495">
        <f t="shared" si="84"/>
        <v>22.733124999999998</v>
      </c>
      <c r="AN56" s="495">
        <f t="shared" si="85"/>
        <v>13.75375</v>
      </c>
      <c r="AO56" s="495">
        <f t="shared" si="86"/>
        <v>33.633749999999999</v>
      </c>
      <c r="AP56" s="495">
        <f t="shared" si="87"/>
        <v>16.518750000000001</v>
      </c>
      <c r="AQ56" s="495">
        <f t="shared" si="88"/>
        <v>36.39875</v>
      </c>
      <c r="AR56" s="495">
        <f t="shared" si="89"/>
        <v>1.7066666666666668</v>
      </c>
      <c r="AS56" s="495">
        <f t="shared" si="90"/>
        <v>21.586666666666666</v>
      </c>
      <c r="AT56" s="495">
        <f t="shared" si="91"/>
        <v>4.4716666666666667</v>
      </c>
      <c r="AU56" s="495">
        <f t="shared" si="92"/>
        <v>24.351666666666667</v>
      </c>
      <c r="AV56" s="495">
        <f t="shared" si="93"/>
        <v>15.372291666666667</v>
      </c>
      <c r="AW56" s="495">
        <f t="shared" si="94"/>
        <v>35.252291666666665</v>
      </c>
      <c r="AX56" s="495">
        <f t="shared" si="95"/>
        <v>18.137291666666666</v>
      </c>
      <c r="AY56" s="495">
        <f t="shared" si="96"/>
        <v>38.017291666666665</v>
      </c>
      <c r="AZ56" s="495">
        <f t="shared" si="97"/>
        <v>1.7947916666666668</v>
      </c>
      <c r="BA56" s="495">
        <f t="shared" si="98"/>
        <v>21.674791666666664</v>
      </c>
      <c r="BB56" s="495">
        <f t="shared" si="99"/>
        <v>4.5597916666666674</v>
      </c>
      <c r="BC56" s="495">
        <f t="shared" si="100"/>
        <v>24.439791666666665</v>
      </c>
      <c r="BD56" s="495">
        <f t="shared" si="101"/>
        <v>15.460416666666667</v>
      </c>
      <c r="BE56" s="495">
        <f t="shared" si="102"/>
        <v>35.34041666666667</v>
      </c>
      <c r="BF56" s="495">
        <f t="shared" si="103"/>
        <v>18.225416666666668</v>
      </c>
      <c r="BG56" s="495">
        <f t="shared" si="104"/>
        <v>38.10541666666667</v>
      </c>
    </row>
    <row r="57" spans="1:59">
      <c r="A57" s="465" t="s">
        <v>8445</v>
      </c>
      <c r="B57" s="483">
        <v>557796172</v>
      </c>
      <c r="C57" s="462" t="s">
        <v>773</v>
      </c>
      <c r="D57" s="462">
        <v>7200</v>
      </c>
      <c r="F57" s="491" t="str" cm="1">
        <f t="array" aca="1" ref="F57" ca="1">MID(met2utc(PEPSSI_Commanding[[#This Row],[MET]]),3,15)</f>
        <v>23-266/17:30:56</v>
      </c>
      <c r="G57" s="465" t="str">
        <f t="shared" si="55"/>
        <v>N3+7200</v>
      </c>
      <c r="H57" s="466">
        <f t="shared" si="56"/>
        <v>557796166</v>
      </c>
      <c r="I57" s="466">
        <f t="shared" si="57"/>
        <v>558078186</v>
      </c>
      <c r="J57" s="465">
        <f t="shared" si="58"/>
        <v>12</v>
      </c>
      <c r="K57" s="465">
        <f t="shared" si="59"/>
        <v>2</v>
      </c>
      <c r="M57" s="462">
        <f t="shared" si="60"/>
        <v>100</v>
      </c>
      <c r="N57" s="462">
        <f t="shared" si="61"/>
        <v>100</v>
      </c>
      <c r="O57" s="462">
        <f t="shared" si="62"/>
        <v>7200</v>
      </c>
      <c r="P57" s="462">
        <f t="shared" si="63"/>
        <v>300</v>
      </c>
      <c r="Q57" s="462" t="str">
        <f t="shared" si="64"/>
        <v/>
      </c>
      <c r="R57" s="462" t="str">
        <f t="shared" si="65"/>
        <v/>
      </c>
      <c r="S57" s="462" t="str">
        <f t="shared" si="66"/>
        <v/>
      </c>
      <c r="U57" s="495">
        <f t="shared" si="67"/>
        <v>8.8124999999999995E-2</v>
      </c>
      <c r="V57" s="495">
        <f t="shared" si="68"/>
        <v>0.36562499999999998</v>
      </c>
      <c r="W57" s="495">
        <f t="shared" si="69"/>
        <v>1.7066666666666668</v>
      </c>
      <c r="X57" s="495">
        <f t="shared" si="70"/>
        <v>19.88</v>
      </c>
      <c r="Y57" s="495">
        <f t="shared" si="71"/>
        <v>13.3</v>
      </c>
      <c r="Z57" s="495">
        <f t="shared" si="72"/>
        <v>13.3</v>
      </c>
      <c r="AA57" s="495">
        <f t="shared" si="73"/>
        <v>2.7650000000000001</v>
      </c>
      <c r="AB57" s="496"/>
      <c r="AC57" s="495">
        <f t="shared" si="74"/>
        <v>19.88</v>
      </c>
      <c r="AD57" s="495">
        <f t="shared" si="75"/>
        <v>2.7650000000000001</v>
      </c>
      <c r="AE57" s="495">
        <f t="shared" si="76"/>
        <v>22.645</v>
      </c>
      <c r="AF57" s="495">
        <f t="shared" si="77"/>
        <v>13.665625</v>
      </c>
      <c r="AG57" s="495">
        <f t="shared" si="78"/>
        <v>33.545625000000001</v>
      </c>
      <c r="AH57" s="495">
        <f t="shared" si="79"/>
        <v>16.430624999999999</v>
      </c>
      <c r="AI57" s="495">
        <f t="shared" si="80"/>
        <v>36.310625000000002</v>
      </c>
      <c r="AJ57" s="495">
        <f t="shared" si="81"/>
        <v>8.8124999999999995E-2</v>
      </c>
      <c r="AK57" s="495">
        <f t="shared" si="82"/>
        <v>19.968125000000001</v>
      </c>
      <c r="AL57" s="495">
        <f t="shared" si="83"/>
        <v>2.8531249999999999</v>
      </c>
      <c r="AM57" s="495">
        <f t="shared" si="84"/>
        <v>22.733124999999998</v>
      </c>
      <c r="AN57" s="495">
        <f t="shared" si="85"/>
        <v>13.75375</v>
      </c>
      <c r="AO57" s="495">
        <f t="shared" si="86"/>
        <v>33.633749999999999</v>
      </c>
      <c r="AP57" s="495">
        <f t="shared" si="87"/>
        <v>16.518750000000001</v>
      </c>
      <c r="AQ57" s="495">
        <f t="shared" si="88"/>
        <v>36.39875</v>
      </c>
      <c r="AR57" s="495">
        <f t="shared" si="89"/>
        <v>1.7066666666666668</v>
      </c>
      <c r="AS57" s="495">
        <f t="shared" si="90"/>
        <v>21.586666666666666</v>
      </c>
      <c r="AT57" s="495">
        <f t="shared" si="91"/>
        <v>4.4716666666666667</v>
      </c>
      <c r="AU57" s="495">
        <f t="shared" si="92"/>
        <v>24.351666666666667</v>
      </c>
      <c r="AV57" s="495">
        <f t="shared" si="93"/>
        <v>15.372291666666667</v>
      </c>
      <c r="AW57" s="495">
        <f t="shared" si="94"/>
        <v>35.252291666666665</v>
      </c>
      <c r="AX57" s="495">
        <f t="shared" si="95"/>
        <v>18.137291666666666</v>
      </c>
      <c r="AY57" s="495">
        <f t="shared" si="96"/>
        <v>38.017291666666665</v>
      </c>
      <c r="AZ57" s="495">
        <f t="shared" si="97"/>
        <v>1.7947916666666668</v>
      </c>
      <c r="BA57" s="495">
        <f t="shared" si="98"/>
        <v>21.674791666666664</v>
      </c>
      <c r="BB57" s="495">
        <f t="shared" si="99"/>
        <v>4.5597916666666674</v>
      </c>
      <c r="BC57" s="495">
        <f t="shared" si="100"/>
        <v>24.439791666666665</v>
      </c>
      <c r="BD57" s="495">
        <f t="shared" si="101"/>
        <v>15.460416666666667</v>
      </c>
      <c r="BE57" s="495">
        <f t="shared" si="102"/>
        <v>35.34041666666667</v>
      </c>
      <c r="BF57" s="495">
        <f t="shared" si="103"/>
        <v>18.225416666666668</v>
      </c>
      <c r="BG57" s="495">
        <f t="shared" si="104"/>
        <v>38.10541666666667</v>
      </c>
    </row>
    <row r="58" spans="1:59">
      <c r="A58" s="465" t="s">
        <v>8447</v>
      </c>
      <c r="B58" s="483">
        <v>557796175</v>
      </c>
      <c r="C58" s="462" t="s">
        <v>8403</v>
      </c>
      <c r="D58" s="462">
        <v>1800</v>
      </c>
      <c r="F58" s="491" t="str" cm="1">
        <f t="array" aca="1" ref="F58" ca="1">MID(met2utc(PEPSSI_Commanding[[#This Row],[MET]]),3,15)</f>
        <v>23-266/17:30:59</v>
      </c>
      <c r="G58" s="465" t="str">
        <f t="shared" si="55"/>
        <v>STAT+1800</v>
      </c>
      <c r="H58" s="466">
        <f t="shared" si="56"/>
        <v>557796166</v>
      </c>
      <c r="I58" s="466">
        <f t="shared" si="57"/>
        <v>558078186</v>
      </c>
      <c r="J58" s="465">
        <f t="shared" si="58"/>
        <v>13</v>
      </c>
      <c r="K58" s="465">
        <f t="shared" si="59"/>
        <v>1</v>
      </c>
      <c r="M58" s="462">
        <f t="shared" si="60"/>
        <v>100</v>
      </c>
      <c r="N58" s="462">
        <f t="shared" si="61"/>
        <v>100</v>
      </c>
      <c r="O58" s="462">
        <f t="shared" si="62"/>
        <v>7200</v>
      </c>
      <c r="P58" s="462">
        <f t="shared" si="63"/>
        <v>1800</v>
      </c>
      <c r="Q58" s="462" t="str">
        <f t="shared" si="64"/>
        <v/>
      </c>
      <c r="R58" s="462" t="str">
        <f t="shared" si="65"/>
        <v/>
      </c>
      <c r="S58" s="462" t="str">
        <f t="shared" si="66"/>
        <v/>
      </c>
      <c r="U58" s="495">
        <f t="shared" si="67"/>
        <v>8.8124999999999995E-2</v>
      </c>
      <c r="V58" s="495">
        <f t="shared" si="68"/>
        <v>0.36562499999999998</v>
      </c>
      <c r="W58" s="495">
        <f t="shared" si="69"/>
        <v>0.28444444444444444</v>
      </c>
      <c r="X58" s="495">
        <f t="shared" si="70"/>
        <v>19.88</v>
      </c>
      <c r="Y58" s="495">
        <f t="shared" si="71"/>
        <v>13.3</v>
      </c>
      <c r="Z58" s="495">
        <f t="shared" si="72"/>
        <v>13.3</v>
      </c>
      <c r="AA58" s="495">
        <f t="shared" si="73"/>
        <v>2.7650000000000001</v>
      </c>
      <c r="AB58" s="496"/>
      <c r="AC58" s="495">
        <f t="shared" si="74"/>
        <v>19.88</v>
      </c>
      <c r="AD58" s="495">
        <f t="shared" si="75"/>
        <v>2.7650000000000001</v>
      </c>
      <c r="AE58" s="495">
        <f t="shared" si="76"/>
        <v>22.645</v>
      </c>
      <c r="AF58" s="495">
        <f t="shared" si="77"/>
        <v>13.665625</v>
      </c>
      <c r="AG58" s="495">
        <f t="shared" si="78"/>
        <v>33.545625000000001</v>
      </c>
      <c r="AH58" s="495">
        <f t="shared" si="79"/>
        <v>16.430624999999999</v>
      </c>
      <c r="AI58" s="495">
        <f t="shared" si="80"/>
        <v>36.310625000000002</v>
      </c>
      <c r="AJ58" s="495">
        <f t="shared" si="81"/>
        <v>8.8124999999999995E-2</v>
      </c>
      <c r="AK58" s="495">
        <f t="shared" si="82"/>
        <v>19.968125000000001</v>
      </c>
      <c r="AL58" s="495">
        <f t="shared" si="83"/>
        <v>2.8531249999999999</v>
      </c>
      <c r="AM58" s="495">
        <f t="shared" si="84"/>
        <v>22.733124999999998</v>
      </c>
      <c r="AN58" s="495">
        <f t="shared" si="85"/>
        <v>13.75375</v>
      </c>
      <c r="AO58" s="495">
        <f t="shared" si="86"/>
        <v>33.633749999999999</v>
      </c>
      <c r="AP58" s="495">
        <f t="shared" si="87"/>
        <v>16.518750000000001</v>
      </c>
      <c r="AQ58" s="495">
        <f t="shared" si="88"/>
        <v>36.39875</v>
      </c>
      <c r="AR58" s="495">
        <f t="shared" si="89"/>
        <v>0.28444444444444444</v>
      </c>
      <c r="AS58" s="495">
        <f t="shared" si="90"/>
        <v>20.164444444444442</v>
      </c>
      <c r="AT58" s="495">
        <f t="shared" si="91"/>
        <v>3.0494444444444446</v>
      </c>
      <c r="AU58" s="495">
        <f t="shared" si="92"/>
        <v>22.929444444444442</v>
      </c>
      <c r="AV58" s="495">
        <f t="shared" si="93"/>
        <v>13.950069444444445</v>
      </c>
      <c r="AW58" s="495">
        <f t="shared" si="94"/>
        <v>33.830069444444447</v>
      </c>
      <c r="AX58" s="495">
        <f t="shared" si="95"/>
        <v>16.715069444444445</v>
      </c>
      <c r="AY58" s="495">
        <f t="shared" si="96"/>
        <v>36.595069444444448</v>
      </c>
      <c r="AZ58" s="495">
        <f t="shared" si="97"/>
        <v>0.37256944444444445</v>
      </c>
      <c r="BA58" s="495">
        <f t="shared" si="98"/>
        <v>20.252569444444443</v>
      </c>
      <c r="BB58" s="495">
        <f t="shared" si="99"/>
        <v>3.1375694444444444</v>
      </c>
      <c r="BC58" s="495">
        <f t="shared" si="100"/>
        <v>23.017569444444444</v>
      </c>
      <c r="BD58" s="495">
        <f t="shared" si="101"/>
        <v>14.038194444444445</v>
      </c>
      <c r="BE58" s="495">
        <f t="shared" si="102"/>
        <v>33.918194444444445</v>
      </c>
      <c r="BF58" s="495">
        <f t="shared" si="103"/>
        <v>16.803194444444443</v>
      </c>
      <c r="BG58" s="495">
        <f t="shared" si="104"/>
        <v>36.683194444444439</v>
      </c>
    </row>
    <row r="59" spans="1:59">
      <c r="A59" s="465" t="s">
        <v>8441</v>
      </c>
      <c r="B59" s="483">
        <v>558078186</v>
      </c>
      <c r="C59" s="462" t="s">
        <v>8461</v>
      </c>
      <c r="F59" s="491" t="str" cm="1">
        <f t="array" aca="1" ref="F59" ca="1">MID(met2utc(PEPSSI_Commanding[[#This Row],[MET]]),3,15)</f>
        <v>23-269/23:51:10</v>
      </c>
      <c r="G59" s="465" t="str">
        <f t="shared" si="55"/>
        <v>OFF</v>
      </c>
      <c r="H59" s="466">
        <f t="shared" si="56"/>
        <v>557796166</v>
      </c>
      <c r="I59" s="466">
        <f t="shared" si="57"/>
        <v>558078186</v>
      </c>
      <c r="J59" s="465">
        <f t="shared" si="58"/>
        <v>14</v>
      </c>
      <c r="K59" s="465">
        <f t="shared" si="59"/>
        <v>0</v>
      </c>
      <c r="M59" s="462">
        <f t="shared" si="60"/>
        <v>100</v>
      </c>
      <c r="N59" s="462">
        <f t="shared" si="61"/>
        <v>100</v>
      </c>
      <c r="O59" s="462">
        <f t="shared" si="62"/>
        <v>7200</v>
      </c>
      <c r="P59" s="462">
        <f t="shared" si="63"/>
        <v>1800</v>
      </c>
      <c r="Q59" s="462" t="str">
        <f t="shared" si="64"/>
        <v/>
      </c>
      <c r="R59" s="462" t="str">
        <f t="shared" si="65"/>
        <v/>
      </c>
      <c r="S59" s="462" t="str">
        <f t="shared" si="66"/>
        <v/>
      </c>
      <c r="U59" s="495">
        <f t="shared" si="67"/>
        <v>8.8124999999999995E-2</v>
      </c>
      <c r="V59" s="495">
        <f t="shared" si="68"/>
        <v>0.36562499999999998</v>
      </c>
      <c r="W59" s="495">
        <f t="shared" si="69"/>
        <v>0.28444444444444444</v>
      </c>
      <c r="X59" s="495">
        <f t="shared" si="70"/>
        <v>19.88</v>
      </c>
      <c r="Y59" s="495">
        <f t="shared" si="71"/>
        <v>13.3</v>
      </c>
      <c r="Z59" s="495">
        <f t="shared" si="72"/>
        <v>13.3</v>
      </c>
      <c r="AA59" s="495">
        <f t="shared" si="73"/>
        <v>2.7650000000000001</v>
      </c>
      <c r="AB59" s="496"/>
      <c r="AC59" s="495">
        <f t="shared" si="74"/>
        <v>19.88</v>
      </c>
      <c r="AD59" s="495">
        <f t="shared" si="75"/>
        <v>2.7650000000000001</v>
      </c>
      <c r="AE59" s="495">
        <f t="shared" si="76"/>
        <v>22.645</v>
      </c>
      <c r="AF59" s="495">
        <f t="shared" si="77"/>
        <v>13.665625</v>
      </c>
      <c r="AG59" s="495">
        <f t="shared" si="78"/>
        <v>33.545625000000001</v>
      </c>
      <c r="AH59" s="495">
        <f t="shared" si="79"/>
        <v>16.430624999999999</v>
      </c>
      <c r="AI59" s="495">
        <f t="shared" si="80"/>
        <v>36.310625000000002</v>
      </c>
      <c r="AJ59" s="495">
        <f t="shared" si="81"/>
        <v>8.8124999999999995E-2</v>
      </c>
      <c r="AK59" s="495">
        <f t="shared" si="82"/>
        <v>19.968125000000001</v>
      </c>
      <c r="AL59" s="495">
        <f t="shared" si="83"/>
        <v>2.8531249999999999</v>
      </c>
      <c r="AM59" s="495">
        <f t="shared" si="84"/>
        <v>22.733124999999998</v>
      </c>
      <c r="AN59" s="495">
        <f t="shared" si="85"/>
        <v>13.75375</v>
      </c>
      <c r="AO59" s="495">
        <f t="shared" si="86"/>
        <v>33.633749999999999</v>
      </c>
      <c r="AP59" s="495">
        <f t="shared" si="87"/>
        <v>16.518750000000001</v>
      </c>
      <c r="AQ59" s="495">
        <f t="shared" si="88"/>
        <v>36.39875</v>
      </c>
      <c r="AR59" s="495">
        <f t="shared" si="89"/>
        <v>0.28444444444444444</v>
      </c>
      <c r="AS59" s="495">
        <f t="shared" si="90"/>
        <v>20.164444444444442</v>
      </c>
      <c r="AT59" s="495">
        <f t="shared" si="91"/>
        <v>3.0494444444444446</v>
      </c>
      <c r="AU59" s="495">
        <f t="shared" si="92"/>
        <v>22.929444444444442</v>
      </c>
      <c r="AV59" s="495">
        <f t="shared" si="93"/>
        <v>13.950069444444445</v>
      </c>
      <c r="AW59" s="495">
        <f t="shared" si="94"/>
        <v>33.830069444444447</v>
      </c>
      <c r="AX59" s="495">
        <f t="shared" si="95"/>
        <v>16.715069444444445</v>
      </c>
      <c r="AY59" s="495">
        <f t="shared" si="96"/>
        <v>36.595069444444448</v>
      </c>
      <c r="AZ59" s="495">
        <f t="shared" si="97"/>
        <v>0.37256944444444445</v>
      </c>
      <c r="BA59" s="495">
        <f t="shared" si="98"/>
        <v>20.252569444444443</v>
      </c>
      <c r="BB59" s="495">
        <f t="shared" si="99"/>
        <v>3.1375694444444444</v>
      </c>
      <c r="BC59" s="495">
        <f t="shared" si="100"/>
        <v>23.017569444444444</v>
      </c>
      <c r="BD59" s="495">
        <f t="shared" si="101"/>
        <v>14.038194444444445</v>
      </c>
      <c r="BE59" s="495">
        <f t="shared" si="102"/>
        <v>33.918194444444445</v>
      </c>
      <c r="BF59" s="495">
        <f t="shared" si="103"/>
        <v>16.803194444444443</v>
      </c>
      <c r="BG59" s="495">
        <f t="shared" si="104"/>
        <v>36.683194444444439</v>
      </c>
    </row>
    <row r="60" spans="1:59">
      <c r="A60" s="465" t="s">
        <v>8441</v>
      </c>
      <c r="B60" s="483">
        <v>558108416</v>
      </c>
      <c r="C60" s="462" t="s">
        <v>1148</v>
      </c>
      <c r="F60" s="491" t="str" cm="1">
        <f t="array" aca="1" ref="F60" ca="1">MID(met2utc(PEPSSI_Commanding[[#This Row],[MET]]),3,15)</f>
        <v>23-270/08:15:00</v>
      </c>
      <c r="G60" s="465" t="str">
        <f t="shared" si="55"/>
        <v>ON</v>
      </c>
      <c r="H60" s="466">
        <f t="shared" si="56"/>
        <v>558108416</v>
      </c>
      <c r="I60" s="466">
        <f t="shared" si="57"/>
        <v>558110266</v>
      </c>
      <c r="J60" s="465">
        <f t="shared" si="58"/>
        <v>0</v>
      </c>
      <c r="K60" s="465">
        <f t="shared" si="59"/>
        <v>10</v>
      </c>
      <c r="M60" s="462" t="str">
        <f t="shared" si="60"/>
        <v/>
      </c>
      <c r="N60" s="462" t="str">
        <f t="shared" si="61"/>
        <v/>
      </c>
      <c r="O60" s="462" t="str">
        <f t="shared" si="62"/>
        <v/>
      </c>
      <c r="P60" s="462" t="str">
        <f t="shared" si="63"/>
        <v/>
      </c>
      <c r="Q60" s="462" t="str">
        <f t="shared" si="64"/>
        <v/>
      </c>
      <c r="R60" s="462" t="str">
        <f t="shared" si="65"/>
        <v/>
      </c>
      <c r="S60" s="462" t="str">
        <f t="shared" si="66"/>
        <v/>
      </c>
      <c r="U60" s="495">
        <f t="shared" si="67"/>
        <v>0</v>
      </c>
      <c r="V60" s="495">
        <f t="shared" si="68"/>
        <v>0</v>
      </c>
      <c r="W60" s="495">
        <f t="shared" si="69"/>
        <v>0</v>
      </c>
      <c r="X60" s="495">
        <f t="shared" si="70"/>
        <v>0</v>
      </c>
      <c r="Y60" s="495">
        <f t="shared" si="71"/>
        <v>0</v>
      </c>
      <c r="Z60" s="495">
        <f t="shared" si="72"/>
        <v>0</v>
      </c>
      <c r="AA60" s="495">
        <f t="shared" si="73"/>
        <v>0</v>
      </c>
      <c r="AB60" s="496"/>
      <c r="AC60" s="495">
        <f t="shared" si="74"/>
        <v>0</v>
      </c>
      <c r="AD60" s="495">
        <f t="shared" si="75"/>
        <v>0</v>
      </c>
      <c r="AE60" s="495">
        <f t="shared" si="76"/>
        <v>0</v>
      </c>
      <c r="AF60" s="495">
        <f t="shared" si="77"/>
        <v>0</v>
      </c>
      <c r="AG60" s="495">
        <f t="shared" si="78"/>
        <v>0</v>
      </c>
      <c r="AH60" s="495">
        <f t="shared" si="79"/>
        <v>0</v>
      </c>
      <c r="AI60" s="495">
        <f t="shared" si="80"/>
        <v>0</v>
      </c>
      <c r="AJ60" s="495">
        <f t="shared" si="81"/>
        <v>0</v>
      </c>
      <c r="AK60" s="495">
        <f t="shared" si="82"/>
        <v>0</v>
      </c>
      <c r="AL60" s="495">
        <f t="shared" si="83"/>
        <v>0</v>
      </c>
      <c r="AM60" s="495">
        <f t="shared" si="84"/>
        <v>0</v>
      </c>
      <c r="AN60" s="495">
        <f t="shared" si="85"/>
        <v>0</v>
      </c>
      <c r="AO60" s="495">
        <f t="shared" si="86"/>
        <v>0</v>
      </c>
      <c r="AP60" s="495">
        <f t="shared" si="87"/>
        <v>0</v>
      </c>
      <c r="AQ60" s="495">
        <f t="shared" si="88"/>
        <v>0</v>
      </c>
      <c r="AR60" s="495">
        <f t="shared" si="89"/>
        <v>0</v>
      </c>
      <c r="AS60" s="495">
        <f t="shared" si="90"/>
        <v>0</v>
      </c>
      <c r="AT60" s="495">
        <f t="shared" si="91"/>
        <v>0</v>
      </c>
      <c r="AU60" s="495">
        <f t="shared" si="92"/>
        <v>0</v>
      </c>
      <c r="AV60" s="495">
        <f t="shared" si="93"/>
        <v>0</v>
      </c>
      <c r="AW60" s="495">
        <f t="shared" si="94"/>
        <v>0</v>
      </c>
      <c r="AX60" s="495">
        <f t="shared" si="95"/>
        <v>0</v>
      </c>
      <c r="AY60" s="495">
        <f t="shared" si="96"/>
        <v>0</v>
      </c>
      <c r="AZ60" s="495">
        <f t="shared" si="97"/>
        <v>0</v>
      </c>
      <c r="BA60" s="495">
        <f t="shared" si="98"/>
        <v>0</v>
      </c>
      <c r="BB60" s="495">
        <f t="shared" si="99"/>
        <v>0</v>
      </c>
      <c r="BC60" s="495">
        <f t="shared" si="100"/>
        <v>0</v>
      </c>
      <c r="BD60" s="495">
        <f t="shared" si="101"/>
        <v>0</v>
      </c>
      <c r="BE60" s="495">
        <f t="shared" si="102"/>
        <v>0</v>
      </c>
      <c r="BF60" s="495">
        <f t="shared" si="103"/>
        <v>0</v>
      </c>
      <c r="BG60" s="495">
        <f t="shared" si="104"/>
        <v>0</v>
      </c>
    </row>
    <row r="61" spans="1:59">
      <c r="A61" s="465" t="s">
        <v>8443</v>
      </c>
      <c r="B61" s="483">
        <v>558108461</v>
      </c>
      <c r="C61" s="462" t="s">
        <v>8404</v>
      </c>
      <c r="D61" s="462">
        <v>10</v>
      </c>
      <c r="F61" s="491" t="str" cm="1">
        <f t="array" aca="1" ref="F61" ca="1">MID(met2utc(PEPSSI_Commanding[[#This Row],[MET]]),3,15)</f>
        <v>23-270/08:15:45</v>
      </c>
      <c r="G61" s="465" t="str">
        <f t="shared" si="55"/>
        <v>MAC+10</v>
      </c>
      <c r="H61" s="466">
        <f t="shared" si="56"/>
        <v>558108416</v>
      </c>
      <c r="I61" s="466">
        <f t="shared" si="57"/>
        <v>558110266</v>
      </c>
      <c r="J61" s="465">
        <f t="shared" si="58"/>
        <v>1</v>
      </c>
      <c r="K61" s="465">
        <f t="shared" si="59"/>
        <v>9</v>
      </c>
      <c r="M61" s="462" t="str">
        <f t="shared" si="60"/>
        <v/>
      </c>
      <c r="N61" s="462" t="str">
        <f t="shared" si="61"/>
        <v/>
      </c>
      <c r="O61" s="462" t="str">
        <f t="shared" si="62"/>
        <v/>
      </c>
      <c r="P61" s="462" t="str">
        <f t="shared" si="63"/>
        <v/>
      </c>
      <c r="Q61" s="462" t="str">
        <f t="shared" si="64"/>
        <v/>
      </c>
      <c r="R61" s="462" t="str">
        <f t="shared" si="65"/>
        <v/>
      </c>
      <c r="S61" s="462" t="str">
        <f t="shared" si="66"/>
        <v/>
      </c>
      <c r="U61" s="495">
        <f t="shared" si="67"/>
        <v>0</v>
      </c>
      <c r="V61" s="495">
        <f t="shared" si="68"/>
        <v>0</v>
      </c>
      <c r="W61" s="495">
        <f t="shared" si="69"/>
        <v>0</v>
      </c>
      <c r="X61" s="495">
        <f t="shared" si="70"/>
        <v>0</v>
      </c>
      <c r="Y61" s="495">
        <f t="shared" si="71"/>
        <v>0</v>
      </c>
      <c r="Z61" s="495">
        <f t="shared" si="72"/>
        <v>0</v>
      </c>
      <c r="AA61" s="495">
        <f t="shared" si="73"/>
        <v>0</v>
      </c>
      <c r="AB61" s="496"/>
      <c r="AC61" s="495">
        <f t="shared" si="74"/>
        <v>0</v>
      </c>
      <c r="AD61" s="495">
        <f t="shared" si="75"/>
        <v>0</v>
      </c>
      <c r="AE61" s="495">
        <f t="shared" si="76"/>
        <v>0</v>
      </c>
      <c r="AF61" s="495">
        <f t="shared" si="77"/>
        <v>0</v>
      </c>
      <c r="AG61" s="495">
        <f t="shared" si="78"/>
        <v>0</v>
      </c>
      <c r="AH61" s="495">
        <f t="shared" si="79"/>
        <v>0</v>
      </c>
      <c r="AI61" s="495">
        <f t="shared" si="80"/>
        <v>0</v>
      </c>
      <c r="AJ61" s="495">
        <f t="shared" si="81"/>
        <v>0</v>
      </c>
      <c r="AK61" s="495">
        <f t="shared" si="82"/>
        <v>0</v>
      </c>
      <c r="AL61" s="495">
        <f t="shared" si="83"/>
        <v>0</v>
      </c>
      <c r="AM61" s="495">
        <f t="shared" si="84"/>
        <v>0</v>
      </c>
      <c r="AN61" s="495">
        <f t="shared" si="85"/>
        <v>0</v>
      </c>
      <c r="AO61" s="495">
        <f t="shared" si="86"/>
        <v>0</v>
      </c>
      <c r="AP61" s="495">
        <f t="shared" si="87"/>
        <v>0</v>
      </c>
      <c r="AQ61" s="495">
        <f t="shared" si="88"/>
        <v>0</v>
      </c>
      <c r="AR61" s="495">
        <f t="shared" si="89"/>
        <v>0</v>
      </c>
      <c r="AS61" s="495">
        <f t="shared" si="90"/>
        <v>0</v>
      </c>
      <c r="AT61" s="495">
        <f t="shared" si="91"/>
        <v>0</v>
      </c>
      <c r="AU61" s="495">
        <f t="shared" si="92"/>
        <v>0</v>
      </c>
      <c r="AV61" s="495">
        <f t="shared" si="93"/>
        <v>0</v>
      </c>
      <c r="AW61" s="495">
        <f t="shared" si="94"/>
        <v>0</v>
      </c>
      <c r="AX61" s="495">
        <f t="shared" si="95"/>
        <v>0</v>
      </c>
      <c r="AY61" s="495">
        <f t="shared" si="96"/>
        <v>0</v>
      </c>
      <c r="AZ61" s="495">
        <f t="shared" si="97"/>
        <v>0</v>
      </c>
      <c r="BA61" s="495">
        <f t="shared" si="98"/>
        <v>0</v>
      </c>
      <c r="BB61" s="495">
        <f t="shared" si="99"/>
        <v>0</v>
      </c>
      <c r="BC61" s="495">
        <f t="shared" si="100"/>
        <v>0</v>
      </c>
      <c r="BD61" s="495">
        <f t="shared" si="101"/>
        <v>0</v>
      </c>
      <c r="BE61" s="495">
        <f t="shared" si="102"/>
        <v>0</v>
      </c>
      <c r="BF61" s="495">
        <f t="shared" si="103"/>
        <v>0</v>
      </c>
      <c r="BG61" s="495">
        <f t="shared" si="104"/>
        <v>0</v>
      </c>
    </row>
    <row r="62" spans="1:59">
      <c r="A62" s="465" t="s">
        <v>8445</v>
      </c>
      <c r="B62" s="483">
        <v>558108461</v>
      </c>
      <c r="C62" s="462" t="s">
        <v>776</v>
      </c>
      <c r="D62" s="462">
        <v>10</v>
      </c>
      <c r="F62" s="491" t="str" cm="1">
        <f t="array" aca="1" ref="F62" ca="1">MID(met2utc(PEPSSI_Commanding[[#This Row],[MET]]),3,15)</f>
        <v>23-270/08:15:45</v>
      </c>
      <c r="G62" s="465" t="str">
        <f t="shared" si="55"/>
        <v>N2+10</v>
      </c>
      <c r="H62" s="466">
        <f t="shared" si="56"/>
        <v>558108416</v>
      </c>
      <c r="I62" s="466">
        <f t="shared" si="57"/>
        <v>558110266</v>
      </c>
      <c r="J62" s="465">
        <f t="shared" si="58"/>
        <v>2</v>
      </c>
      <c r="K62" s="465">
        <f t="shared" si="59"/>
        <v>8</v>
      </c>
      <c r="M62" s="462" t="str">
        <f t="shared" si="60"/>
        <v/>
      </c>
      <c r="N62" s="462">
        <f t="shared" si="61"/>
        <v>10</v>
      </c>
      <c r="O62" s="462" t="str">
        <f t="shared" si="62"/>
        <v/>
      </c>
      <c r="P62" s="462" t="str">
        <f t="shared" si="63"/>
        <v/>
      </c>
      <c r="Q62" s="462" t="str">
        <f t="shared" si="64"/>
        <v/>
      </c>
      <c r="R62" s="462" t="str">
        <f t="shared" si="65"/>
        <v/>
      </c>
      <c r="S62" s="462" t="str">
        <f t="shared" si="66"/>
        <v/>
      </c>
      <c r="U62" s="495">
        <f t="shared" si="67"/>
        <v>0.88124999999999998</v>
      </c>
      <c r="V62" s="495">
        <f t="shared" si="68"/>
        <v>3.65625</v>
      </c>
      <c r="W62" s="495">
        <f t="shared" si="69"/>
        <v>0</v>
      </c>
      <c r="X62" s="495">
        <f t="shared" si="70"/>
        <v>0</v>
      </c>
      <c r="Y62" s="495">
        <f t="shared" si="71"/>
        <v>133</v>
      </c>
      <c r="Z62" s="495">
        <f t="shared" si="72"/>
        <v>133</v>
      </c>
      <c r="AA62" s="495">
        <f t="shared" si="73"/>
        <v>0</v>
      </c>
      <c r="AB62" s="496"/>
      <c r="AC62" s="495">
        <f t="shared" si="74"/>
        <v>0</v>
      </c>
      <c r="AD62" s="495">
        <f t="shared" si="75"/>
        <v>0</v>
      </c>
      <c r="AE62" s="495">
        <f t="shared" si="76"/>
        <v>0</v>
      </c>
      <c r="AF62" s="495">
        <f t="shared" si="77"/>
        <v>136.65625</v>
      </c>
      <c r="AG62" s="495">
        <f t="shared" si="78"/>
        <v>136.65625</v>
      </c>
      <c r="AH62" s="495">
        <f t="shared" si="79"/>
        <v>136.65625</v>
      </c>
      <c r="AI62" s="495">
        <f t="shared" si="80"/>
        <v>136.65625</v>
      </c>
      <c r="AJ62" s="495">
        <f t="shared" si="81"/>
        <v>0.88124999999999998</v>
      </c>
      <c r="AK62" s="495">
        <f t="shared" si="82"/>
        <v>0.88124999999999998</v>
      </c>
      <c r="AL62" s="495">
        <f t="shared" si="83"/>
        <v>0.88124999999999998</v>
      </c>
      <c r="AM62" s="495">
        <f t="shared" si="84"/>
        <v>0.88124999999999998</v>
      </c>
      <c r="AN62" s="495">
        <f t="shared" si="85"/>
        <v>137.53749999999999</v>
      </c>
      <c r="AO62" s="495">
        <f t="shared" si="86"/>
        <v>137.53749999999999</v>
      </c>
      <c r="AP62" s="495">
        <f t="shared" si="87"/>
        <v>137.53749999999999</v>
      </c>
      <c r="AQ62" s="495">
        <f t="shared" si="88"/>
        <v>137.53749999999999</v>
      </c>
      <c r="AR62" s="495">
        <f t="shared" si="89"/>
        <v>0</v>
      </c>
      <c r="AS62" s="495">
        <f t="shared" si="90"/>
        <v>0</v>
      </c>
      <c r="AT62" s="495">
        <f t="shared" si="91"/>
        <v>0</v>
      </c>
      <c r="AU62" s="495">
        <f t="shared" si="92"/>
        <v>0</v>
      </c>
      <c r="AV62" s="495">
        <f t="shared" si="93"/>
        <v>136.65625</v>
      </c>
      <c r="AW62" s="495">
        <f t="shared" si="94"/>
        <v>136.65625</v>
      </c>
      <c r="AX62" s="495">
        <f t="shared" si="95"/>
        <v>136.65625</v>
      </c>
      <c r="AY62" s="495">
        <f t="shared" si="96"/>
        <v>136.65625</v>
      </c>
      <c r="AZ62" s="495">
        <f t="shared" si="97"/>
        <v>0.88124999999999998</v>
      </c>
      <c r="BA62" s="495">
        <f t="shared" si="98"/>
        <v>0.88124999999999998</v>
      </c>
      <c r="BB62" s="495">
        <f t="shared" si="99"/>
        <v>0.88124999999999998</v>
      </c>
      <c r="BC62" s="495">
        <f t="shared" si="100"/>
        <v>0.88124999999999998</v>
      </c>
      <c r="BD62" s="495">
        <f t="shared" si="101"/>
        <v>137.53749999999999</v>
      </c>
      <c r="BE62" s="495">
        <f t="shared" si="102"/>
        <v>137.53749999999999</v>
      </c>
      <c r="BF62" s="495">
        <f t="shared" si="103"/>
        <v>137.53749999999999</v>
      </c>
      <c r="BG62" s="495">
        <f t="shared" si="104"/>
        <v>137.53749999999999</v>
      </c>
    </row>
    <row r="63" spans="1:59">
      <c r="A63" s="465" t="s">
        <v>8445</v>
      </c>
      <c r="B63" s="483">
        <v>558108462</v>
      </c>
      <c r="C63" s="462" t="s">
        <v>773</v>
      </c>
      <c r="D63" s="462">
        <v>300</v>
      </c>
      <c r="F63" s="491" t="str" cm="1">
        <f t="array" aca="1" ref="F63" ca="1">MID(met2utc(PEPSSI_Commanding[[#This Row],[MET]]),3,15)</f>
        <v>23-270/08:15:46</v>
      </c>
      <c r="G63" s="465" t="str">
        <f t="shared" si="55"/>
        <v>N3+300</v>
      </c>
      <c r="H63" s="466">
        <f t="shared" si="56"/>
        <v>558108416</v>
      </c>
      <c r="I63" s="466">
        <f t="shared" si="57"/>
        <v>558110266</v>
      </c>
      <c r="J63" s="465">
        <f t="shared" si="58"/>
        <v>3</v>
      </c>
      <c r="K63" s="465">
        <f t="shared" si="59"/>
        <v>7</v>
      </c>
      <c r="M63" s="462" t="str">
        <f t="shared" si="60"/>
        <v/>
      </c>
      <c r="N63" s="462">
        <f t="shared" si="61"/>
        <v>10</v>
      </c>
      <c r="O63" s="462">
        <f t="shared" si="62"/>
        <v>300</v>
      </c>
      <c r="P63" s="462" t="str">
        <f t="shared" si="63"/>
        <v/>
      </c>
      <c r="Q63" s="462" t="str">
        <f t="shared" si="64"/>
        <v/>
      </c>
      <c r="R63" s="462" t="str">
        <f t="shared" si="65"/>
        <v/>
      </c>
      <c r="S63" s="462" t="str">
        <f t="shared" si="66"/>
        <v/>
      </c>
      <c r="U63" s="495">
        <f t="shared" si="67"/>
        <v>0.88124999999999998</v>
      </c>
      <c r="V63" s="495">
        <f t="shared" si="68"/>
        <v>3.65625</v>
      </c>
      <c r="W63" s="495">
        <f t="shared" si="69"/>
        <v>0</v>
      </c>
      <c r="X63" s="495">
        <f t="shared" si="70"/>
        <v>0</v>
      </c>
      <c r="Y63" s="495">
        <f t="shared" si="71"/>
        <v>133</v>
      </c>
      <c r="Z63" s="495">
        <f t="shared" si="72"/>
        <v>133</v>
      </c>
      <c r="AA63" s="495">
        <f t="shared" si="73"/>
        <v>66.36</v>
      </c>
      <c r="AB63" s="496"/>
      <c r="AC63" s="495">
        <f t="shared" si="74"/>
        <v>0</v>
      </c>
      <c r="AD63" s="495">
        <f t="shared" si="75"/>
        <v>66.36</v>
      </c>
      <c r="AE63" s="495">
        <f t="shared" si="76"/>
        <v>66.36</v>
      </c>
      <c r="AF63" s="495">
        <f t="shared" si="77"/>
        <v>136.65625</v>
      </c>
      <c r="AG63" s="495">
        <f t="shared" si="78"/>
        <v>136.65625</v>
      </c>
      <c r="AH63" s="495">
        <f t="shared" si="79"/>
        <v>203.01625000000001</v>
      </c>
      <c r="AI63" s="495">
        <f t="shared" si="80"/>
        <v>203.01625000000001</v>
      </c>
      <c r="AJ63" s="495">
        <f t="shared" si="81"/>
        <v>0.88124999999999998</v>
      </c>
      <c r="AK63" s="495">
        <f t="shared" si="82"/>
        <v>0.88124999999999998</v>
      </c>
      <c r="AL63" s="495">
        <f t="shared" si="83"/>
        <v>67.241249999999994</v>
      </c>
      <c r="AM63" s="495">
        <f t="shared" si="84"/>
        <v>67.241249999999994</v>
      </c>
      <c r="AN63" s="495">
        <f t="shared" si="85"/>
        <v>137.53749999999999</v>
      </c>
      <c r="AO63" s="495">
        <f t="shared" si="86"/>
        <v>137.53749999999999</v>
      </c>
      <c r="AP63" s="495">
        <f t="shared" si="87"/>
        <v>203.89749999999998</v>
      </c>
      <c r="AQ63" s="495">
        <f t="shared" si="88"/>
        <v>203.89749999999998</v>
      </c>
      <c r="AR63" s="495">
        <f t="shared" si="89"/>
        <v>0</v>
      </c>
      <c r="AS63" s="495">
        <f t="shared" si="90"/>
        <v>0</v>
      </c>
      <c r="AT63" s="495">
        <f t="shared" si="91"/>
        <v>66.36</v>
      </c>
      <c r="AU63" s="495">
        <f t="shared" si="92"/>
        <v>66.36</v>
      </c>
      <c r="AV63" s="495">
        <f t="shared" si="93"/>
        <v>136.65625</v>
      </c>
      <c r="AW63" s="495">
        <f t="shared" si="94"/>
        <v>136.65625</v>
      </c>
      <c r="AX63" s="495">
        <f t="shared" si="95"/>
        <v>203.01625000000001</v>
      </c>
      <c r="AY63" s="495">
        <f t="shared" si="96"/>
        <v>203.01625000000001</v>
      </c>
      <c r="AZ63" s="495">
        <f t="shared" si="97"/>
        <v>0.88124999999999998</v>
      </c>
      <c r="BA63" s="495">
        <f t="shared" si="98"/>
        <v>0.88124999999999998</v>
      </c>
      <c r="BB63" s="495">
        <f t="shared" si="99"/>
        <v>67.241249999999994</v>
      </c>
      <c r="BC63" s="495">
        <f t="shared" si="100"/>
        <v>67.241249999999994</v>
      </c>
      <c r="BD63" s="495">
        <f t="shared" si="101"/>
        <v>137.53749999999999</v>
      </c>
      <c r="BE63" s="495">
        <f t="shared" si="102"/>
        <v>137.53749999999999</v>
      </c>
      <c r="BF63" s="495">
        <f t="shared" si="103"/>
        <v>203.89749999999998</v>
      </c>
      <c r="BG63" s="495">
        <f t="shared" si="104"/>
        <v>203.89749999999998</v>
      </c>
    </row>
    <row r="64" spans="1:59">
      <c r="A64" s="465" t="s">
        <v>8445</v>
      </c>
      <c r="B64" s="483">
        <v>558108463</v>
      </c>
      <c r="C64" s="462" t="s">
        <v>12</v>
      </c>
      <c r="D64" s="462">
        <v>10</v>
      </c>
      <c r="F64" s="491" t="str" cm="1">
        <f t="array" aca="1" ref="F64" ca="1">MID(met2utc(PEPSSI_Commanding[[#This Row],[MET]]),3,15)</f>
        <v>23-270/08:15:47</v>
      </c>
      <c r="G64" s="465" t="str">
        <f t="shared" si="55"/>
        <v>N1+10</v>
      </c>
      <c r="H64" s="466">
        <f t="shared" si="56"/>
        <v>558108416</v>
      </c>
      <c r="I64" s="466">
        <f t="shared" si="57"/>
        <v>558110266</v>
      </c>
      <c r="J64" s="465">
        <f t="shared" si="58"/>
        <v>4</v>
      </c>
      <c r="K64" s="465">
        <f t="shared" si="59"/>
        <v>6</v>
      </c>
      <c r="M64" s="462">
        <f t="shared" si="60"/>
        <v>10</v>
      </c>
      <c r="N64" s="462">
        <f t="shared" si="61"/>
        <v>10</v>
      </c>
      <c r="O64" s="462">
        <f t="shared" si="62"/>
        <v>300</v>
      </c>
      <c r="P64" s="462" t="str">
        <f t="shared" si="63"/>
        <v/>
      </c>
      <c r="Q64" s="462" t="str">
        <f t="shared" si="64"/>
        <v/>
      </c>
      <c r="R64" s="462" t="str">
        <f t="shared" si="65"/>
        <v/>
      </c>
      <c r="S64" s="462" t="str">
        <f t="shared" si="66"/>
        <v/>
      </c>
      <c r="U64" s="495">
        <f t="shared" si="67"/>
        <v>0.88124999999999998</v>
      </c>
      <c r="V64" s="495">
        <f t="shared" si="68"/>
        <v>3.65625</v>
      </c>
      <c r="W64" s="495">
        <f t="shared" si="69"/>
        <v>0</v>
      </c>
      <c r="X64" s="495">
        <f t="shared" si="70"/>
        <v>198.8</v>
      </c>
      <c r="Y64" s="495">
        <f t="shared" si="71"/>
        <v>133</v>
      </c>
      <c r="Z64" s="495">
        <f t="shared" si="72"/>
        <v>133</v>
      </c>
      <c r="AA64" s="495">
        <f t="shared" si="73"/>
        <v>66.36</v>
      </c>
      <c r="AB64" s="496"/>
      <c r="AC64" s="495">
        <f t="shared" si="74"/>
        <v>198.8</v>
      </c>
      <c r="AD64" s="495">
        <f t="shared" si="75"/>
        <v>66.36</v>
      </c>
      <c r="AE64" s="495">
        <f t="shared" si="76"/>
        <v>265.16000000000003</v>
      </c>
      <c r="AF64" s="495">
        <f t="shared" si="77"/>
        <v>136.65625</v>
      </c>
      <c r="AG64" s="495">
        <f t="shared" si="78"/>
        <v>335.45625000000001</v>
      </c>
      <c r="AH64" s="495">
        <f t="shared" si="79"/>
        <v>203.01625000000001</v>
      </c>
      <c r="AI64" s="495">
        <f t="shared" si="80"/>
        <v>401.81625000000003</v>
      </c>
      <c r="AJ64" s="495">
        <f t="shared" si="81"/>
        <v>0.88124999999999998</v>
      </c>
      <c r="AK64" s="495">
        <f t="shared" si="82"/>
        <v>199.68125000000001</v>
      </c>
      <c r="AL64" s="495">
        <f t="shared" si="83"/>
        <v>67.241249999999994</v>
      </c>
      <c r="AM64" s="495">
        <f t="shared" si="84"/>
        <v>266.04124999999999</v>
      </c>
      <c r="AN64" s="495">
        <f t="shared" si="85"/>
        <v>137.53749999999999</v>
      </c>
      <c r="AO64" s="495">
        <f t="shared" si="86"/>
        <v>336.33749999999998</v>
      </c>
      <c r="AP64" s="495">
        <f t="shared" si="87"/>
        <v>203.89749999999998</v>
      </c>
      <c r="AQ64" s="495">
        <f t="shared" si="88"/>
        <v>402.69749999999999</v>
      </c>
      <c r="AR64" s="495">
        <f t="shared" si="89"/>
        <v>0</v>
      </c>
      <c r="AS64" s="495">
        <f t="shared" si="90"/>
        <v>198.8</v>
      </c>
      <c r="AT64" s="495">
        <f t="shared" si="91"/>
        <v>66.36</v>
      </c>
      <c r="AU64" s="495">
        <f t="shared" si="92"/>
        <v>265.16000000000003</v>
      </c>
      <c r="AV64" s="495">
        <f t="shared" si="93"/>
        <v>136.65625</v>
      </c>
      <c r="AW64" s="495">
        <f t="shared" si="94"/>
        <v>335.45625000000001</v>
      </c>
      <c r="AX64" s="495">
        <f t="shared" si="95"/>
        <v>203.01625000000001</v>
      </c>
      <c r="AY64" s="495">
        <f t="shared" si="96"/>
        <v>401.81625000000003</v>
      </c>
      <c r="AZ64" s="495">
        <f t="shared" si="97"/>
        <v>0.88124999999999998</v>
      </c>
      <c r="BA64" s="495">
        <f t="shared" si="98"/>
        <v>199.68125000000001</v>
      </c>
      <c r="BB64" s="495">
        <f t="shared" si="99"/>
        <v>67.241249999999994</v>
      </c>
      <c r="BC64" s="495">
        <f t="shared" si="100"/>
        <v>266.04124999999999</v>
      </c>
      <c r="BD64" s="495">
        <f t="shared" si="101"/>
        <v>137.53749999999999</v>
      </c>
      <c r="BE64" s="495">
        <f t="shared" si="102"/>
        <v>336.33749999999998</v>
      </c>
      <c r="BF64" s="495">
        <f t="shared" si="103"/>
        <v>203.89749999999998</v>
      </c>
      <c r="BG64" s="495">
        <f t="shared" si="104"/>
        <v>402.69749999999999</v>
      </c>
    </row>
    <row r="65" spans="1:59">
      <c r="A65" s="465" t="s">
        <v>8447</v>
      </c>
      <c r="B65" s="483">
        <v>558108464</v>
      </c>
      <c r="C65" s="462" t="s">
        <v>8403</v>
      </c>
      <c r="D65" s="462">
        <v>1</v>
      </c>
      <c r="F65" s="491" t="str" cm="1">
        <f t="array" aca="1" ref="F65" ca="1">MID(met2utc(PEPSSI_Commanding[[#This Row],[MET]]),3,15)</f>
        <v>23-270/08:15:48</v>
      </c>
      <c r="G65" s="465" t="str">
        <f t="shared" si="55"/>
        <v>STAT+1</v>
      </c>
      <c r="H65" s="466">
        <f t="shared" si="56"/>
        <v>558108416</v>
      </c>
      <c r="I65" s="466">
        <f t="shared" si="57"/>
        <v>558110266</v>
      </c>
      <c r="J65" s="465">
        <f t="shared" si="58"/>
        <v>5</v>
      </c>
      <c r="K65" s="465">
        <f t="shared" si="59"/>
        <v>5</v>
      </c>
      <c r="M65" s="462">
        <f t="shared" si="60"/>
        <v>10</v>
      </c>
      <c r="N65" s="462">
        <f t="shared" si="61"/>
        <v>10</v>
      </c>
      <c r="O65" s="462">
        <f t="shared" si="62"/>
        <v>300</v>
      </c>
      <c r="P65" s="462">
        <f t="shared" si="63"/>
        <v>1</v>
      </c>
      <c r="Q65" s="462" t="str">
        <f t="shared" si="64"/>
        <v/>
      </c>
      <c r="R65" s="462" t="str">
        <f t="shared" si="65"/>
        <v/>
      </c>
      <c r="S65" s="462" t="str">
        <f t="shared" si="66"/>
        <v/>
      </c>
      <c r="U65" s="495">
        <f t="shared" si="67"/>
        <v>0.88124999999999998</v>
      </c>
      <c r="V65" s="495">
        <f t="shared" si="68"/>
        <v>3.65625</v>
      </c>
      <c r="W65" s="495">
        <f t="shared" si="69"/>
        <v>512</v>
      </c>
      <c r="X65" s="495">
        <f t="shared" si="70"/>
        <v>198.8</v>
      </c>
      <c r="Y65" s="495">
        <f t="shared" si="71"/>
        <v>133</v>
      </c>
      <c r="Z65" s="495">
        <f t="shared" si="72"/>
        <v>133</v>
      </c>
      <c r="AA65" s="495">
        <f t="shared" si="73"/>
        <v>66.36</v>
      </c>
      <c r="AB65" s="496"/>
      <c r="AC65" s="495">
        <f t="shared" si="74"/>
        <v>198.8</v>
      </c>
      <c r="AD65" s="495">
        <f t="shared" si="75"/>
        <v>66.36</v>
      </c>
      <c r="AE65" s="495">
        <f t="shared" si="76"/>
        <v>265.16000000000003</v>
      </c>
      <c r="AF65" s="495">
        <f t="shared" si="77"/>
        <v>136.65625</v>
      </c>
      <c r="AG65" s="495">
        <f t="shared" si="78"/>
        <v>335.45625000000001</v>
      </c>
      <c r="AH65" s="495">
        <f t="shared" si="79"/>
        <v>203.01625000000001</v>
      </c>
      <c r="AI65" s="495">
        <f t="shared" si="80"/>
        <v>401.81625000000003</v>
      </c>
      <c r="AJ65" s="495">
        <f t="shared" si="81"/>
        <v>0.88124999999999998</v>
      </c>
      <c r="AK65" s="495">
        <f t="shared" si="82"/>
        <v>199.68125000000001</v>
      </c>
      <c r="AL65" s="495">
        <f t="shared" si="83"/>
        <v>67.241249999999994</v>
      </c>
      <c r="AM65" s="495">
        <f t="shared" si="84"/>
        <v>266.04124999999999</v>
      </c>
      <c r="AN65" s="495">
        <f t="shared" si="85"/>
        <v>137.53749999999999</v>
      </c>
      <c r="AO65" s="495">
        <f t="shared" si="86"/>
        <v>336.33749999999998</v>
      </c>
      <c r="AP65" s="495">
        <f t="shared" si="87"/>
        <v>203.89749999999998</v>
      </c>
      <c r="AQ65" s="495">
        <f t="shared" si="88"/>
        <v>402.69749999999999</v>
      </c>
      <c r="AR65" s="495">
        <f t="shared" si="89"/>
        <v>512</v>
      </c>
      <c r="AS65" s="495">
        <f t="shared" si="90"/>
        <v>710.8</v>
      </c>
      <c r="AT65" s="495">
        <f t="shared" si="91"/>
        <v>578.36</v>
      </c>
      <c r="AU65" s="495">
        <f t="shared" si="92"/>
        <v>777.16000000000008</v>
      </c>
      <c r="AV65" s="495">
        <f t="shared" si="93"/>
        <v>648.65625</v>
      </c>
      <c r="AW65" s="495">
        <f t="shared" si="94"/>
        <v>847.45624999999995</v>
      </c>
      <c r="AX65" s="495">
        <f t="shared" si="95"/>
        <v>715.01625000000001</v>
      </c>
      <c r="AY65" s="495">
        <f t="shared" si="96"/>
        <v>913.81625000000008</v>
      </c>
      <c r="AZ65" s="495">
        <f t="shared" si="97"/>
        <v>512.88125000000002</v>
      </c>
      <c r="BA65" s="495">
        <f t="shared" si="98"/>
        <v>711.68125000000009</v>
      </c>
      <c r="BB65" s="495">
        <f t="shared" si="99"/>
        <v>579.24125000000004</v>
      </c>
      <c r="BC65" s="495">
        <f t="shared" si="100"/>
        <v>778.04124999999999</v>
      </c>
      <c r="BD65" s="495">
        <f t="shared" si="101"/>
        <v>649.53750000000002</v>
      </c>
      <c r="BE65" s="495">
        <f t="shared" si="102"/>
        <v>848.33750000000009</v>
      </c>
      <c r="BF65" s="495">
        <f t="shared" si="103"/>
        <v>715.89750000000004</v>
      </c>
      <c r="BG65" s="495">
        <f t="shared" si="104"/>
        <v>914.69749999999999</v>
      </c>
    </row>
    <row r="66" spans="1:59">
      <c r="A66" s="465" t="s">
        <v>8445</v>
      </c>
      <c r="B66" s="483">
        <v>558109947</v>
      </c>
      <c r="C66" s="462" t="s">
        <v>776</v>
      </c>
      <c r="D66" s="462">
        <v>40</v>
      </c>
      <c r="F66" s="491" t="str" cm="1">
        <f t="array" aca="1" ref="F66" ca="1">MID(met2utc(PEPSSI_Commanding[[#This Row],[MET]]),3,15)</f>
        <v>23-270/08:40:31</v>
      </c>
      <c r="G66" s="465" t="str">
        <f t="shared" si="55"/>
        <v>N2+40</v>
      </c>
      <c r="H66" s="466">
        <f t="shared" si="56"/>
        <v>558108416</v>
      </c>
      <c r="I66" s="466">
        <f t="shared" si="57"/>
        <v>558110266</v>
      </c>
      <c r="J66" s="465">
        <f t="shared" si="58"/>
        <v>6</v>
      </c>
      <c r="K66" s="465">
        <f t="shared" si="59"/>
        <v>4</v>
      </c>
      <c r="M66" s="462">
        <f t="shared" si="60"/>
        <v>10</v>
      </c>
      <c r="N66" s="462">
        <f t="shared" si="61"/>
        <v>40</v>
      </c>
      <c r="O66" s="462">
        <f t="shared" si="62"/>
        <v>300</v>
      </c>
      <c r="P66" s="462">
        <f t="shared" si="63"/>
        <v>1</v>
      </c>
      <c r="Q66" s="462" t="str">
        <f t="shared" si="64"/>
        <v/>
      </c>
      <c r="R66" s="462" t="str">
        <f t="shared" si="65"/>
        <v/>
      </c>
      <c r="S66" s="462" t="str">
        <f t="shared" si="66"/>
        <v/>
      </c>
      <c r="U66" s="495">
        <f t="shared" si="67"/>
        <v>0.22031249999999999</v>
      </c>
      <c r="V66" s="495">
        <f t="shared" si="68"/>
        <v>0.9140625</v>
      </c>
      <c r="W66" s="495">
        <f t="shared" si="69"/>
        <v>512</v>
      </c>
      <c r="X66" s="495">
        <f t="shared" si="70"/>
        <v>198.8</v>
      </c>
      <c r="Y66" s="495">
        <f t="shared" si="71"/>
        <v>33.25</v>
      </c>
      <c r="Z66" s="495">
        <f t="shared" si="72"/>
        <v>33.25</v>
      </c>
      <c r="AA66" s="495">
        <f t="shared" si="73"/>
        <v>66.36</v>
      </c>
      <c r="AB66" s="496"/>
      <c r="AC66" s="495">
        <f t="shared" si="74"/>
        <v>198.8</v>
      </c>
      <c r="AD66" s="495">
        <f t="shared" si="75"/>
        <v>66.36</v>
      </c>
      <c r="AE66" s="495">
        <f t="shared" si="76"/>
        <v>265.16000000000003</v>
      </c>
      <c r="AF66" s="495">
        <f t="shared" si="77"/>
        <v>34.1640625</v>
      </c>
      <c r="AG66" s="495">
        <f t="shared" si="78"/>
        <v>232.96406250000001</v>
      </c>
      <c r="AH66" s="495">
        <f t="shared" si="79"/>
        <v>100.5240625</v>
      </c>
      <c r="AI66" s="495">
        <f t="shared" si="80"/>
        <v>299.32406250000003</v>
      </c>
      <c r="AJ66" s="495">
        <f t="shared" si="81"/>
        <v>0.22031249999999999</v>
      </c>
      <c r="AK66" s="495">
        <f t="shared" si="82"/>
        <v>199.02031250000002</v>
      </c>
      <c r="AL66" s="495">
        <f t="shared" si="83"/>
        <v>66.580312500000005</v>
      </c>
      <c r="AM66" s="495">
        <f t="shared" si="84"/>
        <v>265.3803125</v>
      </c>
      <c r="AN66" s="495">
        <f t="shared" si="85"/>
        <v>34.384374999999999</v>
      </c>
      <c r="AO66" s="495">
        <f t="shared" si="86"/>
        <v>233.18437500000002</v>
      </c>
      <c r="AP66" s="495">
        <f t="shared" si="87"/>
        <v>100.74437499999999</v>
      </c>
      <c r="AQ66" s="495">
        <f t="shared" si="88"/>
        <v>299.544375</v>
      </c>
      <c r="AR66" s="495">
        <f t="shared" si="89"/>
        <v>512</v>
      </c>
      <c r="AS66" s="495">
        <f t="shared" si="90"/>
        <v>710.8</v>
      </c>
      <c r="AT66" s="495">
        <f t="shared" si="91"/>
        <v>578.36</v>
      </c>
      <c r="AU66" s="495">
        <f t="shared" si="92"/>
        <v>777.16000000000008</v>
      </c>
      <c r="AV66" s="495">
        <f t="shared" si="93"/>
        <v>546.1640625</v>
      </c>
      <c r="AW66" s="495">
        <f t="shared" si="94"/>
        <v>744.96406249999995</v>
      </c>
      <c r="AX66" s="495">
        <f t="shared" si="95"/>
        <v>612.52406250000001</v>
      </c>
      <c r="AY66" s="495">
        <f t="shared" si="96"/>
        <v>811.32406250000008</v>
      </c>
      <c r="AZ66" s="495">
        <f t="shared" si="97"/>
        <v>512.22031249999998</v>
      </c>
      <c r="BA66" s="495">
        <f t="shared" si="98"/>
        <v>711.02031250000005</v>
      </c>
      <c r="BB66" s="495">
        <f t="shared" si="99"/>
        <v>578.58031249999999</v>
      </c>
      <c r="BC66" s="495">
        <f t="shared" si="100"/>
        <v>777.38031249999995</v>
      </c>
      <c r="BD66" s="495">
        <f t="shared" si="101"/>
        <v>546.38437499999998</v>
      </c>
      <c r="BE66" s="495">
        <f t="shared" si="102"/>
        <v>745.18437500000005</v>
      </c>
      <c r="BF66" s="495">
        <f t="shared" si="103"/>
        <v>612.74437499999999</v>
      </c>
      <c r="BG66" s="495">
        <f t="shared" si="104"/>
        <v>811.54437499999995</v>
      </c>
    </row>
    <row r="67" spans="1:59">
      <c r="A67" s="465" t="s">
        <v>8445</v>
      </c>
      <c r="B67" s="483">
        <v>558109948</v>
      </c>
      <c r="C67" s="462" t="s">
        <v>773</v>
      </c>
      <c r="D67" s="462">
        <v>7200</v>
      </c>
      <c r="F67" s="491" t="str" cm="1">
        <f t="array" aca="1" ref="F67" ca="1">MID(met2utc(PEPSSI_Commanding[[#This Row],[MET]]),3,15)</f>
        <v>23-270/08:40:32</v>
      </c>
      <c r="G67" s="465" t="str">
        <f t="shared" si="55"/>
        <v>N3+7200</v>
      </c>
      <c r="H67" s="466">
        <f t="shared" si="56"/>
        <v>558108416</v>
      </c>
      <c r="I67" s="466">
        <f t="shared" si="57"/>
        <v>558110266</v>
      </c>
      <c r="J67" s="465">
        <f t="shared" si="58"/>
        <v>7</v>
      </c>
      <c r="K67" s="465">
        <f t="shared" si="59"/>
        <v>3</v>
      </c>
      <c r="M67" s="462">
        <f t="shared" si="60"/>
        <v>10</v>
      </c>
      <c r="N67" s="462">
        <f t="shared" si="61"/>
        <v>40</v>
      </c>
      <c r="O67" s="462">
        <f t="shared" si="62"/>
        <v>7200</v>
      </c>
      <c r="P67" s="462">
        <f t="shared" si="63"/>
        <v>1</v>
      </c>
      <c r="Q67" s="462" t="str">
        <f t="shared" si="64"/>
        <v/>
      </c>
      <c r="R67" s="462" t="str">
        <f t="shared" si="65"/>
        <v/>
      </c>
      <c r="S67" s="462" t="str">
        <f t="shared" si="66"/>
        <v/>
      </c>
      <c r="U67" s="495">
        <f t="shared" si="67"/>
        <v>0.22031249999999999</v>
      </c>
      <c r="V67" s="495">
        <f t="shared" si="68"/>
        <v>0.9140625</v>
      </c>
      <c r="W67" s="495">
        <f t="shared" si="69"/>
        <v>512</v>
      </c>
      <c r="X67" s="495">
        <f t="shared" si="70"/>
        <v>198.8</v>
      </c>
      <c r="Y67" s="495">
        <f t="shared" si="71"/>
        <v>33.25</v>
      </c>
      <c r="Z67" s="495">
        <f t="shared" si="72"/>
        <v>33.25</v>
      </c>
      <c r="AA67" s="495">
        <f t="shared" si="73"/>
        <v>2.7650000000000001</v>
      </c>
      <c r="AB67" s="496"/>
      <c r="AC67" s="495">
        <f t="shared" si="74"/>
        <v>198.8</v>
      </c>
      <c r="AD67" s="495">
        <f t="shared" si="75"/>
        <v>2.7650000000000001</v>
      </c>
      <c r="AE67" s="495">
        <f t="shared" si="76"/>
        <v>201.565</v>
      </c>
      <c r="AF67" s="495">
        <f t="shared" si="77"/>
        <v>34.1640625</v>
      </c>
      <c r="AG67" s="495">
        <f t="shared" si="78"/>
        <v>232.96406250000001</v>
      </c>
      <c r="AH67" s="495">
        <f t="shared" si="79"/>
        <v>36.929062500000001</v>
      </c>
      <c r="AI67" s="495">
        <f t="shared" si="80"/>
        <v>235.7290625</v>
      </c>
      <c r="AJ67" s="495">
        <f t="shared" si="81"/>
        <v>0.22031249999999999</v>
      </c>
      <c r="AK67" s="495">
        <f t="shared" si="82"/>
        <v>199.02031250000002</v>
      </c>
      <c r="AL67" s="495">
        <f t="shared" si="83"/>
        <v>2.9853125</v>
      </c>
      <c r="AM67" s="495">
        <f t="shared" si="84"/>
        <v>201.7853125</v>
      </c>
      <c r="AN67" s="495">
        <f t="shared" si="85"/>
        <v>34.384374999999999</v>
      </c>
      <c r="AO67" s="495">
        <f t="shared" si="86"/>
        <v>233.18437500000002</v>
      </c>
      <c r="AP67" s="495">
        <f t="shared" si="87"/>
        <v>37.149374999999999</v>
      </c>
      <c r="AQ67" s="495">
        <f t="shared" si="88"/>
        <v>235.949375</v>
      </c>
      <c r="AR67" s="495">
        <f t="shared" si="89"/>
        <v>512</v>
      </c>
      <c r="AS67" s="495">
        <f t="shared" si="90"/>
        <v>710.8</v>
      </c>
      <c r="AT67" s="495">
        <f t="shared" si="91"/>
        <v>514.76499999999999</v>
      </c>
      <c r="AU67" s="495">
        <f t="shared" si="92"/>
        <v>713.56500000000005</v>
      </c>
      <c r="AV67" s="495">
        <f t="shared" si="93"/>
        <v>546.1640625</v>
      </c>
      <c r="AW67" s="495">
        <f t="shared" si="94"/>
        <v>744.96406249999995</v>
      </c>
      <c r="AX67" s="495">
        <f t="shared" si="95"/>
        <v>548.92906249999999</v>
      </c>
      <c r="AY67" s="495">
        <f t="shared" si="96"/>
        <v>747.72906250000005</v>
      </c>
      <c r="AZ67" s="495">
        <f t="shared" si="97"/>
        <v>512.22031249999998</v>
      </c>
      <c r="BA67" s="495">
        <f t="shared" si="98"/>
        <v>711.02031250000005</v>
      </c>
      <c r="BB67" s="495">
        <f t="shared" si="99"/>
        <v>514.98531249999996</v>
      </c>
      <c r="BC67" s="495">
        <f t="shared" si="100"/>
        <v>713.78531249999992</v>
      </c>
      <c r="BD67" s="495">
        <f t="shared" si="101"/>
        <v>546.38437499999998</v>
      </c>
      <c r="BE67" s="495">
        <f t="shared" si="102"/>
        <v>745.18437500000005</v>
      </c>
      <c r="BF67" s="495">
        <f t="shared" si="103"/>
        <v>549.14937499999996</v>
      </c>
      <c r="BG67" s="495">
        <f t="shared" si="104"/>
        <v>747.94937499999992</v>
      </c>
    </row>
    <row r="68" spans="1:59">
      <c r="A68" s="465" t="s">
        <v>8445</v>
      </c>
      <c r="B68" s="483">
        <v>558109949</v>
      </c>
      <c r="C68" s="462" t="s">
        <v>12</v>
      </c>
      <c r="D68" s="462">
        <v>3600</v>
      </c>
      <c r="F68" s="491" t="str" cm="1">
        <f t="array" aca="1" ref="F68" ca="1">MID(met2utc(PEPSSI_Commanding[[#This Row],[MET]]),3,15)</f>
        <v>23-270/08:40:33</v>
      </c>
      <c r="G68" s="465" t="str">
        <f t="shared" si="55"/>
        <v>N1+3600</v>
      </c>
      <c r="H68" s="466">
        <f t="shared" si="56"/>
        <v>558108416</v>
      </c>
      <c r="I68" s="466">
        <f t="shared" si="57"/>
        <v>558110266</v>
      </c>
      <c r="J68" s="465">
        <f t="shared" si="58"/>
        <v>8</v>
      </c>
      <c r="K68" s="465">
        <f t="shared" si="59"/>
        <v>2</v>
      </c>
      <c r="M68" s="462">
        <f t="shared" si="60"/>
        <v>3600</v>
      </c>
      <c r="N68" s="462">
        <f t="shared" si="61"/>
        <v>40</v>
      </c>
      <c r="O68" s="462">
        <f t="shared" si="62"/>
        <v>7200</v>
      </c>
      <c r="P68" s="462">
        <f t="shared" si="63"/>
        <v>1</v>
      </c>
      <c r="Q68" s="462" t="str">
        <f t="shared" si="64"/>
        <v/>
      </c>
      <c r="R68" s="462" t="str">
        <f t="shared" si="65"/>
        <v/>
      </c>
      <c r="S68" s="462" t="str">
        <f t="shared" si="66"/>
        <v/>
      </c>
      <c r="U68" s="495">
        <f t="shared" si="67"/>
        <v>0.22031249999999999</v>
      </c>
      <c r="V68" s="495">
        <f t="shared" si="68"/>
        <v>0.9140625</v>
      </c>
      <c r="W68" s="495">
        <f t="shared" si="69"/>
        <v>512</v>
      </c>
      <c r="X68" s="495">
        <f t="shared" si="70"/>
        <v>0.55222222222222217</v>
      </c>
      <c r="Y68" s="495">
        <f t="shared" si="71"/>
        <v>33.25</v>
      </c>
      <c r="Z68" s="495">
        <f t="shared" si="72"/>
        <v>33.25</v>
      </c>
      <c r="AA68" s="495">
        <f t="shared" si="73"/>
        <v>2.7650000000000001</v>
      </c>
      <c r="AB68" s="496"/>
      <c r="AC68" s="495">
        <f t="shared" si="74"/>
        <v>0.55222222222222217</v>
      </c>
      <c r="AD68" s="495">
        <f t="shared" si="75"/>
        <v>2.7650000000000001</v>
      </c>
      <c r="AE68" s="495">
        <f t="shared" si="76"/>
        <v>3.3172222222222221</v>
      </c>
      <c r="AF68" s="495">
        <f t="shared" si="77"/>
        <v>34.1640625</v>
      </c>
      <c r="AG68" s="495">
        <f t="shared" si="78"/>
        <v>34.71628472222222</v>
      </c>
      <c r="AH68" s="495">
        <f t="shared" si="79"/>
        <v>36.929062500000001</v>
      </c>
      <c r="AI68" s="495">
        <f t="shared" si="80"/>
        <v>37.48128472222222</v>
      </c>
      <c r="AJ68" s="495">
        <f t="shared" si="81"/>
        <v>0.22031249999999999</v>
      </c>
      <c r="AK68" s="495">
        <f t="shared" si="82"/>
        <v>0.77253472222222219</v>
      </c>
      <c r="AL68" s="495">
        <f t="shared" si="83"/>
        <v>2.9853125</v>
      </c>
      <c r="AM68" s="495">
        <f t="shared" si="84"/>
        <v>3.5375347222222224</v>
      </c>
      <c r="AN68" s="495">
        <f t="shared" si="85"/>
        <v>34.384374999999999</v>
      </c>
      <c r="AO68" s="495">
        <f t="shared" si="86"/>
        <v>34.936597222222218</v>
      </c>
      <c r="AP68" s="495">
        <f t="shared" si="87"/>
        <v>37.149374999999999</v>
      </c>
      <c r="AQ68" s="495">
        <f t="shared" si="88"/>
        <v>37.701597222222219</v>
      </c>
      <c r="AR68" s="495">
        <f t="shared" si="89"/>
        <v>512</v>
      </c>
      <c r="AS68" s="495">
        <f t="shared" si="90"/>
        <v>512.55222222222221</v>
      </c>
      <c r="AT68" s="495">
        <f t="shared" si="91"/>
        <v>514.76499999999999</v>
      </c>
      <c r="AU68" s="495">
        <f t="shared" si="92"/>
        <v>515.3172222222222</v>
      </c>
      <c r="AV68" s="495">
        <f t="shared" si="93"/>
        <v>546.1640625</v>
      </c>
      <c r="AW68" s="495">
        <f t="shared" si="94"/>
        <v>546.71628472222221</v>
      </c>
      <c r="AX68" s="495">
        <f t="shared" si="95"/>
        <v>548.92906249999999</v>
      </c>
      <c r="AY68" s="495">
        <f t="shared" si="96"/>
        <v>549.4812847222222</v>
      </c>
      <c r="AZ68" s="495">
        <f t="shared" si="97"/>
        <v>512.22031249999998</v>
      </c>
      <c r="BA68" s="495">
        <f t="shared" si="98"/>
        <v>512.77253472222219</v>
      </c>
      <c r="BB68" s="495">
        <f t="shared" si="99"/>
        <v>514.98531249999996</v>
      </c>
      <c r="BC68" s="495">
        <f t="shared" si="100"/>
        <v>515.53753472222218</v>
      </c>
      <c r="BD68" s="495">
        <f t="shared" si="101"/>
        <v>546.38437499999998</v>
      </c>
      <c r="BE68" s="495">
        <f t="shared" si="102"/>
        <v>546.93659722222219</v>
      </c>
      <c r="BF68" s="495">
        <f t="shared" si="103"/>
        <v>549.14937499999996</v>
      </c>
      <c r="BG68" s="495">
        <f t="shared" si="104"/>
        <v>549.70159722222218</v>
      </c>
    </row>
    <row r="69" spans="1:59">
      <c r="A69" s="465" t="s">
        <v>8447</v>
      </c>
      <c r="B69" s="483">
        <v>558109950</v>
      </c>
      <c r="C69" s="462" t="s">
        <v>8403</v>
      </c>
      <c r="D69" s="462">
        <v>300</v>
      </c>
      <c r="F69" s="491" t="str" cm="1">
        <f t="array" aca="1" ref="F69" ca="1">MID(met2utc(PEPSSI_Commanding[[#This Row],[MET]]),3,15)</f>
        <v>23-270/08:40:34</v>
      </c>
      <c r="G69" s="465" t="str">
        <f t="shared" si="55"/>
        <v>STAT+300</v>
      </c>
      <c r="H69" s="466">
        <f t="shared" si="56"/>
        <v>558108416</v>
      </c>
      <c r="I69" s="466">
        <f t="shared" si="57"/>
        <v>558110266</v>
      </c>
      <c r="J69" s="465">
        <f t="shared" si="58"/>
        <v>9</v>
      </c>
      <c r="K69" s="465">
        <f t="shared" si="59"/>
        <v>1</v>
      </c>
      <c r="M69" s="462">
        <f t="shared" si="60"/>
        <v>3600</v>
      </c>
      <c r="N69" s="462">
        <f t="shared" si="61"/>
        <v>40</v>
      </c>
      <c r="O69" s="462">
        <f t="shared" si="62"/>
        <v>7200</v>
      </c>
      <c r="P69" s="462">
        <f t="shared" si="63"/>
        <v>300</v>
      </c>
      <c r="Q69" s="462" t="str">
        <f t="shared" si="64"/>
        <v/>
      </c>
      <c r="R69" s="462" t="str">
        <f t="shared" si="65"/>
        <v/>
      </c>
      <c r="S69" s="462" t="str">
        <f t="shared" si="66"/>
        <v/>
      </c>
      <c r="U69" s="495">
        <f t="shared" si="67"/>
        <v>0.22031249999999999</v>
      </c>
      <c r="V69" s="495">
        <f t="shared" si="68"/>
        <v>0.9140625</v>
      </c>
      <c r="W69" s="495">
        <f t="shared" si="69"/>
        <v>1.7066666666666668</v>
      </c>
      <c r="X69" s="495">
        <f t="shared" si="70"/>
        <v>0.55222222222222217</v>
      </c>
      <c r="Y69" s="495">
        <f t="shared" si="71"/>
        <v>33.25</v>
      </c>
      <c r="Z69" s="495">
        <f t="shared" si="72"/>
        <v>33.25</v>
      </c>
      <c r="AA69" s="495">
        <f t="shared" si="73"/>
        <v>2.7650000000000001</v>
      </c>
      <c r="AB69" s="496"/>
      <c r="AC69" s="495">
        <f t="shared" si="74"/>
        <v>0.55222222222222217</v>
      </c>
      <c r="AD69" s="495">
        <f t="shared" si="75"/>
        <v>2.7650000000000001</v>
      </c>
      <c r="AE69" s="495">
        <f t="shared" si="76"/>
        <v>3.3172222222222221</v>
      </c>
      <c r="AF69" s="495">
        <f t="shared" si="77"/>
        <v>34.1640625</v>
      </c>
      <c r="AG69" s="495">
        <f t="shared" si="78"/>
        <v>34.71628472222222</v>
      </c>
      <c r="AH69" s="495">
        <f t="shared" si="79"/>
        <v>36.929062500000001</v>
      </c>
      <c r="AI69" s="495">
        <f t="shared" si="80"/>
        <v>37.48128472222222</v>
      </c>
      <c r="AJ69" s="495">
        <f t="shared" si="81"/>
        <v>0.22031249999999999</v>
      </c>
      <c r="AK69" s="495">
        <f t="shared" si="82"/>
        <v>0.77253472222222219</v>
      </c>
      <c r="AL69" s="495">
        <f t="shared" si="83"/>
        <v>2.9853125</v>
      </c>
      <c r="AM69" s="495">
        <f t="shared" si="84"/>
        <v>3.5375347222222224</v>
      </c>
      <c r="AN69" s="495">
        <f t="shared" si="85"/>
        <v>34.384374999999999</v>
      </c>
      <c r="AO69" s="495">
        <f t="shared" si="86"/>
        <v>34.936597222222218</v>
      </c>
      <c r="AP69" s="495">
        <f t="shared" si="87"/>
        <v>37.149374999999999</v>
      </c>
      <c r="AQ69" s="495">
        <f t="shared" si="88"/>
        <v>37.701597222222219</v>
      </c>
      <c r="AR69" s="495">
        <f t="shared" si="89"/>
        <v>1.7066666666666668</v>
      </c>
      <c r="AS69" s="495">
        <f t="shared" si="90"/>
        <v>2.2588888888888889</v>
      </c>
      <c r="AT69" s="495">
        <f t="shared" si="91"/>
        <v>4.4716666666666667</v>
      </c>
      <c r="AU69" s="495">
        <f t="shared" si="92"/>
        <v>5.0238888888888891</v>
      </c>
      <c r="AV69" s="495">
        <f t="shared" si="93"/>
        <v>35.870729166666663</v>
      </c>
      <c r="AW69" s="495">
        <f t="shared" si="94"/>
        <v>36.422951388888883</v>
      </c>
      <c r="AX69" s="495">
        <f t="shared" si="95"/>
        <v>38.635729166666664</v>
      </c>
      <c r="AY69" s="495">
        <f t="shared" si="96"/>
        <v>39.187951388888884</v>
      </c>
      <c r="AZ69" s="495">
        <f t="shared" si="97"/>
        <v>1.9269791666666667</v>
      </c>
      <c r="BA69" s="495">
        <f t="shared" si="98"/>
        <v>2.4792013888888889</v>
      </c>
      <c r="BB69" s="495">
        <f t="shared" si="99"/>
        <v>4.691979166666667</v>
      </c>
      <c r="BC69" s="495">
        <f t="shared" si="100"/>
        <v>5.2442013888888894</v>
      </c>
      <c r="BD69" s="495">
        <f t="shared" si="101"/>
        <v>36.091041666666669</v>
      </c>
      <c r="BE69" s="495">
        <f t="shared" si="102"/>
        <v>36.643263888888889</v>
      </c>
      <c r="BF69" s="495">
        <f t="shared" si="103"/>
        <v>38.85604166666667</v>
      </c>
      <c r="BG69" s="495">
        <f t="shared" si="104"/>
        <v>39.408263888888889</v>
      </c>
    </row>
    <row r="70" spans="1:59">
      <c r="A70" s="465" t="s">
        <v>8445</v>
      </c>
      <c r="B70" s="483">
        <v>558110266</v>
      </c>
      <c r="C70" s="462" t="s">
        <v>776</v>
      </c>
      <c r="D70" s="462">
        <v>100</v>
      </c>
      <c r="F70" s="491" t="str" cm="1">
        <f t="array" aca="1" ref="F70" ca="1">MID(met2utc(PEPSSI_Commanding[[#This Row],[MET]]),3,15)</f>
        <v>23-270/08:45:50</v>
      </c>
      <c r="G70" s="465" t="str">
        <f t="shared" si="55"/>
        <v>N2+100</v>
      </c>
      <c r="H70" s="466">
        <f t="shared" si="56"/>
        <v>558110266</v>
      </c>
      <c r="I70" s="466">
        <f t="shared" si="57"/>
        <v>615857156</v>
      </c>
      <c r="J70" s="465">
        <f t="shared" si="58"/>
        <v>10</v>
      </c>
      <c r="K70" s="465">
        <f t="shared" si="59"/>
        <v>4</v>
      </c>
      <c r="M70" s="462">
        <f t="shared" si="60"/>
        <v>3600</v>
      </c>
      <c r="N70" s="462">
        <f t="shared" si="61"/>
        <v>100</v>
      </c>
      <c r="O70" s="462">
        <f t="shared" si="62"/>
        <v>7200</v>
      </c>
      <c r="P70" s="462">
        <f t="shared" si="63"/>
        <v>300</v>
      </c>
      <c r="Q70" s="462" t="str">
        <f t="shared" si="64"/>
        <v/>
      </c>
      <c r="R70" s="462" t="str">
        <f t="shared" si="65"/>
        <v/>
      </c>
      <c r="S70" s="462" t="str">
        <f t="shared" si="66"/>
        <v/>
      </c>
      <c r="U70" s="495">
        <f t="shared" si="67"/>
        <v>8.8124999999999995E-2</v>
      </c>
      <c r="V70" s="495">
        <f t="shared" si="68"/>
        <v>0.36562499999999998</v>
      </c>
      <c r="W70" s="495">
        <f t="shared" si="69"/>
        <v>1.7066666666666668</v>
      </c>
      <c r="X70" s="495">
        <f t="shared" si="70"/>
        <v>0.55222222222222217</v>
      </c>
      <c r="Y70" s="495">
        <f t="shared" si="71"/>
        <v>13.3</v>
      </c>
      <c r="Z70" s="495">
        <f t="shared" si="72"/>
        <v>13.3</v>
      </c>
      <c r="AA70" s="495">
        <f t="shared" si="73"/>
        <v>2.7650000000000001</v>
      </c>
      <c r="AB70" s="496"/>
      <c r="AC70" s="495">
        <f t="shared" si="74"/>
        <v>0.55222222222222217</v>
      </c>
      <c r="AD70" s="495">
        <f t="shared" si="75"/>
        <v>2.7650000000000001</v>
      </c>
      <c r="AE70" s="495">
        <f t="shared" si="76"/>
        <v>3.3172222222222221</v>
      </c>
      <c r="AF70" s="495">
        <f t="shared" si="77"/>
        <v>13.665625</v>
      </c>
      <c r="AG70" s="495">
        <f t="shared" si="78"/>
        <v>14.217847222222222</v>
      </c>
      <c r="AH70" s="495">
        <f t="shared" si="79"/>
        <v>16.430624999999999</v>
      </c>
      <c r="AI70" s="495">
        <f t="shared" si="80"/>
        <v>16.982847222222222</v>
      </c>
      <c r="AJ70" s="495">
        <f t="shared" si="81"/>
        <v>8.8124999999999995E-2</v>
      </c>
      <c r="AK70" s="495">
        <f t="shared" si="82"/>
        <v>0.64034722222222218</v>
      </c>
      <c r="AL70" s="495">
        <f t="shared" si="83"/>
        <v>2.8531249999999999</v>
      </c>
      <c r="AM70" s="495">
        <f t="shared" si="84"/>
        <v>3.4053472222222219</v>
      </c>
      <c r="AN70" s="495">
        <f t="shared" si="85"/>
        <v>13.75375</v>
      </c>
      <c r="AO70" s="495">
        <f t="shared" si="86"/>
        <v>14.305972222222222</v>
      </c>
      <c r="AP70" s="495">
        <f t="shared" si="87"/>
        <v>16.518750000000001</v>
      </c>
      <c r="AQ70" s="495">
        <f t="shared" si="88"/>
        <v>17.070972222222224</v>
      </c>
      <c r="AR70" s="495">
        <f t="shared" si="89"/>
        <v>1.7066666666666668</v>
      </c>
      <c r="AS70" s="495">
        <f t="shared" si="90"/>
        <v>2.2588888888888889</v>
      </c>
      <c r="AT70" s="495">
        <f t="shared" si="91"/>
        <v>4.4716666666666667</v>
      </c>
      <c r="AU70" s="495">
        <f t="shared" si="92"/>
        <v>5.0238888888888891</v>
      </c>
      <c r="AV70" s="495">
        <f t="shared" si="93"/>
        <v>15.372291666666667</v>
      </c>
      <c r="AW70" s="495">
        <f t="shared" si="94"/>
        <v>15.924513888888889</v>
      </c>
      <c r="AX70" s="495">
        <f t="shared" si="95"/>
        <v>18.137291666666666</v>
      </c>
      <c r="AY70" s="495">
        <f t="shared" si="96"/>
        <v>18.689513888888889</v>
      </c>
      <c r="AZ70" s="495">
        <f t="shared" si="97"/>
        <v>1.7947916666666668</v>
      </c>
      <c r="BA70" s="495">
        <f t="shared" si="98"/>
        <v>2.3470138888888892</v>
      </c>
      <c r="BB70" s="495">
        <f t="shared" si="99"/>
        <v>4.5597916666666674</v>
      </c>
      <c r="BC70" s="495">
        <f t="shared" si="100"/>
        <v>5.1120138888888897</v>
      </c>
      <c r="BD70" s="495">
        <f t="shared" si="101"/>
        <v>15.460416666666667</v>
      </c>
      <c r="BE70" s="495">
        <f t="shared" si="102"/>
        <v>16.01263888888889</v>
      </c>
      <c r="BF70" s="495">
        <f t="shared" si="103"/>
        <v>18.225416666666668</v>
      </c>
      <c r="BG70" s="495">
        <f t="shared" si="104"/>
        <v>18.777638888888891</v>
      </c>
    </row>
    <row r="71" spans="1:59">
      <c r="A71" s="465" t="s">
        <v>8445</v>
      </c>
      <c r="B71" s="483">
        <v>558110269</v>
      </c>
      <c r="C71" s="462" t="s">
        <v>12</v>
      </c>
      <c r="D71" s="462">
        <v>100</v>
      </c>
      <c r="F71" s="491" t="str" cm="1">
        <f t="array" aca="1" ref="F71" ca="1">MID(met2utc(PEPSSI_Commanding[[#This Row],[MET]]),3,15)</f>
        <v>23-270/08:45:53</v>
      </c>
      <c r="G71" s="465" t="str">
        <f t="shared" si="55"/>
        <v>N1+100</v>
      </c>
      <c r="H71" s="466">
        <f t="shared" si="56"/>
        <v>558110266</v>
      </c>
      <c r="I71" s="466">
        <f t="shared" si="57"/>
        <v>615857156</v>
      </c>
      <c r="J71" s="465">
        <f t="shared" si="58"/>
        <v>11</v>
      </c>
      <c r="K71" s="465">
        <f t="shared" si="59"/>
        <v>3</v>
      </c>
      <c r="M71" s="462">
        <f t="shared" si="60"/>
        <v>100</v>
      </c>
      <c r="N71" s="462">
        <f t="shared" si="61"/>
        <v>100</v>
      </c>
      <c r="O71" s="462">
        <f t="shared" si="62"/>
        <v>7200</v>
      </c>
      <c r="P71" s="462">
        <f t="shared" si="63"/>
        <v>300</v>
      </c>
      <c r="Q71" s="462" t="str">
        <f t="shared" si="64"/>
        <v/>
      </c>
      <c r="R71" s="462" t="str">
        <f t="shared" si="65"/>
        <v/>
      </c>
      <c r="S71" s="462" t="str">
        <f t="shared" si="66"/>
        <v/>
      </c>
      <c r="U71" s="495">
        <f t="shared" si="67"/>
        <v>8.8124999999999995E-2</v>
      </c>
      <c r="V71" s="495">
        <f t="shared" si="68"/>
        <v>0.36562499999999998</v>
      </c>
      <c r="W71" s="495">
        <f t="shared" si="69"/>
        <v>1.7066666666666668</v>
      </c>
      <c r="X71" s="495">
        <f t="shared" si="70"/>
        <v>19.88</v>
      </c>
      <c r="Y71" s="495">
        <f t="shared" si="71"/>
        <v>13.3</v>
      </c>
      <c r="Z71" s="495">
        <f t="shared" si="72"/>
        <v>13.3</v>
      </c>
      <c r="AA71" s="495">
        <f t="shared" si="73"/>
        <v>2.7650000000000001</v>
      </c>
      <c r="AB71" s="496"/>
      <c r="AC71" s="495">
        <f t="shared" si="74"/>
        <v>19.88</v>
      </c>
      <c r="AD71" s="495">
        <f t="shared" si="75"/>
        <v>2.7650000000000001</v>
      </c>
      <c r="AE71" s="495">
        <f t="shared" si="76"/>
        <v>22.645</v>
      </c>
      <c r="AF71" s="495">
        <f t="shared" si="77"/>
        <v>13.665625</v>
      </c>
      <c r="AG71" s="495">
        <f t="shared" si="78"/>
        <v>33.545625000000001</v>
      </c>
      <c r="AH71" s="495">
        <f t="shared" si="79"/>
        <v>16.430624999999999</v>
      </c>
      <c r="AI71" s="495">
        <f t="shared" si="80"/>
        <v>36.310625000000002</v>
      </c>
      <c r="AJ71" s="495">
        <f t="shared" si="81"/>
        <v>8.8124999999999995E-2</v>
      </c>
      <c r="AK71" s="495">
        <f t="shared" si="82"/>
        <v>19.968125000000001</v>
      </c>
      <c r="AL71" s="495">
        <f t="shared" si="83"/>
        <v>2.8531249999999999</v>
      </c>
      <c r="AM71" s="495">
        <f t="shared" si="84"/>
        <v>22.733124999999998</v>
      </c>
      <c r="AN71" s="495">
        <f t="shared" si="85"/>
        <v>13.75375</v>
      </c>
      <c r="AO71" s="495">
        <f t="shared" si="86"/>
        <v>33.633749999999999</v>
      </c>
      <c r="AP71" s="495">
        <f t="shared" si="87"/>
        <v>16.518750000000001</v>
      </c>
      <c r="AQ71" s="495">
        <f t="shared" si="88"/>
        <v>36.39875</v>
      </c>
      <c r="AR71" s="495">
        <f t="shared" si="89"/>
        <v>1.7066666666666668</v>
      </c>
      <c r="AS71" s="495">
        <f t="shared" si="90"/>
        <v>21.586666666666666</v>
      </c>
      <c r="AT71" s="495">
        <f t="shared" si="91"/>
        <v>4.4716666666666667</v>
      </c>
      <c r="AU71" s="495">
        <f t="shared" si="92"/>
        <v>24.351666666666667</v>
      </c>
      <c r="AV71" s="495">
        <f t="shared" si="93"/>
        <v>15.372291666666667</v>
      </c>
      <c r="AW71" s="495">
        <f t="shared" si="94"/>
        <v>35.252291666666665</v>
      </c>
      <c r="AX71" s="495">
        <f t="shared" si="95"/>
        <v>18.137291666666666</v>
      </c>
      <c r="AY71" s="495">
        <f t="shared" si="96"/>
        <v>38.017291666666665</v>
      </c>
      <c r="AZ71" s="495">
        <f t="shared" si="97"/>
        <v>1.7947916666666668</v>
      </c>
      <c r="BA71" s="495">
        <f t="shared" si="98"/>
        <v>21.674791666666664</v>
      </c>
      <c r="BB71" s="495">
        <f t="shared" si="99"/>
        <v>4.5597916666666674</v>
      </c>
      <c r="BC71" s="495">
        <f t="shared" si="100"/>
        <v>24.439791666666665</v>
      </c>
      <c r="BD71" s="495">
        <f t="shared" si="101"/>
        <v>15.460416666666667</v>
      </c>
      <c r="BE71" s="495">
        <f t="shared" si="102"/>
        <v>35.34041666666667</v>
      </c>
      <c r="BF71" s="495">
        <f t="shared" si="103"/>
        <v>18.225416666666668</v>
      </c>
      <c r="BG71" s="495">
        <f t="shared" si="104"/>
        <v>38.10541666666667</v>
      </c>
    </row>
    <row r="72" spans="1:59">
      <c r="A72" s="465" t="s">
        <v>8445</v>
      </c>
      <c r="B72" s="483">
        <v>558110272</v>
      </c>
      <c r="C72" s="462" t="s">
        <v>773</v>
      </c>
      <c r="D72" s="462">
        <v>7200</v>
      </c>
      <c r="F72" s="491" t="str" cm="1">
        <f t="array" aca="1" ref="F72" ca="1">MID(met2utc(PEPSSI_Commanding[[#This Row],[MET]]),3,15)</f>
        <v>23-270/08:45:56</v>
      </c>
      <c r="G72" s="465" t="str">
        <f t="shared" si="55"/>
        <v>N3+7200</v>
      </c>
      <c r="H72" s="466">
        <f t="shared" si="56"/>
        <v>558110266</v>
      </c>
      <c r="I72" s="466">
        <f t="shared" si="57"/>
        <v>615857156</v>
      </c>
      <c r="J72" s="465">
        <f t="shared" si="58"/>
        <v>12</v>
      </c>
      <c r="K72" s="465">
        <f t="shared" si="59"/>
        <v>2</v>
      </c>
      <c r="M72" s="462">
        <f t="shared" si="60"/>
        <v>100</v>
      </c>
      <c r="N72" s="462">
        <f t="shared" si="61"/>
        <v>100</v>
      </c>
      <c r="O72" s="462">
        <f t="shared" si="62"/>
        <v>7200</v>
      </c>
      <c r="P72" s="462">
        <f t="shared" si="63"/>
        <v>300</v>
      </c>
      <c r="Q72" s="462" t="str">
        <f t="shared" si="64"/>
        <v/>
      </c>
      <c r="R72" s="462" t="str">
        <f t="shared" si="65"/>
        <v/>
      </c>
      <c r="S72" s="462" t="str">
        <f t="shared" si="66"/>
        <v/>
      </c>
      <c r="U72" s="495">
        <f t="shared" si="67"/>
        <v>8.8124999999999995E-2</v>
      </c>
      <c r="V72" s="495">
        <f t="shared" si="68"/>
        <v>0.36562499999999998</v>
      </c>
      <c r="W72" s="495">
        <f t="shared" si="69"/>
        <v>1.7066666666666668</v>
      </c>
      <c r="X72" s="495">
        <f t="shared" si="70"/>
        <v>19.88</v>
      </c>
      <c r="Y72" s="495">
        <f t="shared" si="71"/>
        <v>13.3</v>
      </c>
      <c r="Z72" s="495">
        <f t="shared" si="72"/>
        <v>13.3</v>
      </c>
      <c r="AA72" s="495">
        <f t="shared" si="73"/>
        <v>2.7650000000000001</v>
      </c>
      <c r="AB72" s="496"/>
      <c r="AC72" s="495">
        <f t="shared" si="74"/>
        <v>19.88</v>
      </c>
      <c r="AD72" s="495">
        <f t="shared" si="75"/>
        <v>2.7650000000000001</v>
      </c>
      <c r="AE72" s="495">
        <f t="shared" si="76"/>
        <v>22.645</v>
      </c>
      <c r="AF72" s="495">
        <f t="shared" si="77"/>
        <v>13.665625</v>
      </c>
      <c r="AG72" s="495">
        <f t="shared" si="78"/>
        <v>33.545625000000001</v>
      </c>
      <c r="AH72" s="495">
        <f t="shared" si="79"/>
        <v>16.430624999999999</v>
      </c>
      <c r="AI72" s="495">
        <f t="shared" si="80"/>
        <v>36.310625000000002</v>
      </c>
      <c r="AJ72" s="495">
        <f t="shared" si="81"/>
        <v>8.8124999999999995E-2</v>
      </c>
      <c r="AK72" s="495">
        <f t="shared" si="82"/>
        <v>19.968125000000001</v>
      </c>
      <c r="AL72" s="495">
        <f t="shared" si="83"/>
        <v>2.8531249999999999</v>
      </c>
      <c r="AM72" s="495">
        <f t="shared" si="84"/>
        <v>22.733124999999998</v>
      </c>
      <c r="AN72" s="495">
        <f t="shared" si="85"/>
        <v>13.75375</v>
      </c>
      <c r="AO72" s="495">
        <f t="shared" si="86"/>
        <v>33.633749999999999</v>
      </c>
      <c r="AP72" s="495">
        <f t="shared" si="87"/>
        <v>16.518750000000001</v>
      </c>
      <c r="AQ72" s="495">
        <f t="shared" si="88"/>
        <v>36.39875</v>
      </c>
      <c r="AR72" s="495">
        <f t="shared" si="89"/>
        <v>1.7066666666666668</v>
      </c>
      <c r="AS72" s="495">
        <f t="shared" si="90"/>
        <v>21.586666666666666</v>
      </c>
      <c r="AT72" s="495">
        <f t="shared" si="91"/>
        <v>4.4716666666666667</v>
      </c>
      <c r="AU72" s="495">
        <f t="shared" si="92"/>
        <v>24.351666666666667</v>
      </c>
      <c r="AV72" s="495">
        <f t="shared" si="93"/>
        <v>15.372291666666667</v>
      </c>
      <c r="AW72" s="495">
        <f t="shared" si="94"/>
        <v>35.252291666666665</v>
      </c>
      <c r="AX72" s="495">
        <f t="shared" si="95"/>
        <v>18.137291666666666</v>
      </c>
      <c r="AY72" s="495">
        <f t="shared" si="96"/>
        <v>38.017291666666665</v>
      </c>
      <c r="AZ72" s="495">
        <f t="shared" si="97"/>
        <v>1.7947916666666668</v>
      </c>
      <c r="BA72" s="495">
        <f t="shared" si="98"/>
        <v>21.674791666666664</v>
      </c>
      <c r="BB72" s="495">
        <f t="shared" si="99"/>
        <v>4.5597916666666674</v>
      </c>
      <c r="BC72" s="495">
        <f t="shared" si="100"/>
        <v>24.439791666666665</v>
      </c>
      <c r="BD72" s="495">
        <f t="shared" si="101"/>
        <v>15.460416666666667</v>
      </c>
      <c r="BE72" s="495">
        <f t="shared" si="102"/>
        <v>35.34041666666667</v>
      </c>
      <c r="BF72" s="495">
        <f t="shared" si="103"/>
        <v>18.225416666666668</v>
      </c>
      <c r="BG72" s="495">
        <f t="shared" si="104"/>
        <v>38.10541666666667</v>
      </c>
    </row>
    <row r="73" spans="1:59">
      <c r="A73" s="465" t="s">
        <v>8447</v>
      </c>
      <c r="B73" s="483">
        <v>558110275</v>
      </c>
      <c r="C73" s="462" t="s">
        <v>8403</v>
      </c>
      <c r="D73" s="462">
        <v>1800</v>
      </c>
      <c r="F73" s="491" t="str" cm="1">
        <f t="array" aca="1" ref="F73" ca="1">MID(met2utc(PEPSSI_Commanding[[#This Row],[MET]]),3,15)</f>
        <v>23-270/08:45:59</v>
      </c>
      <c r="G73" s="465" t="str">
        <f t="shared" si="55"/>
        <v>STAT+1800</v>
      </c>
      <c r="H73" s="466">
        <f t="shared" si="56"/>
        <v>558110266</v>
      </c>
      <c r="I73" s="466">
        <f t="shared" si="57"/>
        <v>615857156</v>
      </c>
      <c r="J73" s="465">
        <f t="shared" si="58"/>
        <v>13</v>
      </c>
      <c r="K73" s="465">
        <f t="shared" si="59"/>
        <v>1</v>
      </c>
      <c r="M73" s="462">
        <f t="shared" si="60"/>
        <v>100</v>
      </c>
      <c r="N73" s="462">
        <f t="shared" si="61"/>
        <v>100</v>
      </c>
      <c r="O73" s="462">
        <f t="shared" si="62"/>
        <v>7200</v>
      </c>
      <c r="P73" s="462">
        <f t="shared" si="63"/>
        <v>1800</v>
      </c>
      <c r="Q73" s="462" t="str">
        <f t="shared" si="64"/>
        <v/>
      </c>
      <c r="R73" s="462" t="str">
        <f t="shared" si="65"/>
        <v/>
      </c>
      <c r="S73" s="462" t="str">
        <f t="shared" si="66"/>
        <v/>
      </c>
      <c r="U73" s="495">
        <f t="shared" si="67"/>
        <v>8.8124999999999995E-2</v>
      </c>
      <c r="V73" s="495">
        <f t="shared" si="68"/>
        <v>0.36562499999999998</v>
      </c>
      <c r="W73" s="495">
        <f t="shared" si="69"/>
        <v>0.28444444444444444</v>
      </c>
      <c r="X73" s="495">
        <f t="shared" si="70"/>
        <v>19.88</v>
      </c>
      <c r="Y73" s="495">
        <f t="shared" si="71"/>
        <v>13.3</v>
      </c>
      <c r="Z73" s="495">
        <f t="shared" si="72"/>
        <v>13.3</v>
      </c>
      <c r="AA73" s="495">
        <f t="shared" si="73"/>
        <v>2.7650000000000001</v>
      </c>
      <c r="AB73" s="496"/>
      <c r="AC73" s="495">
        <f t="shared" si="74"/>
        <v>19.88</v>
      </c>
      <c r="AD73" s="495">
        <f t="shared" si="75"/>
        <v>2.7650000000000001</v>
      </c>
      <c r="AE73" s="495">
        <f t="shared" si="76"/>
        <v>22.645</v>
      </c>
      <c r="AF73" s="495">
        <f t="shared" si="77"/>
        <v>13.665625</v>
      </c>
      <c r="AG73" s="495">
        <f t="shared" si="78"/>
        <v>33.545625000000001</v>
      </c>
      <c r="AH73" s="495">
        <f t="shared" si="79"/>
        <v>16.430624999999999</v>
      </c>
      <c r="AI73" s="495">
        <f t="shared" si="80"/>
        <v>36.310625000000002</v>
      </c>
      <c r="AJ73" s="495">
        <f t="shared" si="81"/>
        <v>8.8124999999999995E-2</v>
      </c>
      <c r="AK73" s="495">
        <f t="shared" si="82"/>
        <v>19.968125000000001</v>
      </c>
      <c r="AL73" s="495">
        <f t="shared" si="83"/>
        <v>2.8531249999999999</v>
      </c>
      <c r="AM73" s="495">
        <f t="shared" si="84"/>
        <v>22.733124999999998</v>
      </c>
      <c r="AN73" s="495">
        <f t="shared" si="85"/>
        <v>13.75375</v>
      </c>
      <c r="AO73" s="495">
        <f t="shared" si="86"/>
        <v>33.633749999999999</v>
      </c>
      <c r="AP73" s="495">
        <f t="shared" si="87"/>
        <v>16.518750000000001</v>
      </c>
      <c r="AQ73" s="495">
        <f t="shared" si="88"/>
        <v>36.39875</v>
      </c>
      <c r="AR73" s="495">
        <f t="shared" si="89"/>
        <v>0.28444444444444444</v>
      </c>
      <c r="AS73" s="495">
        <f t="shared" si="90"/>
        <v>20.164444444444442</v>
      </c>
      <c r="AT73" s="495">
        <f t="shared" si="91"/>
        <v>3.0494444444444446</v>
      </c>
      <c r="AU73" s="495">
        <f t="shared" si="92"/>
        <v>22.929444444444442</v>
      </c>
      <c r="AV73" s="495">
        <f t="shared" si="93"/>
        <v>13.950069444444445</v>
      </c>
      <c r="AW73" s="495">
        <f t="shared" si="94"/>
        <v>33.830069444444447</v>
      </c>
      <c r="AX73" s="495">
        <f t="shared" si="95"/>
        <v>16.715069444444445</v>
      </c>
      <c r="AY73" s="495">
        <f t="shared" si="96"/>
        <v>36.595069444444448</v>
      </c>
      <c r="AZ73" s="495">
        <f t="shared" si="97"/>
        <v>0.37256944444444445</v>
      </c>
      <c r="BA73" s="495">
        <f t="shared" si="98"/>
        <v>20.252569444444443</v>
      </c>
      <c r="BB73" s="495">
        <f t="shared" si="99"/>
        <v>3.1375694444444444</v>
      </c>
      <c r="BC73" s="495">
        <f t="shared" si="100"/>
        <v>23.017569444444444</v>
      </c>
      <c r="BD73" s="495">
        <f t="shared" si="101"/>
        <v>14.038194444444445</v>
      </c>
      <c r="BE73" s="495">
        <f t="shared" si="102"/>
        <v>33.918194444444445</v>
      </c>
      <c r="BF73" s="495">
        <f t="shared" si="103"/>
        <v>16.803194444444443</v>
      </c>
      <c r="BG73" s="495">
        <f t="shared" si="104"/>
        <v>36.683194444444439</v>
      </c>
    </row>
    <row r="74" spans="1:59">
      <c r="A74" s="465" t="s">
        <v>8445</v>
      </c>
      <c r="B74" s="483">
        <v>615857156</v>
      </c>
      <c r="C74" s="462" t="s">
        <v>776</v>
      </c>
      <c r="D74" s="462">
        <v>360</v>
      </c>
      <c r="F74" s="491" t="str" cm="1">
        <f t="array" aca="1" ref="F74" ca="1">MID(met2utc(PEPSSI_Commanding[[#This Row],[MET]]),3,15)</f>
        <v>25-207/17:34:00</v>
      </c>
      <c r="G74" s="465" t="str">
        <f t="shared" si="55"/>
        <v>N2+360</v>
      </c>
      <c r="H74" s="466">
        <f t="shared" si="56"/>
        <v>615857156</v>
      </c>
      <c r="I74" s="466">
        <f t="shared" si="57"/>
        <v>616807206</v>
      </c>
      <c r="J74" s="465">
        <f t="shared" si="58"/>
        <v>14</v>
      </c>
      <c r="K74" s="465">
        <f t="shared" si="59"/>
        <v>6</v>
      </c>
      <c r="M74" s="462">
        <f t="shared" si="60"/>
        <v>100</v>
      </c>
      <c r="N74" s="462">
        <f t="shared" si="61"/>
        <v>360</v>
      </c>
      <c r="O74" s="462">
        <f t="shared" si="62"/>
        <v>7200</v>
      </c>
      <c r="P74" s="462">
        <f t="shared" si="63"/>
        <v>1800</v>
      </c>
      <c r="Q74" s="462" t="str">
        <f t="shared" si="64"/>
        <v/>
      </c>
      <c r="R74" s="462" t="str">
        <f t="shared" si="65"/>
        <v/>
      </c>
      <c r="S74" s="462" t="str">
        <f t="shared" si="66"/>
        <v/>
      </c>
      <c r="U74" s="495">
        <f t="shared" si="67"/>
        <v>2.4479166666666666E-2</v>
      </c>
      <c r="V74" s="495">
        <f t="shared" si="68"/>
        <v>0.1015625</v>
      </c>
      <c r="W74" s="495">
        <f t="shared" si="69"/>
        <v>0.28444444444444444</v>
      </c>
      <c r="X74" s="495">
        <f t="shared" si="70"/>
        <v>19.88</v>
      </c>
      <c r="Y74" s="495">
        <f t="shared" si="71"/>
        <v>3.6944444444444446</v>
      </c>
      <c r="Z74" s="495">
        <f t="shared" si="72"/>
        <v>3.6944444444444446</v>
      </c>
      <c r="AA74" s="495">
        <f t="shared" si="73"/>
        <v>2.7650000000000001</v>
      </c>
      <c r="AB74" s="496"/>
      <c r="AC74" s="495">
        <f t="shared" si="74"/>
        <v>19.88</v>
      </c>
      <c r="AD74" s="495">
        <f t="shared" si="75"/>
        <v>2.7650000000000001</v>
      </c>
      <c r="AE74" s="495">
        <f t="shared" si="76"/>
        <v>22.645</v>
      </c>
      <c r="AF74" s="495">
        <f t="shared" si="77"/>
        <v>3.7960069444444446</v>
      </c>
      <c r="AG74" s="495">
        <f t="shared" si="78"/>
        <v>23.676006944444445</v>
      </c>
      <c r="AH74" s="495">
        <f t="shared" si="79"/>
        <v>6.5610069444444452</v>
      </c>
      <c r="AI74" s="495">
        <f t="shared" si="80"/>
        <v>26.441006944444446</v>
      </c>
      <c r="AJ74" s="495">
        <f t="shared" si="81"/>
        <v>2.4479166666666666E-2</v>
      </c>
      <c r="AK74" s="495">
        <f t="shared" si="82"/>
        <v>19.904479166666665</v>
      </c>
      <c r="AL74" s="495">
        <f t="shared" si="83"/>
        <v>2.7894791666666667</v>
      </c>
      <c r="AM74" s="495">
        <f t="shared" si="84"/>
        <v>22.669479166666665</v>
      </c>
      <c r="AN74" s="495">
        <f t="shared" si="85"/>
        <v>3.8204861111111112</v>
      </c>
      <c r="AO74" s="495">
        <f t="shared" si="86"/>
        <v>23.700486111111111</v>
      </c>
      <c r="AP74" s="495">
        <f t="shared" si="87"/>
        <v>6.5854861111111109</v>
      </c>
      <c r="AQ74" s="495">
        <f t="shared" si="88"/>
        <v>26.465486111111112</v>
      </c>
      <c r="AR74" s="495">
        <f t="shared" si="89"/>
        <v>0.28444444444444444</v>
      </c>
      <c r="AS74" s="495">
        <f t="shared" si="90"/>
        <v>20.164444444444442</v>
      </c>
      <c r="AT74" s="495">
        <f t="shared" si="91"/>
        <v>3.0494444444444446</v>
      </c>
      <c r="AU74" s="495">
        <f t="shared" si="92"/>
        <v>22.929444444444442</v>
      </c>
      <c r="AV74" s="495">
        <f t="shared" si="93"/>
        <v>4.0804513888888891</v>
      </c>
      <c r="AW74" s="495">
        <f t="shared" si="94"/>
        <v>23.960451388888888</v>
      </c>
      <c r="AX74" s="495">
        <f t="shared" si="95"/>
        <v>6.8454513888888897</v>
      </c>
      <c r="AY74" s="495">
        <f t="shared" si="96"/>
        <v>26.725451388888889</v>
      </c>
      <c r="AZ74" s="495">
        <f t="shared" si="97"/>
        <v>0.30892361111111111</v>
      </c>
      <c r="BA74" s="495">
        <f t="shared" si="98"/>
        <v>20.188923611111111</v>
      </c>
      <c r="BB74" s="495">
        <f t="shared" si="99"/>
        <v>3.0739236111111112</v>
      </c>
      <c r="BC74" s="495">
        <f t="shared" si="100"/>
        <v>22.953923611111112</v>
      </c>
      <c r="BD74" s="495">
        <f t="shared" si="101"/>
        <v>4.1049305555555557</v>
      </c>
      <c r="BE74" s="495">
        <f t="shared" si="102"/>
        <v>23.984930555555554</v>
      </c>
      <c r="BF74" s="495">
        <f t="shared" si="103"/>
        <v>6.8699305555555554</v>
      </c>
      <c r="BG74" s="495">
        <f t="shared" si="104"/>
        <v>26.749930555555554</v>
      </c>
    </row>
    <row r="75" spans="1:59">
      <c r="A75" s="465" t="s">
        <v>8445</v>
      </c>
      <c r="B75" s="483">
        <v>615857159</v>
      </c>
      <c r="C75" s="462" t="s">
        <v>12</v>
      </c>
      <c r="D75" s="462">
        <v>360</v>
      </c>
      <c r="F75" s="491" t="str" cm="1">
        <f t="array" aca="1" ref="F75" ca="1">MID(met2utc(PEPSSI_Commanding[[#This Row],[MET]]),3,15)</f>
        <v>25-207/17:34:03</v>
      </c>
      <c r="G75" s="465" t="str">
        <f t="shared" si="55"/>
        <v>N1+360</v>
      </c>
      <c r="H75" s="466">
        <f t="shared" si="56"/>
        <v>615857156</v>
      </c>
      <c r="I75" s="466">
        <f t="shared" si="57"/>
        <v>616807206</v>
      </c>
      <c r="J75" s="465">
        <f t="shared" si="58"/>
        <v>15</v>
      </c>
      <c r="K75" s="465">
        <f t="shared" si="59"/>
        <v>5</v>
      </c>
      <c r="M75" s="462">
        <f t="shared" si="60"/>
        <v>360</v>
      </c>
      <c r="N75" s="462">
        <f t="shared" si="61"/>
        <v>360</v>
      </c>
      <c r="O75" s="462">
        <f t="shared" si="62"/>
        <v>7200</v>
      </c>
      <c r="P75" s="462">
        <f t="shared" si="63"/>
        <v>1800</v>
      </c>
      <c r="Q75" s="462" t="str">
        <f t="shared" si="64"/>
        <v/>
      </c>
      <c r="R75" s="462" t="str">
        <f t="shared" si="65"/>
        <v/>
      </c>
      <c r="S75" s="462" t="str">
        <f t="shared" si="66"/>
        <v/>
      </c>
      <c r="U75" s="495">
        <f t="shared" si="67"/>
        <v>2.4479166666666666E-2</v>
      </c>
      <c r="V75" s="495">
        <f t="shared" si="68"/>
        <v>0.1015625</v>
      </c>
      <c r="W75" s="495">
        <f t="shared" si="69"/>
        <v>0.28444444444444444</v>
      </c>
      <c r="X75" s="495">
        <f t="shared" si="70"/>
        <v>5.5222222222222221</v>
      </c>
      <c r="Y75" s="495">
        <f t="shared" si="71"/>
        <v>3.6944444444444446</v>
      </c>
      <c r="Z75" s="495">
        <f t="shared" si="72"/>
        <v>3.6944444444444446</v>
      </c>
      <c r="AA75" s="495">
        <f t="shared" si="73"/>
        <v>2.7650000000000001</v>
      </c>
      <c r="AB75" s="496"/>
      <c r="AC75" s="495">
        <f t="shared" si="74"/>
        <v>5.5222222222222221</v>
      </c>
      <c r="AD75" s="495">
        <f t="shared" si="75"/>
        <v>2.7650000000000001</v>
      </c>
      <c r="AE75" s="495">
        <f t="shared" si="76"/>
        <v>8.2872222222222227</v>
      </c>
      <c r="AF75" s="495">
        <f t="shared" si="77"/>
        <v>3.7960069444444446</v>
      </c>
      <c r="AG75" s="495">
        <f t="shared" si="78"/>
        <v>9.3182291666666668</v>
      </c>
      <c r="AH75" s="495">
        <f t="shared" si="79"/>
        <v>6.5610069444444452</v>
      </c>
      <c r="AI75" s="495">
        <f t="shared" si="80"/>
        <v>12.083229166666667</v>
      </c>
      <c r="AJ75" s="495">
        <f t="shared" si="81"/>
        <v>2.4479166666666666E-2</v>
      </c>
      <c r="AK75" s="495">
        <f t="shared" si="82"/>
        <v>5.5467013888888888</v>
      </c>
      <c r="AL75" s="495">
        <f t="shared" si="83"/>
        <v>2.7894791666666667</v>
      </c>
      <c r="AM75" s="495">
        <f t="shared" si="84"/>
        <v>8.3117013888888884</v>
      </c>
      <c r="AN75" s="495">
        <f t="shared" si="85"/>
        <v>3.8204861111111112</v>
      </c>
      <c r="AO75" s="495">
        <f t="shared" si="86"/>
        <v>9.3427083333333343</v>
      </c>
      <c r="AP75" s="495">
        <f t="shared" si="87"/>
        <v>6.5854861111111109</v>
      </c>
      <c r="AQ75" s="495">
        <f t="shared" si="88"/>
        <v>12.107708333333333</v>
      </c>
      <c r="AR75" s="495">
        <f t="shared" si="89"/>
        <v>0.28444444444444444</v>
      </c>
      <c r="AS75" s="495">
        <f t="shared" si="90"/>
        <v>5.8066666666666666</v>
      </c>
      <c r="AT75" s="495">
        <f t="shared" si="91"/>
        <v>3.0494444444444446</v>
      </c>
      <c r="AU75" s="495">
        <f t="shared" si="92"/>
        <v>8.5716666666666672</v>
      </c>
      <c r="AV75" s="495">
        <f t="shared" si="93"/>
        <v>4.0804513888888891</v>
      </c>
      <c r="AW75" s="495">
        <f t="shared" si="94"/>
        <v>9.6026736111111113</v>
      </c>
      <c r="AX75" s="495">
        <f t="shared" si="95"/>
        <v>6.8454513888888897</v>
      </c>
      <c r="AY75" s="495">
        <f t="shared" si="96"/>
        <v>12.367673611111112</v>
      </c>
      <c r="AZ75" s="495">
        <f t="shared" si="97"/>
        <v>0.30892361111111111</v>
      </c>
      <c r="BA75" s="495">
        <f t="shared" si="98"/>
        <v>5.8311458333333333</v>
      </c>
      <c r="BB75" s="495">
        <f t="shared" si="99"/>
        <v>3.0739236111111112</v>
      </c>
      <c r="BC75" s="495">
        <f t="shared" si="100"/>
        <v>8.5961458333333329</v>
      </c>
      <c r="BD75" s="495">
        <f t="shared" si="101"/>
        <v>4.1049305555555557</v>
      </c>
      <c r="BE75" s="495">
        <f t="shared" si="102"/>
        <v>9.627152777777777</v>
      </c>
      <c r="BF75" s="495">
        <f t="shared" si="103"/>
        <v>6.8699305555555554</v>
      </c>
      <c r="BG75" s="495">
        <f t="shared" si="104"/>
        <v>12.392152777777778</v>
      </c>
    </row>
    <row r="76" spans="1:59">
      <c r="A76" s="465" t="s">
        <v>8445</v>
      </c>
      <c r="B76" s="483">
        <v>615857162</v>
      </c>
      <c r="C76" s="462" t="s">
        <v>773</v>
      </c>
      <c r="D76" s="462">
        <v>900</v>
      </c>
      <c r="F76" s="491" t="str" cm="1">
        <f t="array" aca="1" ref="F76" ca="1">MID(met2utc(PEPSSI_Commanding[[#This Row],[MET]]),3,15)</f>
        <v>25-207/17:34:06</v>
      </c>
      <c r="G76" s="465" t="str">
        <f t="shared" si="55"/>
        <v>N3+900</v>
      </c>
      <c r="H76" s="466">
        <f t="shared" si="56"/>
        <v>615857156</v>
      </c>
      <c r="I76" s="466">
        <f t="shared" si="57"/>
        <v>616807206</v>
      </c>
      <c r="J76" s="465">
        <f t="shared" si="58"/>
        <v>16</v>
      </c>
      <c r="K76" s="465">
        <f t="shared" si="59"/>
        <v>4</v>
      </c>
      <c r="M76" s="462">
        <f t="shared" si="60"/>
        <v>360</v>
      </c>
      <c r="N76" s="462">
        <f t="shared" si="61"/>
        <v>360</v>
      </c>
      <c r="O76" s="462">
        <f t="shared" si="62"/>
        <v>900</v>
      </c>
      <c r="P76" s="462">
        <f t="shared" si="63"/>
        <v>1800</v>
      </c>
      <c r="Q76" s="462" t="str">
        <f t="shared" si="64"/>
        <v/>
      </c>
      <c r="R76" s="462" t="str">
        <f t="shared" si="65"/>
        <v/>
      </c>
      <c r="S76" s="462" t="str">
        <f t="shared" si="66"/>
        <v/>
      </c>
      <c r="U76" s="495">
        <f t="shared" si="67"/>
        <v>2.4479166666666666E-2</v>
      </c>
      <c r="V76" s="495">
        <f t="shared" si="68"/>
        <v>0.1015625</v>
      </c>
      <c r="W76" s="495">
        <f t="shared" si="69"/>
        <v>0.28444444444444444</v>
      </c>
      <c r="X76" s="495">
        <f t="shared" si="70"/>
        <v>5.5222222222222221</v>
      </c>
      <c r="Y76" s="495">
        <f t="shared" si="71"/>
        <v>3.6944444444444446</v>
      </c>
      <c r="Z76" s="495">
        <f t="shared" si="72"/>
        <v>3.6944444444444446</v>
      </c>
      <c r="AA76" s="495">
        <f t="shared" si="73"/>
        <v>22.12</v>
      </c>
      <c r="AB76" s="496"/>
      <c r="AC76" s="495">
        <f t="shared" si="74"/>
        <v>5.5222222222222221</v>
      </c>
      <c r="AD76" s="495">
        <f t="shared" si="75"/>
        <v>22.12</v>
      </c>
      <c r="AE76" s="495">
        <f t="shared" si="76"/>
        <v>27.642222222222223</v>
      </c>
      <c r="AF76" s="495">
        <f t="shared" si="77"/>
        <v>3.7960069444444446</v>
      </c>
      <c r="AG76" s="495">
        <f t="shared" si="78"/>
        <v>9.3182291666666668</v>
      </c>
      <c r="AH76" s="495">
        <f t="shared" si="79"/>
        <v>25.916006944444447</v>
      </c>
      <c r="AI76" s="495">
        <f t="shared" si="80"/>
        <v>31.43822916666667</v>
      </c>
      <c r="AJ76" s="495">
        <f t="shared" si="81"/>
        <v>2.4479166666666666E-2</v>
      </c>
      <c r="AK76" s="495">
        <f t="shared" si="82"/>
        <v>5.5467013888888888</v>
      </c>
      <c r="AL76" s="495">
        <f t="shared" si="83"/>
        <v>22.144479166666667</v>
      </c>
      <c r="AM76" s="495">
        <f t="shared" si="84"/>
        <v>27.666701388888889</v>
      </c>
      <c r="AN76" s="495">
        <f t="shared" si="85"/>
        <v>3.8204861111111112</v>
      </c>
      <c r="AO76" s="495">
        <f t="shared" si="86"/>
        <v>9.3427083333333343</v>
      </c>
      <c r="AP76" s="495">
        <f t="shared" si="87"/>
        <v>25.940486111111113</v>
      </c>
      <c r="AQ76" s="495">
        <f t="shared" si="88"/>
        <v>31.462708333333335</v>
      </c>
      <c r="AR76" s="495">
        <f t="shared" si="89"/>
        <v>0.28444444444444444</v>
      </c>
      <c r="AS76" s="495">
        <f t="shared" si="90"/>
        <v>5.8066666666666666</v>
      </c>
      <c r="AT76" s="495">
        <f t="shared" si="91"/>
        <v>22.404444444444444</v>
      </c>
      <c r="AU76" s="495">
        <f t="shared" si="92"/>
        <v>27.926666666666666</v>
      </c>
      <c r="AV76" s="495">
        <f t="shared" si="93"/>
        <v>4.0804513888888891</v>
      </c>
      <c r="AW76" s="495">
        <f t="shared" si="94"/>
        <v>9.6026736111111113</v>
      </c>
      <c r="AX76" s="495">
        <f t="shared" si="95"/>
        <v>26.20045138888889</v>
      </c>
      <c r="AY76" s="495">
        <f t="shared" si="96"/>
        <v>31.722673611111112</v>
      </c>
      <c r="AZ76" s="495">
        <f t="shared" si="97"/>
        <v>0.30892361111111111</v>
      </c>
      <c r="BA76" s="495">
        <f t="shared" si="98"/>
        <v>5.8311458333333333</v>
      </c>
      <c r="BB76" s="495">
        <f t="shared" si="99"/>
        <v>22.428923611111113</v>
      </c>
      <c r="BC76" s="495">
        <f t="shared" si="100"/>
        <v>27.951145833333335</v>
      </c>
      <c r="BD76" s="495">
        <f t="shared" si="101"/>
        <v>4.1049305555555557</v>
      </c>
      <c r="BE76" s="495">
        <f t="shared" si="102"/>
        <v>9.627152777777777</v>
      </c>
      <c r="BF76" s="495">
        <f t="shared" si="103"/>
        <v>26.224930555555556</v>
      </c>
      <c r="BG76" s="495">
        <f t="shared" si="104"/>
        <v>31.747152777777778</v>
      </c>
    </row>
    <row r="77" spans="1:59">
      <c r="A77" s="465" t="s">
        <v>8447</v>
      </c>
      <c r="B77" s="483">
        <v>615857165</v>
      </c>
      <c r="C77" s="462" t="s">
        <v>8403</v>
      </c>
      <c r="D77" s="462">
        <v>1800</v>
      </c>
      <c r="F77" s="491" t="str" cm="1">
        <f t="array" aca="1" ref="F77" ca="1">MID(met2utc(PEPSSI_Commanding[[#This Row],[MET]]),3,15)</f>
        <v>25-207/17:34:09</v>
      </c>
      <c r="G77" s="465" t="str">
        <f t="shared" si="55"/>
        <v>STAT+1800</v>
      </c>
      <c r="H77" s="466">
        <f t="shared" si="56"/>
        <v>615857156</v>
      </c>
      <c r="I77" s="466">
        <f t="shared" si="57"/>
        <v>616807206</v>
      </c>
      <c r="J77" s="465">
        <f t="shared" si="58"/>
        <v>17</v>
      </c>
      <c r="K77" s="465">
        <f t="shared" si="59"/>
        <v>3</v>
      </c>
      <c r="M77" s="462">
        <f t="shared" si="60"/>
        <v>360</v>
      </c>
      <c r="N77" s="462">
        <f t="shared" si="61"/>
        <v>360</v>
      </c>
      <c r="O77" s="462">
        <f t="shared" si="62"/>
        <v>900</v>
      </c>
      <c r="P77" s="462">
        <f t="shared" si="63"/>
        <v>1800</v>
      </c>
      <c r="Q77" s="462" t="str">
        <f t="shared" si="64"/>
        <v/>
      </c>
      <c r="R77" s="462" t="str">
        <f t="shared" si="65"/>
        <v/>
      </c>
      <c r="S77" s="462" t="str">
        <f t="shared" si="66"/>
        <v/>
      </c>
      <c r="U77" s="495">
        <f t="shared" si="67"/>
        <v>2.4479166666666666E-2</v>
      </c>
      <c r="V77" s="495">
        <f t="shared" si="68"/>
        <v>0.1015625</v>
      </c>
      <c r="W77" s="495">
        <f t="shared" si="69"/>
        <v>0.28444444444444444</v>
      </c>
      <c r="X77" s="495">
        <f t="shared" si="70"/>
        <v>5.5222222222222221</v>
      </c>
      <c r="Y77" s="495">
        <f t="shared" si="71"/>
        <v>3.6944444444444446</v>
      </c>
      <c r="Z77" s="495">
        <f t="shared" si="72"/>
        <v>3.6944444444444446</v>
      </c>
      <c r="AA77" s="495">
        <f t="shared" si="73"/>
        <v>22.12</v>
      </c>
      <c r="AB77" s="496"/>
      <c r="AC77" s="495">
        <f t="shared" si="74"/>
        <v>5.5222222222222221</v>
      </c>
      <c r="AD77" s="495">
        <f t="shared" si="75"/>
        <v>22.12</v>
      </c>
      <c r="AE77" s="495">
        <f t="shared" si="76"/>
        <v>27.642222222222223</v>
      </c>
      <c r="AF77" s="495">
        <f t="shared" si="77"/>
        <v>3.7960069444444446</v>
      </c>
      <c r="AG77" s="495">
        <f t="shared" si="78"/>
        <v>9.3182291666666668</v>
      </c>
      <c r="AH77" s="495">
        <f t="shared" si="79"/>
        <v>25.916006944444447</v>
      </c>
      <c r="AI77" s="495">
        <f t="shared" si="80"/>
        <v>31.43822916666667</v>
      </c>
      <c r="AJ77" s="495">
        <f t="shared" si="81"/>
        <v>2.4479166666666666E-2</v>
      </c>
      <c r="AK77" s="495">
        <f t="shared" si="82"/>
        <v>5.5467013888888888</v>
      </c>
      <c r="AL77" s="495">
        <f t="shared" si="83"/>
        <v>22.144479166666667</v>
      </c>
      <c r="AM77" s="495">
        <f t="shared" si="84"/>
        <v>27.666701388888889</v>
      </c>
      <c r="AN77" s="495">
        <f t="shared" si="85"/>
        <v>3.8204861111111112</v>
      </c>
      <c r="AO77" s="495">
        <f t="shared" si="86"/>
        <v>9.3427083333333343</v>
      </c>
      <c r="AP77" s="495">
        <f t="shared" si="87"/>
        <v>25.940486111111113</v>
      </c>
      <c r="AQ77" s="495">
        <f t="shared" si="88"/>
        <v>31.462708333333335</v>
      </c>
      <c r="AR77" s="495">
        <f t="shared" si="89"/>
        <v>0.28444444444444444</v>
      </c>
      <c r="AS77" s="495">
        <f t="shared" si="90"/>
        <v>5.8066666666666666</v>
      </c>
      <c r="AT77" s="495">
        <f t="shared" si="91"/>
        <v>22.404444444444444</v>
      </c>
      <c r="AU77" s="495">
        <f t="shared" si="92"/>
        <v>27.926666666666666</v>
      </c>
      <c r="AV77" s="495">
        <f t="shared" si="93"/>
        <v>4.0804513888888891</v>
      </c>
      <c r="AW77" s="495">
        <f t="shared" si="94"/>
        <v>9.6026736111111113</v>
      </c>
      <c r="AX77" s="495">
        <f t="shared" si="95"/>
        <v>26.20045138888889</v>
      </c>
      <c r="AY77" s="495">
        <f t="shared" si="96"/>
        <v>31.722673611111112</v>
      </c>
      <c r="AZ77" s="495">
        <f t="shared" si="97"/>
        <v>0.30892361111111111</v>
      </c>
      <c r="BA77" s="495">
        <f t="shared" si="98"/>
        <v>5.8311458333333333</v>
      </c>
      <c r="BB77" s="495">
        <f t="shared" si="99"/>
        <v>22.428923611111113</v>
      </c>
      <c r="BC77" s="495">
        <f t="shared" si="100"/>
        <v>27.951145833333335</v>
      </c>
      <c r="BD77" s="495">
        <f t="shared" si="101"/>
        <v>4.1049305555555557</v>
      </c>
      <c r="BE77" s="495">
        <f t="shared" si="102"/>
        <v>9.627152777777777</v>
      </c>
      <c r="BF77" s="495">
        <f t="shared" si="103"/>
        <v>26.224930555555556</v>
      </c>
      <c r="BG77" s="495">
        <f t="shared" si="104"/>
        <v>31.747152777777778</v>
      </c>
    </row>
    <row r="78" spans="1:59">
      <c r="A78" s="465" t="s">
        <v>8443</v>
      </c>
      <c r="B78" s="483">
        <v>615857756</v>
      </c>
      <c r="C78" s="462" t="s">
        <v>8404</v>
      </c>
      <c r="D78" s="462">
        <v>104</v>
      </c>
      <c r="F78" s="491" t="str" cm="1">
        <f t="array" aca="1" ref="F78" ca="1">MID(met2utc(PEPSSI_Commanding[[#This Row],[MET]]),3,15)</f>
        <v>25-207/17:44:00</v>
      </c>
      <c r="G78" s="465" t="str">
        <f t="shared" ref="G78:G109" si="105">_xlfn.TEXTJOIN("+",TRUE,$C78:$D78)</f>
        <v>MAC+104</v>
      </c>
      <c r="H78" s="466">
        <f t="shared" ref="H78:H109" si="106">IF($C78="ON",$B78,IF(RIGHT($H77,9)="MET Start","",IF(AND($K78&lt;&gt;0,$K77=1),$B78,$H77)))</f>
        <v>615857156</v>
      </c>
      <c r="I78" s="466">
        <f t="shared" ref="I78:I109" si="107">IF($C78="OFF",$B78,IF($B79="",$B78+31500000,IF($K78=1,$B79,I79)))</f>
        <v>616807206</v>
      </c>
      <c r="J78" s="465">
        <f t="shared" ref="J78:J109" si="108">IF($G78="ON",0,IF(OR(J77="",LEFT(J77,6)="Offset"),"",J77+1))</f>
        <v>18</v>
      </c>
      <c r="K78" s="465">
        <f t="shared" ref="K78:K109" si="109">IF($G78="OFF",0,IF(AND($J79&lt;&gt;0,$J78&lt;&gt;9,$G79&lt;&gt;"MAC+111",($B79-$B78)&lt;7200),K79+1,1))</f>
        <v>2</v>
      </c>
      <c r="M78" s="462">
        <f t="shared" ref="M78:M109" si="110">IF($C78="ON","",IF($C78="N1",$D78,IF(M77="N1","",M77)))</f>
        <v>360</v>
      </c>
      <c r="N78" s="462">
        <f t="shared" ref="N78:N109" si="111">IF($C78="ON","",IF($C78="N2",$D78,IF($G78="MAC+103",3,IF($G78="MAC+104",2,IF(N77="N2","",N77)))))</f>
        <v>2</v>
      </c>
      <c r="O78" s="462">
        <f t="shared" ref="O78:O109" si="112">IF($C78="ON","",IF($C78="N3",$D78,IF(O77="N3","",O77)))</f>
        <v>900</v>
      </c>
      <c r="P78" s="462">
        <f t="shared" ref="P78:P109" si="113">IF($C78="ON","",IF($C78="STAT",$D78,IF(P77="STAT","",P77)))</f>
        <v>1800</v>
      </c>
      <c r="Q78" s="462" t="str">
        <f t="shared" ref="Q78:Q109" si="114">IF($C78="ON","",IF(AND($C78="MAC",105&lt;=$D78,$D78&lt;=110),"",IF(AND($C78="MAC",103&lt;=$D78,$D78&lt;=104),"disabled",IF(Q77="N2 disabled","",Q77))))</f>
        <v>disabled</v>
      </c>
      <c r="R78" s="462" t="str">
        <f t="shared" ref="R78:R109" si="115">IF(OR($G78="ON",$G78="MAC+111"),"",IF($G78="MAC+105",300,IF($G78="MAC+106",600,IF($G78="MAC+107",840,IF($G78="MAC+108",1200,IF($G78="MAC+109",1800,IF($G78="MAC+110",43200,IF(LEFT(R77,4)="105-","",R77))))))))</f>
        <v/>
      </c>
      <c r="S78" s="462" t="str">
        <f t="shared" ref="S78:S109" si="116">IF($C78="ON","",IF($G78="MAC+102","102",IF(RIGHT(S77,1)="?","",S77)))</f>
        <v/>
      </c>
      <c r="U78" s="495">
        <f t="shared" ref="U78:U109" si="117">IF($N78="",0,U$1/64/$N78)</f>
        <v>4.40625</v>
      </c>
      <c r="V78" s="495">
        <f t="shared" ref="V78:V109" si="118">IF($N78="",0,V$1/64/$N78)</f>
        <v>18.28125</v>
      </c>
      <c r="W78" s="495">
        <f t="shared" ref="W78:W109" si="119">IF($P78="",0,W$1/$P78)</f>
        <v>0.28444444444444444</v>
      </c>
      <c r="X78" s="495">
        <f t="shared" ref="X78:X109" si="120">IF($M78="",0,X$1/$M78)</f>
        <v>5.5222222222222221</v>
      </c>
      <c r="Y78" s="495">
        <f t="shared" ref="Y78:Y109" si="121">IF(OR($N78="",$Q78&lt;&gt;""),0,Y$1/$N78)</f>
        <v>0</v>
      </c>
      <c r="Z78" s="495">
        <f t="shared" ref="Z78:Z109" si="122">IF($N78="",0,IF($R78="",1,R78/43200)*Y78)</f>
        <v>0</v>
      </c>
      <c r="AA78" s="495">
        <f t="shared" ref="AA78:AA109" si="123">IF($O78="",0,AA$1/$O78)</f>
        <v>22.12</v>
      </c>
      <c r="AB78" s="496"/>
      <c r="AC78" s="495">
        <f t="shared" ref="AC78:AC109" si="124">IF(AC$3&lt;&gt;"",$W78,0)+IF(AC$4&lt;&gt;"",$U78,0)+IF(AC$5&lt;&gt;"",$Z78+IF($S78&lt;&gt;"102",$V78,0),0)+IF(AC$6&lt;&gt;"",$AA78+IF($S78="102",$V78,0),0)+IF(AC$7&lt;&gt;"",$X78,0)</f>
        <v>5.5222222222222221</v>
      </c>
      <c r="AD78" s="495">
        <f t="shared" ref="AD78:AD109" si="125">IF(AD$3&lt;&gt;"",$W78,0)+IF(AD$4&lt;&gt;"",$U78,0)+IF(AD$5&lt;&gt;"",$Z78+IF($S78&lt;&gt;"102",$V78,0),0)+IF(AD$6&lt;&gt;"",$AA78+IF($S78="102",$V78,0),0)+IF(AD$7&lt;&gt;"",$X78,0)</f>
        <v>22.12</v>
      </c>
      <c r="AE78" s="495">
        <f t="shared" ref="AE78:AE109" si="126">IF(AE$3&lt;&gt;"",$W78,0)+IF(AE$4&lt;&gt;"",$U78,0)+IF(AE$5&lt;&gt;"",$Z78+IF($S78&lt;&gt;"102",$V78,0),0)+IF(AE$6&lt;&gt;"",$AA78+IF($S78="102",$V78,0),0)+IF(AE$7&lt;&gt;"",$X78,0)</f>
        <v>27.642222222222223</v>
      </c>
      <c r="AF78" s="495">
        <f t="shared" ref="AF78:AF109" si="127">IF(AF$3&lt;&gt;"",$W78,0)+IF(AF$4&lt;&gt;"",$U78,0)+IF(AF$5&lt;&gt;"",$Z78+IF($S78&lt;&gt;"102",$V78,0),0)+IF(AF$6&lt;&gt;"",$AA78+IF($S78="102",$V78,0),0)+IF(AF$7&lt;&gt;"",$X78,0)</f>
        <v>18.28125</v>
      </c>
      <c r="AG78" s="495">
        <f t="shared" ref="AG78:AG109" si="128">IF(AG$3&lt;&gt;"",$W78,0)+IF(AG$4&lt;&gt;"",$U78,0)+IF(AG$5&lt;&gt;"",$Z78+IF($S78&lt;&gt;"102",$V78,0),0)+IF(AG$6&lt;&gt;"",$AA78+IF($S78="102",$V78,0),0)+IF(AG$7&lt;&gt;"",$X78,0)</f>
        <v>23.803472222222222</v>
      </c>
      <c r="AH78" s="495">
        <f t="shared" ref="AH78:AH109" si="129">IF(AH$3&lt;&gt;"",$W78,0)+IF(AH$4&lt;&gt;"",$U78,0)+IF(AH$5&lt;&gt;"",$Z78+IF($S78&lt;&gt;"102",$V78,0),0)+IF(AH$6&lt;&gt;"",$AA78+IF($S78="102",$V78,0),0)+IF(AH$7&lt;&gt;"",$X78,0)</f>
        <v>40.401250000000005</v>
      </c>
      <c r="AI78" s="495">
        <f t="shared" ref="AI78:AI109" si="130">IF(AI$3&lt;&gt;"",$W78,0)+IF(AI$4&lt;&gt;"",$U78,0)+IF(AI$5&lt;&gt;"",$Z78+IF($S78&lt;&gt;"102",$V78,0),0)+IF(AI$6&lt;&gt;"",$AA78+IF($S78="102",$V78,0),0)+IF(AI$7&lt;&gt;"",$X78,0)</f>
        <v>45.92347222222223</v>
      </c>
      <c r="AJ78" s="495">
        <f t="shared" ref="AJ78:AJ109" si="131">IF(AJ$3&lt;&gt;"",$W78,0)+IF(AJ$4&lt;&gt;"",$U78,0)+IF(AJ$5&lt;&gt;"",$Z78+IF($S78&lt;&gt;"102",$V78,0),0)+IF(AJ$6&lt;&gt;"",$AA78+IF($S78="102",$V78,0),0)+IF(AJ$7&lt;&gt;"",$X78,0)</f>
        <v>4.40625</v>
      </c>
      <c r="AK78" s="495">
        <f t="shared" ref="AK78:AK109" si="132">IF(AK$3&lt;&gt;"",$W78,0)+IF(AK$4&lt;&gt;"",$U78,0)+IF(AK$5&lt;&gt;"",$Z78+IF($S78&lt;&gt;"102",$V78,0),0)+IF(AK$6&lt;&gt;"",$AA78+IF($S78="102",$V78,0),0)+IF(AK$7&lt;&gt;"",$X78,0)</f>
        <v>9.9284722222222221</v>
      </c>
      <c r="AL78" s="495">
        <f t="shared" ref="AL78:AL109" si="133">IF(AL$3&lt;&gt;"",$W78,0)+IF(AL$4&lt;&gt;"",$U78,0)+IF(AL$5&lt;&gt;"",$Z78+IF($S78&lt;&gt;"102",$V78,0),0)+IF(AL$6&lt;&gt;"",$AA78+IF($S78="102",$V78,0),0)+IF(AL$7&lt;&gt;"",$X78,0)</f>
        <v>26.526250000000001</v>
      </c>
      <c r="AM78" s="495">
        <f t="shared" ref="AM78:AM109" si="134">IF(AM$3&lt;&gt;"",$W78,0)+IF(AM$4&lt;&gt;"",$U78,0)+IF(AM$5&lt;&gt;"",$Z78+IF($S78&lt;&gt;"102",$V78,0),0)+IF(AM$6&lt;&gt;"",$AA78+IF($S78="102",$V78,0),0)+IF(AM$7&lt;&gt;"",$X78,0)</f>
        <v>32.048472222222223</v>
      </c>
      <c r="AN78" s="495">
        <f t="shared" ref="AN78:AN109" si="135">IF(AN$3&lt;&gt;"",$W78,0)+IF(AN$4&lt;&gt;"",$U78,0)+IF(AN$5&lt;&gt;"",$Z78+IF($S78&lt;&gt;"102",$V78,0),0)+IF(AN$6&lt;&gt;"",$AA78+IF($S78="102",$V78,0),0)+IF(AN$7&lt;&gt;"",$X78,0)</f>
        <v>22.6875</v>
      </c>
      <c r="AO78" s="495">
        <f t="shared" ref="AO78:AO109" si="136">IF(AO$3&lt;&gt;"",$W78,0)+IF(AO$4&lt;&gt;"",$U78,0)+IF(AO$5&lt;&gt;"",$Z78+IF($S78&lt;&gt;"102",$V78,0),0)+IF(AO$6&lt;&gt;"",$AA78+IF($S78="102",$V78,0),0)+IF(AO$7&lt;&gt;"",$X78,0)</f>
        <v>28.209722222222222</v>
      </c>
      <c r="AP78" s="495">
        <f t="shared" ref="AP78:AP109" si="137">IF(AP$3&lt;&gt;"",$W78,0)+IF(AP$4&lt;&gt;"",$U78,0)+IF(AP$5&lt;&gt;"",$Z78+IF($S78&lt;&gt;"102",$V78,0),0)+IF(AP$6&lt;&gt;"",$AA78+IF($S78="102",$V78,0),0)+IF(AP$7&lt;&gt;"",$X78,0)</f>
        <v>44.807500000000005</v>
      </c>
      <c r="AQ78" s="495">
        <f t="shared" ref="AQ78:AQ109" si="138">IF(AQ$3&lt;&gt;"",$W78,0)+IF(AQ$4&lt;&gt;"",$U78,0)+IF(AQ$5&lt;&gt;"",$Z78+IF($S78&lt;&gt;"102",$V78,0),0)+IF(AQ$6&lt;&gt;"",$AA78+IF($S78="102",$V78,0),0)+IF(AQ$7&lt;&gt;"",$X78,0)</f>
        <v>50.32972222222223</v>
      </c>
      <c r="AR78" s="495">
        <f t="shared" ref="AR78:AR109" si="139">IF(AR$3&lt;&gt;"",$W78,0)+IF(AR$4&lt;&gt;"",$U78,0)+IF(AR$5&lt;&gt;"",$Z78+IF($S78&lt;&gt;"102",$V78,0),0)+IF(AR$6&lt;&gt;"",$AA78+IF($S78="102",$V78,0),0)+IF(AR$7&lt;&gt;"",$X78,0)</f>
        <v>0.28444444444444444</v>
      </c>
      <c r="AS78" s="495">
        <f t="shared" ref="AS78:AS109" si="140">IF(AS$3&lt;&gt;"",$W78,0)+IF(AS$4&lt;&gt;"",$U78,0)+IF(AS$5&lt;&gt;"",$Z78+IF($S78&lt;&gt;"102",$V78,0),0)+IF(AS$6&lt;&gt;"",$AA78+IF($S78="102",$V78,0),0)+IF(AS$7&lt;&gt;"",$X78,0)</f>
        <v>5.8066666666666666</v>
      </c>
      <c r="AT78" s="495">
        <f t="shared" ref="AT78:AT109" si="141">IF(AT$3&lt;&gt;"",$W78,0)+IF(AT$4&lt;&gt;"",$U78,0)+IF(AT$5&lt;&gt;"",$Z78+IF($S78&lt;&gt;"102",$V78,0),0)+IF(AT$6&lt;&gt;"",$AA78+IF($S78="102",$V78,0),0)+IF(AT$7&lt;&gt;"",$X78,0)</f>
        <v>22.404444444444444</v>
      </c>
      <c r="AU78" s="495">
        <f t="shared" ref="AU78:AU109" si="142">IF(AU$3&lt;&gt;"",$W78,0)+IF(AU$4&lt;&gt;"",$U78,0)+IF(AU$5&lt;&gt;"",$Z78+IF($S78&lt;&gt;"102",$V78,0),0)+IF(AU$6&lt;&gt;"",$AA78+IF($S78="102",$V78,0),0)+IF(AU$7&lt;&gt;"",$X78,0)</f>
        <v>27.926666666666666</v>
      </c>
      <c r="AV78" s="495">
        <f t="shared" ref="AV78:AV109" si="143">IF(AV$3&lt;&gt;"",$W78,0)+IF(AV$4&lt;&gt;"",$U78,0)+IF(AV$5&lt;&gt;"",$Z78+IF($S78&lt;&gt;"102",$V78,0),0)+IF(AV$6&lt;&gt;"",$AA78+IF($S78="102",$V78,0),0)+IF(AV$7&lt;&gt;"",$X78,0)</f>
        <v>18.565694444444443</v>
      </c>
      <c r="AW78" s="495">
        <f t="shared" ref="AW78:AW109" si="144">IF(AW$3&lt;&gt;"",$W78,0)+IF(AW$4&lt;&gt;"",$U78,0)+IF(AW$5&lt;&gt;"",$Z78+IF($S78&lt;&gt;"102",$V78,0),0)+IF(AW$6&lt;&gt;"",$AA78+IF($S78="102",$V78,0),0)+IF(AW$7&lt;&gt;"",$X78,0)</f>
        <v>24.087916666666665</v>
      </c>
      <c r="AX78" s="495">
        <f t="shared" ref="AX78:AX109" si="145">IF(AX$3&lt;&gt;"",$W78,0)+IF(AX$4&lt;&gt;"",$U78,0)+IF(AX$5&lt;&gt;"",$Z78+IF($S78&lt;&gt;"102",$V78,0),0)+IF(AX$6&lt;&gt;"",$AA78+IF($S78="102",$V78,0),0)+IF(AX$7&lt;&gt;"",$X78,0)</f>
        <v>40.685694444444444</v>
      </c>
      <c r="AY78" s="495">
        <f t="shared" ref="AY78:AY109" si="146">IF(AY$3&lt;&gt;"",$W78,0)+IF(AY$4&lt;&gt;"",$U78,0)+IF(AY$5&lt;&gt;"",$Z78+IF($S78&lt;&gt;"102",$V78,0),0)+IF(AY$6&lt;&gt;"",$AA78+IF($S78="102",$V78,0),0)+IF(AY$7&lt;&gt;"",$X78,0)</f>
        <v>46.207916666666662</v>
      </c>
      <c r="AZ78" s="495">
        <f t="shared" ref="AZ78:AZ109" si="147">IF(AZ$3&lt;&gt;"",$W78,0)+IF(AZ$4&lt;&gt;"",$U78,0)+IF(AZ$5&lt;&gt;"",$Z78+IF($S78&lt;&gt;"102",$V78,0),0)+IF(AZ$6&lt;&gt;"",$AA78+IF($S78="102",$V78,0),0)+IF(AZ$7&lt;&gt;"",$X78,0)</f>
        <v>4.6906944444444445</v>
      </c>
      <c r="BA78" s="495">
        <f t="shared" ref="BA78:BA109" si="148">IF(BA$3&lt;&gt;"",$W78,0)+IF(BA$4&lt;&gt;"",$U78,0)+IF(BA$5&lt;&gt;"",$Z78+IF($S78&lt;&gt;"102",$V78,0),0)+IF(BA$6&lt;&gt;"",$AA78+IF($S78="102",$V78,0),0)+IF(BA$7&lt;&gt;"",$X78,0)</f>
        <v>10.212916666666667</v>
      </c>
      <c r="BB78" s="495">
        <f t="shared" ref="BB78:BB109" si="149">IF(BB$3&lt;&gt;"",$W78,0)+IF(BB$4&lt;&gt;"",$U78,0)+IF(BB$5&lt;&gt;"",$Z78+IF($S78&lt;&gt;"102",$V78,0),0)+IF(BB$6&lt;&gt;"",$AA78+IF($S78="102",$V78,0),0)+IF(BB$7&lt;&gt;"",$X78,0)</f>
        <v>26.810694444444444</v>
      </c>
      <c r="BC78" s="495">
        <f t="shared" ref="BC78:BC109" si="150">IF(BC$3&lt;&gt;"",$W78,0)+IF(BC$4&lt;&gt;"",$U78,0)+IF(BC$5&lt;&gt;"",$Z78+IF($S78&lt;&gt;"102",$V78,0),0)+IF(BC$6&lt;&gt;"",$AA78+IF($S78="102",$V78,0),0)+IF(BC$7&lt;&gt;"",$X78,0)</f>
        <v>32.332916666666662</v>
      </c>
      <c r="BD78" s="495">
        <f t="shared" ref="BD78:BD109" si="151">IF(BD$3&lt;&gt;"",$W78,0)+IF(BD$4&lt;&gt;"",$U78,0)+IF(BD$5&lt;&gt;"",$Z78+IF($S78&lt;&gt;"102",$V78,0),0)+IF(BD$6&lt;&gt;"",$AA78+IF($S78="102",$V78,0),0)+IF(BD$7&lt;&gt;"",$X78,0)</f>
        <v>22.971944444444446</v>
      </c>
      <c r="BE78" s="495">
        <f t="shared" ref="BE78:BE109" si="152">IF(BE$3&lt;&gt;"",$W78,0)+IF(BE$4&lt;&gt;"",$U78,0)+IF(BE$5&lt;&gt;"",$Z78+IF($S78&lt;&gt;"102",$V78,0),0)+IF(BE$6&lt;&gt;"",$AA78+IF($S78="102",$V78,0),0)+IF(BE$7&lt;&gt;"",$X78,0)</f>
        <v>28.494166666666668</v>
      </c>
      <c r="BF78" s="495">
        <f t="shared" ref="BF78:BF109" si="153">IF(BF$3&lt;&gt;"",$W78,0)+IF(BF$4&lt;&gt;"",$U78,0)+IF(BF$5&lt;&gt;"",$Z78+IF($S78&lt;&gt;"102",$V78,0),0)+IF(BF$6&lt;&gt;"",$AA78+IF($S78="102",$V78,0),0)+IF(BF$7&lt;&gt;"",$X78,0)</f>
        <v>45.091944444444451</v>
      </c>
      <c r="BG78" s="495">
        <f t="shared" ref="BG78:BG109" si="154">IF(BG$3&lt;&gt;"",$W78,0)+IF(BG$4&lt;&gt;"",$U78,0)+IF(BG$5&lt;&gt;"",$Z78+IF($S78&lt;&gt;"102",$V78,0),0)+IF(BG$6&lt;&gt;"",$AA78+IF($S78="102",$V78,0),0)+IF(BG$7&lt;&gt;"",$X78,0)</f>
        <v>50.614166666666677</v>
      </c>
    </row>
    <row r="79" spans="1:59">
      <c r="A79" s="465" t="s">
        <v>8443</v>
      </c>
      <c r="B79" s="483">
        <v>615858356</v>
      </c>
      <c r="C79" s="462" t="s">
        <v>8404</v>
      </c>
      <c r="D79" s="462">
        <v>105</v>
      </c>
      <c r="F79" s="491" t="str" cm="1">
        <f t="array" aca="1" ref="F79" ca="1">MID(met2utc(PEPSSI_Commanding[[#This Row],[MET]]),3,15)</f>
        <v>25-207/17:54:00</v>
      </c>
      <c r="G79" s="465" t="str">
        <f t="shared" si="105"/>
        <v>MAC+105</v>
      </c>
      <c r="H79" s="466">
        <f t="shared" si="106"/>
        <v>615857156</v>
      </c>
      <c r="I79" s="466">
        <f t="shared" si="107"/>
        <v>616807206</v>
      </c>
      <c r="J79" s="465">
        <f t="shared" si="108"/>
        <v>19</v>
      </c>
      <c r="K79" s="465">
        <f t="shared" si="109"/>
        <v>1</v>
      </c>
      <c r="M79" s="462">
        <f t="shared" si="110"/>
        <v>360</v>
      </c>
      <c r="N79" s="462">
        <f t="shared" si="111"/>
        <v>2</v>
      </c>
      <c r="O79" s="462">
        <f t="shared" si="112"/>
        <v>900</v>
      </c>
      <c r="P79" s="462">
        <f t="shared" si="113"/>
        <v>1800</v>
      </c>
      <c r="Q79" s="462" t="str">
        <f t="shared" si="114"/>
        <v/>
      </c>
      <c r="R79" s="462">
        <f t="shared" si="115"/>
        <v>300</v>
      </c>
      <c r="S79" s="462" t="str">
        <f t="shared" si="116"/>
        <v/>
      </c>
      <c r="U79" s="495">
        <f t="shared" si="117"/>
        <v>4.40625</v>
      </c>
      <c r="V79" s="495">
        <f t="shared" si="118"/>
        <v>18.28125</v>
      </c>
      <c r="W79" s="495">
        <f t="shared" si="119"/>
        <v>0.28444444444444444</v>
      </c>
      <c r="X79" s="495">
        <f t="shared" si="120"/>
        <v>5.5222222222222221</v>
      </c>
      <c r="Y79" s="495">
        <f t="shared" si="121"/>
        <v>665</v>
      </c>
      <c r="Z79" s="495">
        <f t="shared" si="122"/>
        <v>4.6180555555555554</v>
      </c>
      <c r="AA79" s="495">
        <f t="shared" si="123"/>
        <v>22.12</v>
      </c>
      <c r="AB79" s="496"/>
      <c r="AC79" s="495">
        <f t="shared" si="124"/>
        <v>5.5222222222222221</v>
      </c>
      <c r="AD79" s="495">
        <f t="shared" si="125"/>
        <v>22.12</v>
      </c>
      <c r="AE79" s="495">
        <f t="shared" si="126"/>
        <v>27.642222222222223</v>
      </c>
      <c r="AF79" s="495">
        <f t="shared" si="127"/>
        <v>22.899305555555557</v>
      </c>
      <c r="AG79" s="495">
        <f t="shared" si="128"/>
        <v>28.421527777777779</v>
      </c>
      <c r="AH79" s="495">
        <f t="shared" si="129"/>
        <v>45.019305555555562</v>
      </c>
      <c r="AI79" s="495">
        <f t="shared" si="130"/>
        <v>50.541527777777787</v>
      </c>
      <c r="AJ79" s="495">
        <f t="shared" si="131"/>
        <v>4.40625</v>
      </c>
      <c r="AK79" s="495">
        <f t="shared" si="132"/>
        <v>9.9284722222222221</v>
      </c>
      <c r="AL79" s="495">
        <f t="shared" si="133"/>
        <v>26.526250000000001</v>
      </c>
      <c r="AM79" s="495">
        <f t="shared" si="134"/>
        <v>32.048472222222223</v>
      </c>
      <c r="AN79" s="495">
        <f t="shared" si="135"/>
        <v>27.305555555555557</v>
      </c>
      <c r="AO79" s="495">
        <f t="shared" si="136"/>
        <v>32.827777777777783</v>
      </c>
      <c r="AP79" s="495">
        <f t="shared" si="137"/>
        <v>49.425555555555562</v>
      </c>
      <c r="AQ79" s="495">
        <f t="shared" si="138"/>
        <v>54.947777777777787</v>
      </c>
      <c r="AR79" s="495">
        <f t="shared" si="139"/>
        <v>0.28444444444444444</v>
      </c>
      <c r="AS79" s="495">
        <f t="shared" si="140"/>
        <v>5.8066666666666666</v>
      </c>
      <c r="AT79" s="495">
        <f t="shared" si="141"/>
        <v>22.404444444444444</v>
      </c>
      <c r="AU79" s="495">
        <f t="shared" si="142"/>
        <v>27.926666666666666</v>
      </c>
      <c r="AV79" s="495">
        <f t="shared" si="143"/>
        <v>23.18375</v>
      </c>
      <c r="AW79" s="495">
        <f t="shared" si="144"/>
        <v>28.705972222222222</v>
      </c>
      <c r="AX79" s="495">
        <f t="shared" si="145"/>
        <v>45.303750000000001</v>
      </c>
      <c r="AY79" s="495">
        <f t="shared" si="146"/>
        <v>50.825972222222219</v>
      </c>
      <c r="AZ79" s="495">
        <f t="shared" si="147"/>
        <v>4.6906944444444445</v>
      </c>
      <c r="BA79" s="495">
        <f t="shared" si="148"/>
        <v>10.212916666666667</v>
      </c>
      <c r="BB79" s="495">
        <f t="shared" si="149"/>
        <v>26.810694444444444</v>
      </c>
      <c r="BC79" s="495">
        <f t="shared" si="150"/>
        <v>32.332916666666662</v>
      </c>
      <c r="BD79" s="495">
        <f t="shared" si="151"/>
        <v>27.590000000000003</v>
      </c>
      <c r="BE79" s="495">
        <f t="shared" si="152"/>
        <v>33.112222222222229</v>
      </c>
      <c r="BF79" s="495">
        <f t="shared" si="153"/>
        <v>49.710000000000008</v>
      </c>
      <c r="BG79" s="495">
        <f t="shared" si="154"/>
        <v>55.232222222222234</v>
      </c>
    </row>
    <row r="80" spans="1:59">
      <c r="A80" s="465" t="s">
        <v>8441</v>
      </c>
      <c r="B80" s="483">
        <v>616807206</v>
      </c>
      <c r="C80" s="462" t="s">
        <v>8461</v>
      </c>
      <c r="F80" s="491" t="str" cm="1">
        <f t="array" aca="1" ref="F80" ca="1">MID(met2utc(PEPSSI_Commanding[[#This Row],[MET]]),3,15)</f>
        <v>25-218/17:28:10</v>
      </c>
      <c r="G80" s="465" t="str">
        <f t="shared" si="105"/>
        <v>OFF</v>
      </c>
      <c r="H80" s="466">
        <f t="shared" si="106"/>
        <v>615857156</v>
      </c>
      <c r="I80" s="466">
        <f t="shared" si="107"/>
        <v>616807206</v>
      </c>
      <c r="J80" s="465">
        <f t="shared" si="108"/>
        <v>20</v>
      </c>
      <c r="K80" s="465">
        <f t="shared" si="109"/>
        <v>0</v>
      </c>
      <c r="M80" s="462">
        <f t="shared" si="110"/>
        <v>360</v>
      </c>
      <c r="N80" s="462">
        <f t="shared" si="111"/>
        <v>2</v>
      </c>
      <c r="O80" s="462">
        <f t="shared" si="112"/>
        <v>900</v>
      </c>
      <c r="P80" s="462">
        <f t="shared" si="113"/>
        <v>1800</v>
      </c>
      <c r="Q80" s="462" t="str">
        <f t="shared" si="114"/>
        <v/>
      </c>
      <c r="R80" s="462">
        <f t="shared" si="115"/>
        <v>300</v>
      </c>
      <c r="S80" s="462" t="str">
        <f t="shared" si="116"/>
        <v/>
      </c>
      <c r="U80" s="495">
        <f t="shared" si="117"/>
        <v>4.40625</v>
      </c>
      <c r="V80" s="495">
        <f t="shared" si="118"/>
        <v>18.28125</v>
      </c>
      <c r="W80" s="495">
        <f t="shared" si="119"/>
        <v>0.28444444444444444</v>
      </c>
      <c r="X80" s="495">
        <f t="shared" si="120"/>
        <v>5.5222222222222221</v>
      </c>
      <c r="Y80" s="495">
        <f t="shared" si="121"/>
        <v>665</v>
      </c>
      <c r="Z80" s="495">
        <f t="shared" si="122"/>
        <v>4.6180555555555554</v>
      </c>
      <c r="AA80" s="495">
        <f t="shared" si="123"/>
        <v>22.12</v>
      </c>
      <c r="AB80" s="496"/>
      <c r="AC80" s="495">
        <f t="shared" si="124"/>
        <v>5.5222222222222221</v>
      </c>
      <c r="AD80" s="495">
        <f t="shared" si="125"/>
        <v>22.12</v>
      </c>
      <c r="AE80" s="495">
        <f t="shared" si="126"/>
        <v>27.642222222222223</v>
      </c>
      <c r="AF80" s="495">
        <f t="shared" si="127"/>
        <v>22.899305555555557</v>
      </c>
      <c r="AG80" s="495">
        <f t="shared" si="128"/>
        <v>28.421527777777779</v>
      </c>
      <c r="AH80" s="495">
        <f t="shared" si="129"/>
        <v>45.019305555555562</v>
      </c>
      <c r="AI80" s="495">
        <f t="shared" si="130"/>
        <v>50.541527777777787</v>
      </c>
      <c r="AJ80" s="495">
        <f t="shared" si="131"/>
        <v>4.40625</v>
      </c>
      <c r="AK80" s="495">
        <f t="shared" si="132"/>
        <v>9.9284722222222221</v>
      </c>
      <c r="AL80" s="495">
        <f t="shared" si="133"/>
        <v>26.526250000000001</v>
      </c>
      <c r="AM80" s="495">
        <f t="shared" si="134"/>
        <v>32.048472222222223</v>
      </c>
      <c r="AN80" s="495">
        <f t="shared" si="135"/>
        <v>27.305555555555557</v>
      </c>
      <c r="AO80" s="495">
        <f t="shared" si="136"/>
        <v>32.827777777777783</v>
      </c>
      <c r="AP80" s="495">
        <f t="shared" si="137"/>
        <v>49.425555555555562</v>
      </c>
      <c r="AQ80" s="495">
        <f t="shared" si="138"/>
        <v>54.947777777777787</v>
      </c>
      <c r="AR80" s="495">
        <f t="shared" si="139"/>
        <v>0.28444444444444444</v>
      </c>
      <c r="AS80" s="495">
        <f t="shared" si="140"/>
        <v>5.8066666666666666</v>
      </c>
      <c r="AT80" s="495">
        <f t="shared" si="141"/>
        <v>22.404444444444444</v>
      </c>
      <c r="AU80" s="495">
        <f t="shared" si="142"/>
        <v>27.926666666666666</v>
      </c>
      <c r="AV80" s="495">
        <f t="shared" si="143"/>
        <v>23.18375</v>
      </c>
      <c r="AW80" s="495">
        <f t="shared" si="144"/>
        <v>28.705972222222222</v>
      </c>
      <c r="AX80" s="495">
        <f t="shared" si="145"/>
        <v>45.303750000000001</v>
      </c>
      <c r="AY80" s="495">
        <f t="shared" si="146"/>
        <v>50.825972222222219</v>
      </c>
      <c r="AZ80" s="495">
        <f t="shared" si="147"/>
        <v>4.6906944444444445</v>
      </c>
      <c r="BA80" s="495">
        <f t="shared" si="148"/>
        <v>10.212916666666667</v>
      </c>
      <c r="BB80" s="495">
        <f t="shared" si="149"/>
        <v>26.810694444444444</v>
      </c>
      <c r="BC80" s="495">
        <f t="shared" si="150"/>
        <v>32.332916666666662</v>
      </c>
      <c r="BD80" s="495">
        <f t="shared" si="151"/>
        <v>27.590000000000003</v>
      </c>
      <c r="BE80" s="495">
        <f t="shared" si="152"/>
        <v>33.112222222222229</v>
      </c>
      <c r="BF80" s="495">
        <f t="shared" si="153"/>
        <v>49.710000000000008</v>
      </c>
      <c r="BG80" s="495">
        <f t="shared" si="154"/>
        <v>55.232222222222234</v>
      </c>
    </row>
    <row r="81" spans="1:59">
      <c r="A81" s="465" t="s">
        <v>8441</v>
      </c>
      <c r="B81" s="483">
        <v>616843136</v>
      </c>
      <c r="C81" s="462" t="s">
        <v>1148</v>
      </c>
      <c r="F81" s="491" t="str" cm="1">
        <f t="array" aca="1" ref="F81" ca="1">MID(met2utc(PEPSSI_Commanding[[#This Row],[MET]]),3,15)</f>
        <v>25-219/03:27:00</v>
      </c>
      <c r="G81" s="465" t="str">
        <f t="shared" si="105"/>
        <v>ON</v>
      </c>
      <c r="H81" s="466">
        <f t="shared" si="106"/>
        <v>616843136</v>
      </c>
      <c r="I81" s="466">
        <f t="shared" si="107"/>
        <v>616844816</v>
      </c>
      <c r="J81" s="465">
        <f t="shared" si="108"/>
        <v>0</v>
      </c>
      <c r="K81" s="465">
        <f t="shared" si="109"/>
        <v>10</v>
      </c>
      <c r="M81" s="462" t="str">
        <f t="shared" si="110"/>
        <v/>
      </c>
      <c r="N81" s="462" t="str">
        <f t="shared" si="111"/>
        <v/>
      </c>
      <c r="O81" s="462" t="str">
        <f t="shared" si="112"/>
        <v/>
      </c>
      <c r="P81" s="462" t="str">
        <f t="shared" si="113"/>
        <v/>
      </c>
      <c r="Q81" s="462" t="str">
        <f t="shared" si="114"/>
        <v/>
      </c>
      <c r="R81" s="462" t="str">
        <f t="shared" si="115"/>
        <v/>
      </c>
      <c r="S81" s="462" t="str">
        <f t="shared" si="116"/>
        <v/>
      </c>
      <c r="U81" s="495">
        <f t="shared" si="117"/>
        <v>0</v>
      </c>
      <c r="V81" s="495">
        <f t="shared" si="118"/>
        <v>0</v>
      </c>
      <c r="W81" s="495">
        <f t="shared" si="119"/>
        <v>0</v>
      </c>
      <c r="X81" s="495">
        <f t="shared" si="120"/>
        <v>0</v>
      </c>
      <c r="Y81" s="495">
        <f t="shared" si="121"/>
        <v>0</v>
      </c>
      <c r="Z81" s="495">
        <f t="shared" si="122"/>
        <v>0</v>
      </c>
      <c r="AA81" s="495">
        <f t="shared" si="123"/>
        <v>0</v>
      </c>
      <c r="AB81" s="496"/>
      <c r="AC81" s="495">
        <f t="shared" si="124"/>
        <v>0</v>
      </c>
      <c r="AD81" s="495">
        <f t="shared" si="125"/>
        <v>0</v>
      </c>
      <c r="AE81" s="495">
        <f t="shared" si="126"/>
        <v>0</v>
      </c>
      <c r="AF81" s="495">
        <f t="shared" si="127"/>
        <v>0</v>
      </c>
      <c r="AG81" s="495">
        <f t="shared" si="128"/>
        <v>0</v>
      </c>
      <c r="AH81" s="495">
        <f t="shared" si="129"/>
        <v>0</v>
      </c>
      <c r="AI81" s="495">
        <f t="shared" si="130"/>
        <v>0</v>
      </c>
      <c r="AJ81" s="495">
        <f t="shared" si="131"/>
        <v>0</v>
      </c>
      <c r="AK81" s="495">
        <f t="shared" si="132"/>
        <v>0</v>
      </c>
      <c r="AL81" s="495">
        <f t="shared" si="133"/>
        <v>0</v>
      </c>
      <c r="AM81" s="495">
        <f t="shared" si="134"/>
        <v>0</v>
      </c>
      <c r="AN81" s="495">
        <f t="shared" si="135"/>
        <v>0</v>
      </c>
      <c r="AO81" s="495">
        <f t="shared" si="136"/>
        <v>0</v>
      </c>
      <c r="AP81" s="495">
        <f t="shared" si="137"/>
        <v>0</v>
      </c>
      <c r="AQ81" s="495">
        <f t="shared" si="138"/>
        <v>0</v>
      </c>
      <c r="AR81" s="495">
        <f t="shared" si="139"/>
        <v>0</v>
      </c>
      <c r="AS81" s="495">
        <f t="shared" si="140"/>
        <v>0</v>
      </c>
      <c r="AT81" s="495">
        <f t="shared" si="141"/>
        <v>0</v>
      </c>
      <c r="AU81" s="495">
        <f t="shared" si="142"/>
        <v>0</v>
      </c>
      <c r="AV81" s="495">
        <f t="shared" si="143"/>
        <v>0</v>
      </c>
      <c r="AW81" s="495">
        <f t="shared" si="144"/>
        <v>0</v>
      </c>
      <c r="AX81" s="495">
        <f t="shared" si="145"/>
        <v>0</v>
      </c>
      <c r="AY81" s="495">
        <f t="shared" si="146"/>
        <v>0</v>
      </c>
      <c r="AZ81" s="495">
        <f t="shared" si="147"/>
        <v>0</v>
      </c>
      <c r="BA81" s="495">
        <f t="shared" si="148"/>
        <v>0</v>
      </c>
      <c r="BB81" s="495">
        <f t="shared" si="149"/>
        <v>0</v>
      </c>
      <c r="BC81" s="495">
        <f t="shared" si="150"/>
        <v>0</v>
      </c>
      <c r="BD81" s="495">
        <f t="shared" si="151"/>
        <v>0</v>
      </c>
      <c r="BE81" s="495">
        <f t="shared" si="152"/>
        <v>0</v>
      </c>
      <c r="BF81" s="495">
        <f t="shared" si="153"/>
        <v>0</v>
      </c>
      <c r="BG81" s="495">
        <f t="shared" si="154"/>
        <v>0</v>
      </c>
    </row>
    <row r="82" spans="1:59">
      <c r="A82" s="465" t="s">
        <v>8443</v>
      </c>
      <c r="B82" s="483">
        <v>616843181</v>
      </c>
      <c r="C82" s="462" t="s">
        <v>8404</v>
      </c>
      <c r="D82" s="462">
        <v>10</v>
      </c>
      <c r="F82" s="491" t="str" cm="1">
        <f t="array" aca="1" ref="F82" ca="1">MID(met2utc(PEPSSI_Commanding[[#This Row],[MET]]),3,15)</f>
        <v>25-219/03:27:45</v>
      </c>
      <c r="G82" s="465" t="str">
        <f t="shared" si="105"/>
        <v>MAC+10</v>
      </c>
      <c r="H82" s="466">
        <f t="shared" si="106"/>
        <v>616843136</v>
      </c>
      <c r="I82" s="466">
        <f t="shared" si="107"/>
        <v>616844816</v>
      </c>
      <c r="J82" s="465">
        <f t="shared" si="108"/>
        <v>1</v>
      </c>
      <c r="K82" s="465">
        <f t="shared" si="109"/>
        <v>9</v>
      </c>
      <c r="M82" s="462" t="str">
        <f t="shared" si="110"/>
        <v/>
      </c>
      <c r="N82" s="462" t="str">
        <f t="shared" si="111"/>
        <v/>
      </c>
      <c r="O82" s="462" t="str">
        <f t="shared" si="112"/>
        <v/>
      </c>
      <c r="P82" s="462" t="str">
        <f t="shared" si="113"/>
        <v/>
      </c>
      <c r="Q82" s="462" t="str">
        <f t="shared" si="114"/>
        <v/>
      </c>
      <c r="R82" s="462" t="str">
        <f t="shared" si="115"/>
        <v/>
      </c>
      <c r="S82" s="462" t="str">
        <f t="shared" si="116"/>
        <v/>
      </c>
      <c r="U82" s="495">
        <f t="shared" si="117"/>
        <v>0</v>
      </c>
      <c r="V82" s="495">
        <f t="shared" si="118"/>
        <v>0</v>
      </c>
      <c r="W82" s="495">
        <f t="shared" si="119"/>
        <v>0</v>
      </c>
      <c r="X82" s="495">
        <f t="shared" si="120"/>
        <v>0</v>
      </c>
      <c r="Y82" s="495">
        <f t="shared" si="121"/>
        <v>0</v>
      </c>
      <c r="Z82" s="495">
        <f t="shared" si="122"/>
        <v>0</v>
      </c>
      <c r="AA82" s="495">
        <f t="shared" si="123"/>
        <v>0</v>
      </c>
      <c r="AB82" s="496"/>
      <c r="AC82" s="495">
        <f t="shared" si="124"/>
        <v>0</v>
      </c>
      <c r="AD82" s="495">
        <f t="shared" si="125"/>
        <v>0</v>
      </c>
      <c r="AE82" s="495">
        <f t="shared" si="126"/>
        <v>0</v>
      </c>
      <c r="AF82" s="495">
        <f t="shared" si="127"/>
        <v>0</v>
      </c>
      <c r="AG82" s="495">
        <f t="shared" si="128"/>
        <v>0</v>
      </c>
      <c r="AH82" s="495">
        <f t="shared" si="129"/>
        <v>0</v>
      </c>
      <c r="AI82" s="495">
        <f t="shared" si="130"/>
        <v>0</v>
      </c>
      <c r="AJ82" s="495">
        <f t="shared" si="131"/>
        <v>0</v>
      </c>
      <c r="AK82" s="495">
        <f t="shared" si="132"/>
        <v>0</v>
      </c>
      <c r="AL82" s="495">
        <f t="shared" si="133"/>
        <v>0</v>
      </c>
      <c r="AM82" s="495">
        <f t="shared" si="134"/>
        <v>0</v>
      </c>
      <c r="AN82" s="495">
        <f t="shared" si="135"/>
        <v>0</v>
      </c>
      <c r="AO82" s="495">
        <f t="shared" si="136"/>
        <v>0</v>
      </c>
      <c r="AP82" s="495">
        <f t="shared" si="137"/>
        <v>0</v>
      </c>
      <c r="AQ82" s="495">
        <f t="shared" si="138"/>
        <v>0</v>
      </c>
      <c r="AR82" s="495">
        <f t="shared" si="139"/>
        <v>0</v>
      </c>
      <c r="AS82" s="495">
        <f t="shared" si="140"/>
        <v>0</v>
      </c>
      <c r="AT82" s="495">
        <f t="shared" si="141"/>
        <v>0</v>
      </c>
      <c r="AU82" s="495">
        <f t="shared" si="142"/>
        <v>0</v>
      </c>
      <c r="AV82" s="495">
        <f t="shared" si="143"/>
        <v>0</v>
      </c>
      <c r="AW82" s="495">
        <f t="shared" si="144"/>
        <v>0</v>
      </c>
      <c r="AX82" s="495">
        <f t="shared" si="145"/>
        <v>0</v>
      </c>
      <c r="AY82" s="495">
        <f t="shared" si="146"/>
        <v>0</v>
      </c>
      <c r="AZ82" s="495">
        <f t="shared" si="147"/>
        <v>0</v>
      </c>
      <c r="BA82" s="495">
        <f t="shared" si="148"/>
        <v>0</v>
      </c>
      <c r="BB82" s="495">
        <f t="shared" si="149"/>
        <v>0</v>
      </c>
      <c r="BC82" s="495">
        <f t="shared" si="150"/>
        <v>0</v>
      </c>
      <c r="BD82" s="495">
        <f t="shared" si="151"/>
        <v>0</v>
      </c>
      <c r="BE82" s="495">
        <f t="shared" si="152"/>
        <v>0</v>
      </c>
      <c r="BF82" s="495">
        <f t="shared" si="153"/>
        <v>0</v>
      </c>
      <c r="BG82" s="495">
        <f t="shared" si="154"/>
        <v>0</v>
      </c>
    </row>
    <row r="83" spans="1:59">
      <c r="A83" s="465" t="s">
        <v>8445</v>
      </c>
      <c r="B83" s="483">
        <v>616843181</v>
      </c>
      <c r="C83" s="462" t="s">
        <v>776</v>
      </c>
      <c r="D83" s="462">
        <v>10</v>
      </c>
      <c r="F83" s="491" t="str" cm="1">
        <f t="array" aca="1" ref="F83" ca="1">MID(met2utc(PEPSSI_Commanding[[#This Row],[MET]]),3,15)</f>
        <v>25-219/03:27:45</v>
      </c>
      <c r="G83" s="465" t="str">
        <f t="shared" si="105"/>
        <v>N2+10</v>
      </c>
      <c r="H83" s="466">
        <f t="shared" si="106"/>
        <v>616843136</v>
      </c>
      <c r="I83" s="466">
        <f t="shared" si="107"/>
        <v>616844816</v>
      </c>
      <c r="J83" s="465">
        <f t="shared" si="108"/>
        <v>2</v>
      </c>
      <c r="K83" s="465">
        <f t="shared" si="109"/>
        <v>8</v>
      </c>
      <c r="M83" s="462" t="str">
        <f t="shared" si="110"/>
        <v/>
      </c>
      <c r="N83" s="462">
        <f t="shared" si="111"/>
        <v>10</v>
      </c>
      <c r="O83" s="462" t="str">
        <f t="shared" si="112"/>
        <v/>
      </c>
      <c r="P83" s="462" t="str">
        <f t="shared" si="113"/>
        <v/>
      </c>
      <c r="Q83" s="462" t="str">
        <f t="shared" si="114"/>
        <v/>
      </c>
      <c r="R83" s="462" t="str">
        <f t="shared" si="115"/>
        <v/>
      </c>
      <c r="S83" s="462" t="str">
        <f t="shared" si="116"/>
        <v/>
      </c>
      <c r="U83" s="495">
        <f t="shared" si="117"/>
        <v>0.88124999999999998</v>
      </c>
      <c r="V83" s="495">
        <f t="shared" si="118"/>
        <v>3.65625</v>
      </c>
      <c r="W83" s="495">
        <f t="shared" si="119"/>
        <v>0</v>
      </c>
      <c r="X83" s="495">
        <f t="shared" si="120"/>
        <v>0</v>
      </c>
      <c r="Y83" s="495">
        <f t="shared" si="121"/>
        <v>133</v>
      </c>
      <c r="Z83" s="495">
        <f t="shared" si="122"/>
        <v>133</v>
      </c>
      <c r="AA83" s="495">
        <f t="shared" si="123"/>
        <v>0</v>
      </c>
      <c r="AB83" s="496"/>
      <c r="AC83" s="495">
        <f t="shared" si="124"/>
        <v>0</v>
      </c>
      <c r="AD83" s="495">
        <f t="shared" si="125"/>
        <v>0</v>
      </c>
      <c r="AE83" s="495">
        <f t="shared" si="126"/>
        <v>0</v>
      </c>
      <c r="AF83" s="495">
        <f t="shared" si="127"/>
        <v>136.65625</v>
      </c>
      <c r="AG83" s="495">
        <f t="shared" si="128"/>
        <v>136.65625</v>
      </c>
      <c r="AH83" s="495">
        <f t="shared" si="129"/>
        <v>136.65625</v>
      </c>
      <c r="AI83" s="495">
        <f t="shared" si="130"/>
        <v>136.65625</v>
      </c>
      <c r="AJ83" s="495">
        <f t="shared" si="131"/>
        <v>0.88124999999999998</v>
      </c>
      <c r="AK83" s="495">
        <f t="shared" si="132"/>
        <v>0.88124999999999998</v>
      </c>
      <c r="AL83" s="495">
        <f t="shared" si="133"/>
        <v>0.88124999999999998</v>
      </c>
      <c r="AM83" s="495">
        <f t="shared" si="134"/>
        <v>0.88124999999999998</v>
      </c>
      <c r="AN83" s="495">
        <f t="shared" si="135"/>
        <v>137.53749999999999</v>
      </c>
      <c r="AO83" s="495">
        <f t="shared" si="136"/>
        <v>137.53749999999999</v>
      </c>
      <c r="AP83" s="495">
        <f t="shared" si="137"/>
        <v>137.53749999999999</v>
      </c>
      <c r="AQ83" s="495">
        <f t="shared" si="138"/>
        <v>137.53749999999999</v>
      </c>
      <c r="AR83" s="495">
        <f t="shared" si="139"/>
        <v>0</v>
      </c>
      <c r="AS83" s="495">
        <f t="shared" si="140"/>
        <v>0</v>
      </c>
      <c r="AT83" s="495">
        <f t="shared" si="141"/>
        <v>0</v>
      </c>
      <c r="AU83" s="495">
        <f t="shared" si="142"/>
        <v>0</v>
      </c>
      <c r="AV83" s="495">
        <f t="shared" si="143"/>
        <v>136.65625</v>
      </c>
      <c r="AW83" s="495">
        <f t="shared" si="144"/>
        <v>136.65625</v>
      </c>
      <c r="AX83" s="495">
        <f t="shared" si="145"/>
        <v>136.65625</v>
      </c>
      <c r="AY83" s="495">
        <f t="shared" si="146"/>
        <v>136.65625</v>
      </c>
      <c r="AZ83" s="495">
        <f t="shared" si="147"/>
        <v>0.88124999999999998</v>
      </c>
      <c r="BA83" s="495">
        <f t="shared" si="148"/>
        <v>0.88124999999999998</v>
      </c>
      <c r="BB83" s="495">
        <f t="shared" si="149"/>
        <v>0.88124999999999998</v>
      </c>
      <c r="BC83" s="495">
        <f t="shared" si="150"/>
        <v>0.88124999999999998</v>
      </c>
      <c r="BD83" s="495">
        <f t="shared" si="151"/>
        <v>137.53749999999999</v>
      </c>
      <c r="BE83" s="495">
        <f t="shared" si="152"/>
        <v>137.53749999999999</v>
      </c>
      <c r="BF83" s="495">
        <f t="shared" si="153"/>
        <v>137.53749999999999</v>
      </c>
      <c r="BG83" s="495">
        <f t="shared" si="154"/>
        <v>137.53749999999999</v>
      </c>
    </row>
    <row r="84" spans="1:59">
      <c r="A84" s="465" t="s">
        <v>8445</v>
      </c>
      <c r="B84" s="483">
        <v>616843182</v>
      </c>
      <c r="C84" s="462" t="s">
        <v>773</v>
      </c>
      <c r="D84" s="462">
        <v>300</v>
      </c>
      <c r="F84" s="491" t="str" cm="1">
        <f t="array" aca="1" ref="F84" ca="1">MID(met2utc(PEPSSI_Commanding[[#This Row],[MET]]),3,15)</f>
        <v>25-219/03:27:46</v>
      </c>
      <c r="G84" s="465" t="str">
        <f t="shared" si="105"/>
        <v>N3+300</v>
      </c>
      <c r="H84" s="466">
        <f t="shared" si="106"/>
        <v>616843136</v>
      </c>
      <c r="I84" s="466">
        <f t="shared" si="107"/>
        <v>616844816</v>
      </c>
      <c r="J84" s="465">
        <f t="shared" si="108"/>
        <v>3</v>
      </c>
      <c r="K84" s="465">
        <f t="shared" si="109"/>
        <v>7</v>
      </c>
      <c r="M84" s="462" t="str">
        <f t="shared" si="110"/>
        <v/>
      </c>
      <c r="N84" s="462">
        <f t="shared" si="111"/>
        <v>10</v>
      </c>
      <c r="O84" s="462">
        <f t="shared" si="112"/>
        <v>300</v>
      </c>
      <c r="P84" s="462" t="str">
        <f t="shared" si="113"/>
        <v/>
      </c>
      <c r="Q84" s="462" t="str">
        <f t="shared" si="114"/>
        <v/>
      </c>
      <c r="R84" s="462" t="str">
        <f t="shared" si="115"/>
        <v/>
      </c>
      <c r="S84" s="462" t="str">
        <f t="shared" si="116"/>
        <v/>
      </c>
      <c r="U84" s="495">
        <f t="shared" si="117"/>
        <v>0.88124999999999998</v>
      </c>
      <c r="V84" s="495">
        <f t="shared" si="118"/>
        <v>3.65625</v>
      </c>
      <c r="W84" s="495">
        <f t="shared" si="119"/>
        <v>0</v>
      </c>
      <c r="X84" s="495">
        <f t="shared" si="120"/>
        <v>0</v>
      </c>
      <c r="Y84" s="495">
        <f t="shared" si="121"/>
        <v>133</v>
      </c>
      <c r="Z84" s="495">
        <f t="shared" si="122"/>
        <v>133</v>
      </c>
      <c r="AA84" s="495">
        <f t="shared" si="123"/>
        <v>66.36</v>
      </c>
      <c r="AB84" s="496"/>
      <c r="AC84" s="495">
        <f t="shared" si="124"/>
        <v>0</v>
      </c>
      <c r="AD84" s="495">
        <f t="shared" si="125"/>
        <v>66.36</v>
      </c>
      <c r="AE84" s="495">
        <f t="shared" si="126"/>
        <v>66.36</v>
      </c>
      <c r="AF84" s="495">
        <f t="shared" si="127"/>
        <v>136.65625</v>
      </c>
      <c r="AG84" s="495">
        <f t="shared" si="128"/>
        <v>136.65625</v>
      </c>
      <c r="AH84" s="495">
        <f t="shared" si="129"/>
        <v>203.01625000000001</v>
      </c>
      <c r="AI84" s="495">
        <f t="shared" si="130"/>
        <v>203.01625000000001</v>
      </c>
      <c r="AJ84" s="495">
        <f t="shared" si="131"/>
        <v>0.88124999999999998</v>
      </c>
      <c r="AK84" s="495">
        <f t="shared" si="132"/>
        <v>0.88124999999999998</v>
      </c>
      <c r="AL84" s="495">
        <f t="shared" si="133"/>
        <v>67.241249999999994</v>
      </c>
      <c r="AM84" s="495">
        <f t="shared" si="134"/>
        <v>67.241249999999994</v>
      </c>
      <c r="AN84" s="495">
        <f t="shared" si="135"/>
        <v>137.53749999999999</v>
      </c>
      <c r="AO84" s="495">
        <f t="shared" si="136"/>
        <v>137.53749999999999</v>
      </c>
      <c r="AP84" s="495">
        <f t="shared" si="137"/>
        <v>203.89749999999998</v>
      </c>
      <c r="AQ84" s="495">
        <f t="shared" si="138"/>
        <v>203.89749999999998</v>
      </c>
      <c r="AR84" s="495">
        <f t="shared" si="139"/>
        <v>0</v>
      </c>
      <c r="AS84" s="495">
        <f t="shared" si="140"/>
        <v>0</v>
      </c>
      <c r="AT84" s="495">
        <f t="shared" si="141"/>
        <v>66.36</v>
      </c>
      <c r="AU84" s="495">
        <f t="shared" si="142"/>
        <v>66.36</v>
      </c>
      <c r="AV84" s="495">
        <f t="shared" si="143"/>
        <v>136.65625</v>
      </c>
      <c r="AW84" s="495">
        <f t="shared" si="144"/>
        <v>136.65625</v>
      </c>
      <c r="AX84" s="495">
        <f t="shared" si="145"/>
        <v>203.01625000000001</v>
      </c>
      <c r="AY84" s="495">
        <f t="shared" si="146"/>
        <v>203.01625000000001</v>
      </c>
      <c r="AZ84" s="495">
        <f t="shared" si="147"/>
        <v>0.88124999999999998</v>
      </c>
      <c r="BA84" s="495">
        <f t="shared" si="148"/>
        <v>0.88124999999999998</v>
      </c>
      <c r="BB84" s="495">
        <f t="shared" si="149"/>
        <v>67.241249999999994</v>
      </c>
      <c r="BC84" s="495">
        <f t="shared" si="150"/>
        <v>67.241249999999994</v>
      </c>
      <c r="BD84" s="495">
        <f t="shared" si="151"/>
        <v>137.53749999999999</v>
      </c>
      <c r="BE84" s="495">
        <f t="shared" si="152"/>
        <v>137.53749999999999</v>
      </c>
      <c r="BF84" s="495">
        <f t="shared" si="153"/>
        <v>203.89749999999998</v>
      </c>
      <c r="BG84" s="495">
        <f t="shared" si="154"/>
        <v>203.89749999999998</v>
      </c>
    </row>
    <row r="85" spans="1:59">
      <c r="A85" s="465" t="s">
        <v>8445</v>
      </c>
      <c r="B85" s="483">
        <v>616843183</v>
      </c>
      <c r="C85" s="462" t="s">
        <v>12</v>
      </c>
      <c r="D85" s="462">
        <v>10</v>
      </c>
      <c r="F85" s="491" t="str" cm="1">
        <f t="array" aca="1" ref="F85" ca="1">MID(met2utc(PEPSSI_Commanding[[#This Row],[MET]]),3,15)</f>
        <v>25-219/03:27:47</v>
      </c>
      <c r="G85" s="465" t="str">
        <f t="shared" si="105"/>
        <v>N1+10</v>
      </c>
      <c r="H85" s="466">
        <f t="shared" si="106"/>
        <v>616843136</v>
      </c>
      <c r="I85" s="466">
        <f t="shared" si="107"/>
        <v>616844816</v>
      </c>
      <c r="J85" s="465">
        <f t="shared" si="108"/>
        <v>4</v>
      </c>
      <c r="K85" s="465">
        <f t="shared" si="109"/>
        <v>6</v>
      </c>
      <c r="M85" s="462">
        <f t="shared" si="110"/>
        <v>10</v>
      </c>
      <c r="N85" s="462">
        <f t="shared" si="111"/>
        <v>10</v>
      </c>
      <c r="O85" s="462">
        <f t="shared" si="112"/>
        <v>300</v>
      </c>
      <c r="P85" s="462" t="str">
        <f t="shared" si="113"/>
        <v/>
      </c>
      <c r="Q85" s="462" t="str">
        <f t="shared" si="114"/>
        <v/>
      </c>
      <c r="R85" s="462" t="str">
        <f t="shared" si="115"/>
        <v/>
      </c>
      <c r="S85" s="462" t="str">
        <f t="shared" si="116"/>
        <v/>
      </c>
      <c r="U85" s="495">
        <f t="shared" si="117"/>
        <v>0.88124999999999998</v>
      </c>
      <c r="V85" s="495">
        <f t="shared" si="118"/>
        <v>3.65625</v>
      </c>
      <c r="W85" s="495">
        <f t="shared" si="119"/>
        <v>0</v>
      </c>
      <c r="X85" s="495">
        <f t="shared" si="120"/>
        <v>198.8</v>
      </c>
      <c r="Y85" s="495">
        <f t="shared" si="121"/>
        <v>133</v>
      </c>
      <c r="Z85" s="495">
        <f t="shared" si="122"/>
        <v>133</v>
      </c>
      <c r="AA85" s="495">
        <f t="shared" si="123"/>
        <v>66.36</v>
      </c>
      <c r="AB85" s="496"/>
      <c r="AC85" s="495">
        <f t="shared" si="124"/>
        <v>198.8</v>
      </c>
      <c r="AD85" s="495">
        <f t="shared" si="125"/>
        <v>66.36</v>
      </c>
      <c r="AE85" s="495">
        <f t="shared" si="126"/>
        <v>265.16000000000003</v>
      </c>
      <c r="AF85" s="495">
        <f t="shared" si="127"/>
        <v>136.65625</v>
      </c>
      <c r="AG85" s="495">
        <f t="shared" si="128"/>
        <v>335.45625000000001</v>
      </c>
      <c r="AH85" s="495">
        <f t="shared" si="129"/>
        <v>203.01625000000001</v>
      </c>
      <c r="AI85" s="495">
        <f t="shared" si="130"/>
        <v>401.81625000000003</v>
      </c>
      <c r="AJ85" s="495">
        <f t="shared" si="131"/>
        <v>0.88124999999999998</v>
      </c>
      <c r="AK85" s="495">
        <f t="shared" si="132"/>
        <v>199.68125000000001</v>
      </c>
      <c r="AL85" s="495">
        <f t="shared" si="133"/>
        <v>67.241249999999994</v>
      </c>
      <c r="AM85" s="495">
        <f t="shared" si="134"/>
        <v>266.04124999999999</v>
      </c>
      <c r="AN85" s="495">
        <f t="shared" si="135"/>
        <v>137.53749999999999</v>
      </c>
      <c r="AO85" s="495">
        <f t="shared" si="136"/>
        <v>336.33749999999998</v>
      </c>
      <c r="AP85" s="495">
        <f t="shared" si="137"/>
        <v>203.89749999999998</v>
      </c>
      <c r="AQ85" s="495">
        <f t="shared" si="138"/>
        <v>402.69749999999999</v>
      </c>
      <c r="AR85" s="495">
        <f t="shared" si="139"/>
        <v>0</v>
      </c>
      <c r="AS85" s="495">
        <f t="shared" si="140"/>
        <v>198.8</v>
      </c>
      <c r="AT85" s="495">
        <f t="shared" si="141"/>
        <v>66.36</v>
      </c>
      <c r="AU85" s="495">
        <f t="shared" si="142"/>
        <v>265.16000000000003</v>
      </c>
      <c r="AV85" s="495">
        <f t="shared" si="143"/>
        <v>136.65625</v>
      </c>
      <c r="AW85" s="495">
        <f t="shared" si="144"/>
        <v>335.45625000000001</v>
      </c>
      <c r="AX85" s="495">
        <f t="shared" si="145"/>
        <v>203.01625000000001</v>
      </c>
      <c r="AY85" s="495">
        <f t="shared" si="146"/>
        <v>401.81625000000003</v>
      </c>
      <c r="AZ85" s="495">
        <f t="shared" si="147"/>
        <v>0.88124999999999998</v>
      </c>
      <c r="BA85" s="495">
        <f t="shared" si="148"/>
        <v>199.68125000000001</v>
      </c>
      <c r="BB85" s="495">
        <f t="shared" si="149"/>
        <v>67.241249999999994</v>
      </c>
      <c r="BC85" s="495">
        <f t="shared" si="150"/>
        <v>266.04124999999999</v>
      </c>
      <c r="BD85" s="495">
        <f t="shared" si="151"/>
        <v>137.53749999999999</v>
      </c>
      <c r="BE85" s="495">
        <f t="shared" si="152"/>
        <v>336.33749999999998</v>
      </c>
      <c r="BF85" s="495">
        <f t="shared" si="153"/>
        <v>203.89749999999998</v>
      </c>
      <c r="BG85" s="495">
        <f t="shared" si="154"/>
        <v>402.69749999999999</v>
      </c>
    </row>
    <row r="86" spans="1:59">
      <c r="A86" s="465" t="s">
        <v>8447</v>
      </c>
      <c r="B86" s="483">
        <v>616843184</v>
      </c>
      <c r="C86" s="462" t="s">
        <v>8403</v>
      </c>
      <c r="D86" s="462">
        <v>1</v>
      </c>
      <c r="F86" s="491" t="str" cm="1">
        <f t="array" aca="1" ref="F86" ca="1">MID(met2utc(PEPSSI_Commanding[[#This Row],[MET]]),3,15)</f>
        <v>25-219/03:27:48</v>
      </c>
      <c r="G86" s="465" t="str">
        <f t="shared" si="105"/>
        <v>STAT+1</v>
      </c>
      <c r="H86" s="466">
        <f t="shared" si="106"/>
        <v>616843136</v>
      </c>
      <c r="I86" s="466">
        <f t="shared" si="107"/>
        <v>616844816</v>
      </c>
      <c r="J86" s="465">
        <f t="shared" si="108"/>
        <v>5</v>
      </c>
      <c r="K86" s="465">
        <f t="shared" si="109"/>
        <v>5</v>
      </c>
      <c r="M86" s="462">
        <f t="shared" si="110"/>
        <v>10</v>
      </c>
      <c r="N86" s="462">
        <f t="shared" si="111"/>
        <v>10</v>
      </c>
      <c r="O86" s="462">
        <f t="shared" si="112"/>
        <v>300</v>
      </c>
      <c r="P86" s="462">
        <f t="shared" si="113"/>
        <v>1</v>
      </c>
      <c r="Q86" s="462" t="str">
        <f t="shared" si="114"/>
        <v/>
      </c>
      <c r="R86" s="462" t="str">
        <f t="shared" si="115"/>
        <v/>
      </c>
      <c r="S86" s="462" t="str">
        <f t="shared" si="116"/>
        <v/>
      </c>
      <c r="U86" s="495">
        <f t="shared" si="117"/>
        <v>0.88124999999999998</v>
      </c>
      <c r="V86" s="495">
        <f t="shared" si="118"/>
        <v>3.65625</v>
      </c>
      <c r="W86" s="495">
        <f t="shared" si="119"/>
        <v>512</v>
      </c>
      <c r="X86" s="495">
        <f t="shared" si="120"/>
        <v>198.8</v>
      </c>
      <c r="Y86" s="495">
        <f t="shared" si="121"/>
        <v>133</v>
      </c>
      <c r="Z86" s="495">
        <f t="shared" si="122"/>
        <v>133</v>
      </c>
      <c r="AA86" s="495">
        <f t="shared" si="123"/>
        <v>66.36</v>
      </c>
      <c r="AB86" s="496"/>
      <c r="AC86" s="495">
        <f t="shared" si="124"/>
        <v>198.8</v>
      </c>
      <c r="AD86" s="495">
        <f t="shared" si="125"/>
        <v>66.36</v>
      </c>
      <c r="AE86" s="495">
        <f t="shared" si="126"/>
        <v>265.16000000000003</v>
      </c>
      <c r="AF86" s="495">
        <f t="shared" si="127"/>
        <v>136.65625</v>
      </c>
      <c r="AG86" s="495">
        <f t="shared" si="128"/>
        <v>335.45625000000001</v>
      </c>
      <c r="AH86" s="495">
        <f t="shared" si="129"/>
        <v>203.01625000000001</v>
      </c>
      <c r="AI86" s="495">
        <f t="shared" si="130"/>
        <v>401.81625000000003</v>
      </c>
      <c r="AJ86" s="495">
        <f t="shared" si="131"/>
        <v>0.88124999999999998</v>
      </c>
      <c r="AK86" s="495">
        <f t="shared" si="132"/>
        <v>199.68125000000001</v>
      </c>
      <c r="AL86" s="495">
        <f t="shared" si="133"/>
        <v>67.241249999999994</v>
      </c>
      <c r="AM86" s="495">
        <f t="shared" si="134"/>
        <v>266.04124999999999</v>
      </c>
      <c r="AN86" s="495">
        <f t="shared" si="135"/>
        <v>137.53749999999999</v>
      </c>
      <c r="AO86" s="495">
        <f t="shared" si="136"/>
        <v>336.33749999999998</v>
      </c>
      <c r="AP86" s="495">
        <f t="shared" si="137"/>
        <v>203.89749999999998</v>
      </c>
      <c r="AQ86" s="495">
        <f t="shared" si="138"/>
        <v>402.69749999999999</v>
      </c>
      <c r="AR86" s="495">
        <f t="shared" si="139"/>
        <v>512</v>
      </c>
      <c r="AS86" s="495">
        <f t="shared" si="140"/>
        <v>710.8</v>
      </c>
      <c r="AT86" s="495">
        <f t="shared" si="141"/>
        <v>578.36</v>
      </c>
      <c r="AU86" s="495">
        <f t="shared" si="142"/>
        <v>777.16000000000008</v>
      </c>
      <c r="AV86" s="495">
        <f t="shared" si="143"/>
        <v>648.65625</v>
      </c>
      <c r="AW86" s="495">
        <f t="shared" si="144"/>
        <v>847.45624999999995</v>
      </c>
      <c r="AX86" s="495">
        <f t="shared" si="145"/>
        <v>715.01625000000001</v>
      </c>
      <c r="AY86" s="495">
        <f t="shared" si="146"/>
        <v>913.81625000000008</v>
      </c>
      <c r="AZ86" s="495">
        <f t="shared" si="147"/>
        <v>512.88125000000002</v>
      </c>
      <c r="BA86" s="495">
        <f t="shared" si="148"/>
        <v>711.68125000000009</v>
      </c>
      <c r="BB86" s="495">
        <f t="shared" si="149"/>
        <v>579.24125000000004</v>
      </c>
      <c r="BC86" s="495">
        <f t="shared" si="150"/>
        <v>778.04124999999999</v>
      </c>
      <c r="BD86" s="495">
        <f t="shared" si="151"/>
        <v>649.53750000000002</v>
      </c>
      <c r="BE86" s="495">
        <f t="shared" si="152"/>
        <v>848.33750000000009</v>
      </c>
      <c r="BF86" s="495">
        <f t="shared" si="153"/>
        <v>715.89750000000004</v>
      </c>
      <c r="BG86" s="495">
        <f t="shared" si="154"/>
        <v>914.69749999999999</v>
      </c>
    </row>
    <row r="87" spans="1:59">
      <c r="A87" s="465" t="s">
        <v>8445</v>
      </c>
      <c r="B87" s="483">
        <v>616844667</v>
      </c>
      <c r="C87" s="462" t="s">
        <v>776</v>
      </c>
      <c r="D87" s="462">
        <v>40</v>
      </c>
      <c r="F87" s="491" t="str" cm="1">
        <f t="array" aca="1" ref="F87" ca="1">MID(met2utc(PEPSSI_Commanding[[#This Row],[MET]]),3,15)</f>
        <v>25-219/03:52:31</v>
      </c>
      <c r="G87" s="465" t="str">
        <f t="shared" si="105"/>
        <v>N2+40</v>
      </c>
      <c r="H87" s="466">
        <f t="shared" si="106"/>
        <v>616843136</v>
      </c>
      <c r="I87" s="466">
        <f t="shared" si="107"/>
        <v>616844816</v>
      </c>
      <c r="J87" s="465">
        <f t="shared" si="108"/>
        <v>6</v>
      </c>
      <c r="K87" s="465">
        <f t="shared" si="109"/>
        <v>4</v>
      </c>
      <c r="M87" s="462">
        <f t="shared" si="110"/>
        <v>10</v>
      </c>
      <c r="N87" s="462">
        <f t="shared" si="111"/>
        <v>40</v>
      </c>
      <c r="O87" s="462">
        <f t="shared" si="112"/>
        <v>300</v>
      </c>
      <c r="P87" s="462">
        <f t="shared" si="113"/>
        <v>1</v>
      </c>
      <c r="Q87" s="462" t="str">
        <f t="shared" si="114"/>
        <v/>
      </c>
      <c r="R87" s="462" t="str">
        <f t="shared" si="115"/>
        <v/>
      </c>
      <c r="S87" s="462" t="str">
        <f t="shared" si="116"/>
        <v/>
      </c>
      <c r="U87" s="495">
        <f t="shared" si="117"/>
        <v>0.22031249999999999</v>
      </c>
      <c r="V87" s="495">
        <f t="shared" si="118"/>
        <v>0.9140625</v>
      </c>
      <c r="W87" s="495">
        <f t="shared" si="119"/>
        <v>512</v>
      </c>
      <c r="X87" s="495">
        <f t="shared" si="120"/>
        <v>198.8</v>
      </c>
      <c r="Y87" s="495">
        <f t="shared" si="121"/>
        <v>33.25</v>
      </c>
      <c r="Z87" s="495">
        <f t="shared" si="122"/>
        <v>33.25</v>
      </c>
      <c r="AA87" s="495">
        <f t="shared" si="123"/>
        <v>66.36</v>
      </c>
      <c r="AB87" s="496"/>
      <c r="AC87" s="495">
        <f t="shared" si="124"/>
        <v>198.8</v>
      </c>
      <c r="AD87" s="495">
        <f t="shared" si="125"/>
        <v>66.36</v>
      </c>
      <c r="AE87" s="495">
        <f t="shared" si="126"/>
        <v>265.16000000000003</v>
      </c>
      <c r="AF87" s="495">
        <f t="shared" si="127"/>
        <v>34.1640625</v>
      </c>
      <c r="AG87" s="495">
        <f t="shared" si="128"/>
        <v>232.96406250000001</v>
      </c>
      <c r="AH87" s="495">
        <f t="shared" si="129"/>
        <v>100.5240625</v>
      </c>
      <c r="AI87" s="495">
        <f t="shared" si="130"/>
        <v>299.32406250000003</v>
      </c>
      <c r="AJ87" s="495">
        <f t="shared" si="131"/>
        <v>0.22031249999999999</v>
      </c>
      <c r="AK87" s="495">
        <f t="shared" si="132"/>
        <v>199.02031250000002</v>
      </c>
      <c r="AL87" s="495">
        <f t="shared" si="133"/>
        <v>66.580312500000005</v>
      </c>
      <c r="AM87" s="495">
        <f t="shared" si="134"/>
        <v>265.3803125</v>
      </c>
      <c r="AN87" s="495">
        <f t="shared" si="135"/>
        <v>34.384374999999999</v>
      </c>
      <c r="AO87" s="495">
        <f t="shared" si="136"/>
        <v>233.18437500000002</v>
      </c>
      <c r="AP87" s="495">
        <f t="shared" si="137"/>
        <v>100.74437499999999</v>
      </c>
      <c r="AQ87" s="495">
        <f t="shared" si="138"/>
        <v>299.544375</v>
      </c>
      <c r="AR87" s="495">
        <f t="shared" si="139"/>
        <v>512</v>
      </c>
      <c r="AS87" s="495">
        <f t="shared" si="140"/>
        <v>710.8</v>
      </c>
      <c r="AT87" s="495">
        <f t="shared" si="141"/>
        <v>578.36</v>
      </c>
      <c r="AU87" s="495">
        <f t="shared" si="142"/>
        <v>777.16000000000008</v>
      </c>
      <c r="AV87" s="495">
        <f t="shared" si="143"/>
        <v>546.1640625</v>
      </c>
      <c r="AW87" s="495">
        <f t="shared" si="144"/>
        <v>744.96406249999995</v>
      </c>
      <c r="AX87" s="495">
        <f t="shared" si="145"/>
        <v>612.52406250000001</v>
      </c>
      <c r="AY87" s="495">
        <f t="shared" si="146"/>
        <v>811.32406250000008</v>
      </c>
      <c r="AZ87" s="495">
        <f t="shared" si="147"/>
        <v>512.22031249999998</v>
      </c>
      <c r="BA87" s="495">
        <f t="shared" si="148"/>
        <v>711.02031250000005</v>
      </c>
      <c r="BB87" s="495">
        <f t="shared" si="149"/>
        <v>578.58031249999999</v>
      </c>
      <c r="BC87" s="495">
        <f t="shared" si="150"/>
        <v>777.38031249999995</v>
      </c>
      <c r="BD87" s="495">
        <f t="shared" si="151"/>
        <v>546.38437499999998</v>
      </c>
      <c r="BE87" s="495">
        <f t="shared" si="152"/>
        <v>745.18437500000005</v>
      </c>
      <c r="BF87" s="495">
        <f t="shared" si="153"/>
        <v>612.74437499999999</v>
      </c>
      <c r="BG87" s="495">
        <f t="shared" si="154"/>
        <v>811.54437499999995</v>
      </c>
    </row>
    <row r="88" spans="1:59">
      <c r="A88" s="465" t="s">
        <v>8445</v>
      </c>
      <c r="B88" s="483">
        <v>616844668</v>
      </c>
      <c r="C88" s="462" t="s">
        <v>773</v>
      </c>
      <c r="D88" s="462">
        <v>7200</v>
      </c>
      <c r="F88" s="491" t="str" cm="1">
        <f t="array" aca="1" ref="F88" ca="1">MID(met2utc(PEPSSI_Commanding[[#This Row],[MET]]),3,15)</f>
        <v>25-219/03:52:32</v>
      </c>
      <c r="G88" s="465" t="str">
        <f t="shared" si="105"/>
        <v>N3+7200</v>
      </c>
      <c r="H88" s="466">
        <f t="shared" si="106"/>
        <v>616843136</v>
      </c>
      <c r="I88" s="466">
        <f t="shared" si="107"/>
        <v>616844816</v>
      </c>
      <c r="J88" s="465">
        <f t="shared" si="108"/>
        <v>7</v>
      </c>
      <c r="K88" s="465">
        <f t="shared" si="109"/>
        <v>3</v>
      </c>
      <c r="M88" s="462">
        <f t="shared" si="110"/>
        <v>10</v>
      </c>
      <c r="N88" s="462">
        <f t="shared" si="111"/>
        <v>40</v>
      </c>
      <c r="O88" s="462">
        <f t="shared" si="112"/>
        <v>7200</v>
      </c>
      <c r="P88" s="462">
        <f t="shared" si="113"/>
        <v>1</v>
      </c>
      <c r="Q88" s="462" t="str">
        <f t="shared" si="114"/>
        <v/>
      </c>
      <c r="R88" s="462" t="str">
        <f t="shared" si="115"/>
        <v/>
      </c>
      <c r="S88" s="462" t="str">
        <f t="shared" si="116"/>
        <v/>
      </c>
      <c r="U88" s="495">
        <f t="shared" si="117"/>
        <v>0.22031249999999999</v>
      </c>
      <c r="V88" s="495">
        <f t="shared" si="118"/>
        <v>0.9140625</v>
      </c>
      <c r="W88" s="495">
        <f t="shared" si="119"/>
        <v>512</v>
      </c>
      <c r="X88" s="495">
        <f t="shared" si="120"/>
        <v>198.8</v>
      </c>
      <c r="Y88" s="495">
        <f t="shared" si="121"/>
        <v>33.25</v>
      </c>
      <c r="Z88" s="495">
        <f t="shared" si="122"/>
        <v>33.25</v>
      </c>
      <c r="AA88" s="495">
        <f t="shared" si="123"/>
        <v>2.7650000000000001</v>
      </c>
      <c r="AB88" s="496"/>
      <c r="AC88" s="495">
        <f t="shared" si="124"/>
        <v>198.8</v>
      </c>
      <c r="AD88" s="495">
        <f t="shared" si="125"/>
        <v>2.7650000000000001</v>
      </c>
      <c r="AE88" s="495">
        <f t="shared" si="126"/>
        <v>201.565</v>
      </c>
      <c r="AF88" s="495">
        <f t="shared" si="127"/>
        <v>34.1640625</v>
      </c>
      <c r="AG88" s="495">
        <f t="shared" si="128"/>
        <v>232.96406250000001</v>
      </c>
      <c r="AH88" s="495">
        <f t="shared" si="129"/>
        <v>36.929062500000001</v>
      </c>
      <c r="AI88" s="495">
        <f t="shared" si="130"/>
        <v>235.7290625</v>
      </c>
      <c r="AJ88" s="495">
        <f t="shared" si="131"/>
        <v>0.22031249999999999</v>
      </c>
      <c r="AK88" s="495">
        <f t="shared" si="132"/>
        <v>199.02031250000002</v>
      </c>
      <c r="AL88" s="495">
        <f t="shared" si="133"/>
        <v>2.9853125</v>
      </c>
      <c r="AM88" s="495">
        <f t="shared" si="134"/>
        <v>201.7853125</v>
      </c>
      <c r="AN88" s="495">
        <f t="shared" si="135"/>
        <v>34.384374999999999</v>
      </c>
      <c r="AO88" s="495">
        <f t="shared" si="136"/>
        <v>233.18437500000002</v>
      </c>
      <c r="AP88" s="495">
        <f t="shared" si="137"/>
        <v>37.149374999999999</v>
      </c>
      <c r="AQ88" s="495">
        <f t="shared" si="138"/>
        <v>235.949375</v>
      </c>
      <c r="AR88" s="495">
        <f t="shared" si="139"/>
        <v>512</v>
      </c>
      <c r="AS88" s="495">
        <f t="shared" si="140"/>
        <v>710.8</v>
      </c>
      <c r="AT88" s="495">
        <f t="shared" si="141"/>
        <v>514.76499999999999</v>
      </c>
      <c r="AU88" s="495">
        <f t="shared" si="142"/>
        <v>713.56500000000005</v>
      </c>
      <c r="AV88" s="495">
        <f t="shared" si="143"/>
        <v>546.1640625</v>
      </c>
      <c r="AW88" s="495">
        <f t="shared" si="144"/>
        <v>744.96406249999995</v>
      </c>
      <c r="AX88" s="495">
        <f t="shared" si="145"/>
        <v>548.92906249999999</v>
      </c>
      <c r="AY88" s="495">
        <f t="shared" si="146"/>
        <v>747.72906250000005</v>
      </c>
      <c r="AZ88" s="495">
        <f t="shared" si="147"/>
        <v>512.22031249999998</v>
      </c>
      <c r="BA88" s="495">
        <f t="shared" si="148"/>
        <v>711.02031250000005</v>
      </c>
      <c r="BB88" s="495">
        <f t="shared" si="149"/>
        <v>514.98531249999996</v>
      </c>
      <c r="BC88" s="495">
        <f t="shared" si="150"/>
        <v>713.78531249999992</v>
      </c>
      <c r="BD88" s="495">
        <f t="shared" si="151"/>
        <v>546.38437499999998</v>
      </c>
      <c r="BE88" s="495">
        <f t="shared" si="152"/>
        <v>745.18437500000005</v>
      </c>
      <c r="BF88" s="495">
        <f t="shared" si="153"/>
        <v>549.14937499999996</v>
      </c>
      <c r="BG88" s="495">
        <f t="shared" si="154"/>
        <v>747.94937499999992</v>
      </c>
    </row>
    <row r="89" spans="1:59">
      <c r="A89" s="465" t="s">
        <v>8445</v>
      </c>
      <c r="B89" s="483">
        <v>616844669</v>
      </c>
      <c r="C89" s="462" t="s">
        <v>12</v>
      </c>
      <c r="D89" s="462">
        <v>3600</v>
      </c>
      <c r="F89" s="491" t="str" cm="1">
        <f t="array" aca="1" ref="F89" ca="1">MID(met2utc(PEPSSI_Commanding[[#This Row],[MET]]),3,15)</f>
        <v>25-219/03:52:33</v>
      </c>
      <c r="G89" s="465" t="str">
        <f t="shared" si="105"/>
        <v>N1+3600</v>
      </c>
      <c r="H89" s="466">
        <f t="shared" si="106"/>
        <v>616843136</v>
      </c>
      <c r="I89" s="466">
        <f t="shared" si="107"/>
        <v>616844816</v>
      </c>
      <c r="J89" s="465">
        <f t="shared" si="108"/>
        <v>8</v>
      </c>
      <c r="K89" s="465">
        <f t="shared" si="109"/>
        <v>2</v>
      </c>
      <c r="M89" s="462">
        <f t="shared" si="110"/>
        <v>3600</v>
      </c>
      <c r="N89" s="462">
        <f t="shared" si="111"/>
        <v>40</v>
      </c>
      <c r="O89" s="462">
        <f t="shared" si="112"/>
        <v>7200</v>
      </c>
      <c r="P89" s="462">
        <f t="shared" si="113"/>
        <v>1</v>
      </c>
      <c r="Q89" s="462" t="str">
        <f t="shared" si="114"/>
        <v/>
      </c>
      <c r="R89" s="462" t="str">
        <f t="shared" si="115"/>
        <v/>
      </c>
      <c r="S89" s="462" t="str">
        <f t="shared" si="116"/>
        <v/>
      </c>
      <c r="U89" s="495">
        <f t="shared" si="117"/>
        <v>0.22031249999999999</v>
      </c>
      <c r="V89" s="495">
        <f t="shared" si="118"/>
        <v>0.9140625</v>
      </c>
      <c r="W89" s="495">
        <f t="shared" si="119"/>
        <v>512</v>
      </c>
      <c r="X89" s="495">
        <f t="shared" si="120"/>
        <v>0.55222222222222217</v>
      </c>
      <c r="Y89" s="495">
        <f t="shared" si="121"/>
        <v>33.25</v>
      </c>
      <c r="Z89" s="495">
        <f t="shared" si="122"/>
        <v>33.25</v>
      </c>
      <c r="AA89" s="495">
        <f t="shared" si="123"/>
        <v>2.7650000000000001</v>
      </c>
      <c r="AB89" s="496"/>
      <c r="AC89" s="495">
        <f t="shared" si="124"/>
        <v>0.55222222222222217</v>
      </c>
      <c r="AD89" s="495">
        <f t="shared" si="125"/>
        <v>2.7650000000000001</v>
      </c>
      <c r="AE89" s="495">
        <f t="shared" si="126"/>
        <v>3.3172222222222221</v>
      </c>
      <c r="AF89" s="495">
        <f t="shared" si="127"/>
        <v>34.1640625</v>
      </c>
      <c r="AG89" s="495">
        <f t="shared" si="128"/>
        <v>34.71628472222222</v>
      </c>
      <c r="AH89" s="495">
        <f t="shared" si="129"/>
        <v>36.929062500000001</v>
      </c>
      <c r="AI89" s="495">
        <f t="shared" si="130"/>
        <v>37.48128472222222</v>
      </c>
      <c r="AJ89" s="495">
        <f t="shared" si="131"/>
        <v>0.22031249999999999</v>
      </c>
      <c r="AK89" s="495">
        <f t="shared" si="132"/>
        <v>0.77253472222222219</v>
      </c>
      <c r="AL89" s="495">
        <f t="shared" si="133"/>
        <v>2.9853125</v>
      </c>
      <c r="AM89" s="495">
        <f t="shared" si="134"/>
        <v>3.5375347222222224</v>
      </c>
      <c r="AN89" s="495">
        <f t="shared" si="135"/>
        <v>34.384374999999999</v>
      </c>
      <c r="AO89" s="495">
        <f t="shared" si="136"/>
        <v>34.936597222222218</v>
      </c>
      <c r="AP89" s="495">
        <f t="shared" si="137"/>
        <v>37.149374999999999</v>
      </c>
      <c r="AQ89" s="495">
        <f t="shared" si="138"/>
        <v>37.701597222222219</v>
      </c>
      <c r="AR89" s="495">
        <f t="shared" si="139"/>
        <v>512</v>
      </c>
      <c r="AS89" s="495">
        <f t="shared" si="140"/>
        <v>512.55222222222221</v>
      </c>
      <c r="AT89" s="495">
        <f t="shared" si="141"/>
        <v>514.76499999999999</v>
      </c>
      <c r="AU89" s="495">
        <f t="shared" si="142"/>
        <v>515.3172222222222</v>
      </c>
      <c r="AV89" s="495">
        <f t="shared" si="143"/>
        <v>546.1640625</v>
      </c>
      <c r="AW89" s="495">
        <f t="shared" si="144"/>
        <v>546.71628472222221</v>
      </c>
      <c r="AX89" s="495">
        <f t="shared" si="145"/>
        <v>548.92906249999999</v>
      </c>
      <c r="AY89" s="495">
        <f t="shared" si="146"/>
        <v>549.4812847222222</v>
      </c>
      <c r="AZ89" s="495">
        <f t="shared" si="147"/>
        <v>512.22031249999998</v>
      </c>
      <c r="BA89" s="495">
        <f t="shared" si="148"/>
        <v>512.77253472222219</v>
      </c>
      <c r="BB89" s="495">
        <f t="shared" si="149"/>
        <v>514.98531249999996</v>
      </c>
      <c r="BC89" s="495">
        <f t="shared" si="150"/>
        <v>515.53753472222218</v>
      </c>
      <c r="BD89" s="495">
        <f t="shared" si="151"/>
        <v>546.38437499999998</v>
      </c>
      <c r="BE89" s="495">
        <f t="shared" si="152"/>
        <v>546.93659722222219</v>
      </c>
      <c r="BF89" s="495">
        <f t="shared" si="153"/>
        <v>549.14937499999996</v>
      </c>
      <c r="BG89" s="495">
        <f t="shared" si="154"/>
        <v>549.70159722222218</v>
      </c>
    </row>
    <row r="90" spans="1:59">
      <c r="A90" s="465" t="s">
        <v>8447</v>
      </c>
      <c r="B90" s="483">
        <v>616844670</v>
      </c>
      <c r="C90" s="462" t="s">
        <v>8403</v>
      </c>
      <c r="D90" s="462">
        <v>300</v>
      </c>
      <c r="F90" s="491" t="str" cm="1">
        <f t="array" aca="1" ref="F90" ca="1">MID(met2utc(PEPSSI_Commanding[[#This Row],[MET]]),3,15)</f>
        <v>25-219/03:52:34</v>
      </c>
      <c r="G90" s="465" t="str">
        <f t="shared" si="105"/>
        <v>STAT+300</v>
      </c>
      <c r="H90" s="466">
        <f t="shared" si="106"/>
        <v>616843136</v>
      </c>
      <c r="I90" s="466">
        <f t="shared" si="107"/>
        <v>616844816</v>
      </c>
      <c r="J90" s="465">
        <f t="shared" si="108"/>
        <v>9</v>
      </c>
      <c r="K90" s="465">
        <f t="shared" si="109"/>
        <v>1</v>
      </c>
      <c r="M90" s="462">
        <f t="shared" si="110"/>
        <v>3600</v>
      </c>
      <c r="N90" s="462">
        <f t="shared" si="111"/>
        <v>40</v>
      </c>
      <c r="O90" s="462">
        <f t="shared" si="112"/>
        <v>7200</v>
      </c>
      <c r="P90" s="462">
        <f t="shared" si="113"/>
        <v>300</v>
      </c>
      <c r="Q90" s="462" t="str">
        <f t="shared" si="114"/>
        <v/>
      </c>
      <c r="R90" s="462" t="str">
        <f t="shared" si="115"/>
        <v/>
      </c>
      <c r="S90" s="462" t="str">
        <f t="shared" si="116"/>
        <v/>
      </c>
      <c r="U90" s="495">
        <f t="shared" si="117"/>
        <v>0.22031249999999999</v>
      </c>
      <c r="V90" s="495">
        <f t="shared" si="118"/>
        <v>0.9140625</v>
      </c>
      <c r="W90" s="495">
        <f t="shared" si="119"/>
        <v>1.7066666666666668</v>
      </c>
      <c r="X90" s="495">
        <f t="shared" si="120"/>
        <v>0.55222222222222217</v>
      </c>
      <c r="Y90" s="495">
        <f t="shared" si="121"/>
        <v>33.25</v>
      </c>
      <c r="Z90" s="495">
        <f t="shared" si="122"/>
        <v>33.25</v>
      </c>
      <c r="AA90" s="495">
        <f t="shared" si="123"/>
        <v>2.7650000000000001</v>
      </c>
      <c r="AB90" s="496"/>
      <c r="AC90" s="495">
        <f t="shared" si="124"/>
        <v>0.55222222222222217</v>
      </c>
      <c r="AD90" s="495">
        <f t="shared" si="125"/>
        <v>2.7650000000000001</v>
      </c>
      <c r="AE90" s="495">
        <f t="shared" si="126"/>
        <v>3.3172222222222221</v>
      </c>
      <c r="AF90" s="495">
        <f t="shared" si="127"/>
        <v>34.1640625</v>
      </c>
      <c r="AG90" s="495">
        <f t="shared" si="128"/>
        <v>34.71628472222222</v>
      </c>
      <c r="AH90" s="495">
        <f t="shared" si="129"/>
        <v>36.929062500000001</v>
      </c>
      <c r="AI90" s="495">
        <f t="shared" si="130"/>
        <v>37.48128472222222</v>
      </c>
      <c r="AJ90" s="495">
        <f t="shared" si="131"/>
        <v>0.22031249999999999</v>
      </c>
      <c r="AK90" s="495">
        <f t="shared" si="132"/>
        <v>0.77253472222222219</v>
      </c>
      <c r="AL90" s="495">
        <f t="shared" si="133"/>
        <v>2.9853125</v>
      </c>
      <c r="AM90" s="495">
        <f t="shared" si="134"/>
        <v>3.5375347222222224</v>
      </c>
      <c r="AN90" s="495">
        <f t="shared" si="135"/>
        <v>34.384374999999999</v>
      </c>
      <c r="AO90" s="495">
        <f t="shared" si="136"/>
        <v>34.936597222222218</v>
      </c>
      <c r="AP90" s="495">
        <f t="shared" si="137"/>
        <v>37.149374999999999</v>
      </c>
      <c r="AQ90" s="495">
        <f t="shared" si="138"/>
        <v>37.701597222222219</v>
      </c>
      <c r="AR90" s="495">
        <f t="shared" si="139"/>
        <v>1.7066666666666668</v>
      </c>
      <c r="AS90" s="495">
        <f t="shared" si="140"/>
        <v>2.2588888888888889</v>
      </c>
      <c r="AT90" s="495">
        <f t="shared" si="141"/>
        <v>4.4716666666666667</v>
      </c>
      <c r="AU90" s="495">
        <f t="shared" si="142"/>
        <v>5.0238888888888891</v>
      </c>
      <c r="AV90" s="495">
        <f t="shared" si="143"/>
        <v>35.870729166666663</v>
      </c>
      <c r="AW90" s="495">
        <f t="shared" si="144"/>
        <v>36.422951388888883</v>
      </c>
      <c r="AX90" s="495">
        <f t="shared" si="145"/>
        <v>38.635729166666664</v>
      </c>
      <c r="AY90" s="495">
        <f t="shared" si="146"/>
        <v>39.187951388888884</v>
      </c>
      <c r="AZ90" s="495">
        <f t="shared" si="147"/>
        <v>1.9269791666666667</v>
      </c>
      <c r="BA90" s="495">
        <f t="shared" si="148"/>
        <v>2.4792013888888889</v>
      </c>
      <c r="BB90" s="495">
        <f t="shared" si="149"/>
        <v>4.691979166666667</v>
      </c>
      <c r="BC90" s="495">
        <f t="shared" si="150"/>
        <v>5.2442013888888894</v>
      </c>
      <c r="BD90" s="495">
        <f t="shared" si="151"/>
        <v>36.091041666666669</v>
      </c>
      <c r="BE90" s="495">
        <f t="shared" si="152"/>
        <v>36.643263888888889</v>
      </c>
      <c r="BF90" s="495">
        <f t="shared" si="153"/>
        <v>38.85604166666667</v>
      </c>
      <c r="BG90" s="495">
        <f t="shared" si="154"/>
        <v>39.408263888888889</v>
      </c>
    </row>
    <row r="91" spans="1:59">
      <c r="A91" s="465" t="s">
        <v>8445</v>
      </c>
      <c r="B91" s="483">
        <v>616844816</v>
      </c>
      <c r="C91" s="462" t="s">
        <v>776</v>
      </c>
      <c r="D91" s="462">
        <v>360</v>
      </c>
      <c r="F91" s="491" t="str" cm="1">
        <f t="array" aca="1" ref="F91" ca="1">MID(met2utc(PEPSSI_Commanding[[#This Row],[MET]]),3,15)</f>
        <v>25-219/03:55:00</v>
      </c>
      <c r="G91" s="465" t="str">
        <f t="shared" si="105"/>
        <v>N2+360</v>
      </c>
      <c r="H91" s="466">
        <f t="shared" si="106"/>
        <v>616844816</v>
      </c>
      <c r="I91" s="466">
        <f t="shared" si="107"/>
        <v>644287985</v>
      </c>
      <c r="J91" s="465">
        <f t="shared" si="108"/>
        <v>10</v>
      </c>
      <c r="K91" s="465">
        <f t="shared" si="109"/>
        <v>7</v>
      </c>
      <c r="M91" s="462">
        <f t="shared" si="110"/>
        <v>3600</v>
      </c>
      <c r="N91" s="462">
        <f t="shared" si="111"/>
        <v>360</v>
      </c>
      <c r="O91" s="462">
        <f t="shared" si="112"/>
        <v>7200</v>
      </c>
      <c r="P91" s="462">
        <f t="shared" si="113"/>
        <v>300</v>
      </c>
      <c r="Q91" s="462" t="str">
        <f t="shared" si="114"/>
        <v/>
      </c>
      <c r="R91" s="462" t="str">
        <f t="shared" si="115"/>
        <v/>
      </c>
      <c r="S91" s="462" t="str">
        <f t="shared" si="116"/>
        <v/>
      </c>
      <c r="U91" s="495">
        <f t="shared" si="117"/>
        <v>2.4479166666666666E-2</v>
      </c>
      <c r="V91" s="495">
        <f t="shared" si="118"/>
        <v>0.1015625</v>
      </c>
      <c r="W91" s="495">
        <f t="shared" si="119"/>
        <v>1.7066666666666668</v>
      </c>
      <c r="X91" s="495">
        <f t="shared" si="120"/>
        <v>0.55222222222222217</v>
      </c>
      <c r="Y91" s="495">
        <f t="shared" si="121"/>
        <v>3.6944444444444446</v>
      </c>
      <c r="Z91" s="495">
        <f t="shared" si="122"/>
        <v>3.6944444444444446</v>
      </c>
      <c r="AA91" s="495">
        <f t="shared" si="123"/>
        <v>2.7650000000000001</v>
      </c>
      <c r="AB91" s="496"/>
      <c r="AC91" s="495">
        <f t="shared" si="124"/>
        <v>0.55222222222222217</v>
      </c>
      <c r="AD91" s="495">
        <f t="shared" si="125"/>
        <v>2.7650000000000001</v>
      </c>
      <c r="AE91" s="495">
        <f t="shared" si="126"/>
        <v>3.3172222222222221</v>
      </c>
      <c r="AF91" s="495">
        <f t="shared" si="127"/>
        <v>3.7960069444444446</v>
      </c>
      <c r="AG91" s="495">
        <f t="shared" si="128"/>
        <v>4.348229166666667</v>
      </c>
      <c r="AH91" s="495">
        <f t="shared" si="129"/>
        <v>6.5610069444444452</v>
      </c>
      <c r="AI91" s="495">
        <f t="shared" si="130"/>
        <v>7.1132291666666676</v>
      </c>
      <c r="AJ91" s="495">
        <f t="shared" si="131"/>
        <v>2.4479166666666666E-2</v>
      </c>
      <c r="AK91" s="495">
        <f t="shared" si="132"/>
        <v>0.57670138888888889</v>
      </c>
      <c r="AL91" s="495">
        <f t="shared" si="133"/>
        <v>2.7894791666666667</v>
      </c>
      <c r="AM91" s="495">
        <f t="shared" si="134"/>
        <v>3.3417013888888887</v>
      </c>
      <c r="AN91" s="495">
        <f t="shared" si="135"/>
        <v>3.8204861111111112</v>
      </c>
      <c r="AO91" s="495">
        <f t="shared" si="136"/>
        <v>4.3727083333333336</v>
      </c>
      <c r="AP91" s="495">
        <f t="shared" si="137"/>
        <v>6.5854861111111109</v>
      </c>
      <c r="AQ91" s="495">
        <f t="shared" si="138"/>
        <v>7.1377083333333333</v>
      </c>
      <c r="AR91" s="495">
        <f t="shared" si="139"/>
        <v>1.7066666666666668</v>
      </c>
      <c r="AS91" s="495">
        <f t="shared" si="140"/>
        <v>2.2588888888888889</v>
      </c>
      <c r="AT91" s="495">
        <f t="shared" si="141"/>
        <v>4.4716666666666667</v>
      </c>
      <c r="AU91" s="495">
        <f t="shared" si="142"/>
        <v>5.0238888888888891</v>
      </c>
      <c r="AV91" s="495">
        <f t="shared" si="143"/>
        <v>5.5026736111111116</v>
      </c>
      <c r="AW91" s="495">
        <f t="shared" si="144"/>
        <v>6.054895833333334</v>
      </c>
      <c r="AX91" s="495">
        <f t="shared" si="145"/>
        <v>8.2676736111111122</v>
      </c>
      <c r="AY91" s="495">
        <f t="shared" si="146"/>
        <v>8.8198958333333337</v>
      </c>
      <c r="AZ91" s="495">
        <f t="shared" si="147"/>
        <v>1.7311458333333334</v>
      </c>
      <c r="BA91" s="495">
        <f t="shared" si="148"/>
        <v>2.2833680555555556</v>
      </c>
      <c r="BB91" s="495">
        <f t="shared" si="149"/>
        <v>4.4961458333333333</v>
      </c>
      <c r="BC91" s="495">
        <f t="shared" si="150"/>
        <v>5.0483680555555557</v>
      </c>
      <c r="BD91" s="495">
        <f t="shared" si="151"/>
        <v>5.5271527777777782</v>
      </c>
      <c r="BE91" s="495">
        <f t="shared" si="152"/>
        <v>6.0793750000000006</v>
      </c>
      <c r="BF91" s="495">
        <f t="shared" si="153"/>
        <v>8.2921527777777779</v>
      </c>
      <c r="BG91" s="495">
        <f t="shared" si="154"/>
        <v>8.8443749999999994</v>
      </c>
    </row>
    <row r="92" spans="1:59">
      <c r="A92" s="465" t="s">
        <v>8445</v>
      </c>
      <c r="B92" s="483">
        <v>616844819</v>
      </c>
      <c r="C92" s="462" t="s">
        <v>12</v>
      </c>
      <c r="D92" s="462">
        <v>360</v>
      </c>
      <c r="F92" s="491" t="str" cm="1">
        <f t="array" aca="1" ref="F92" ca="1">MID(met2utc(PEPSSI_Commanding[[#This Row],[MET]]),3,15)</f>
        <v>25-219/03:55:03</v>
      </c>
      <c r="G92" s="465" t="str">
        <f t="shared" si="105"/>
        <v>N1+360</v>
      </c>
      <c r="H92" s="466">
        <f t="shared" si="106"/>
        <v>616844816</v>
      </c>
      <c r="I92" s="466">
        <f t="shared" si="107"/>
        <v>644287985</v>
      </c>
      <c r="J92" s="465">
        <f t="shared" si="108"/>
        <v>11</v>
      </c>
      <c r="K92" s="465">
        <f t="shared" si="109"/>
        <v>6</v>
      </c>
      <c r="M92" s="462">
        <f t="shared" si="110"/>
        <v>360</v>
      </c>
      <c r="N92" s="462">
        <f t="shared" si="111"/>
        <v>360</v>
      </c>
      <c r="O92" s="462">
        <f t="shared" si="112"/>
        <v>7200</v>
      </c>
      <c r="P92" s="462">
        <f t="shared" si="113"/>
        <v>300</v>
      </c>
      <c r="Q92" s="462" t="str">
        <f t="shared" si="114"/>
        <v/>
      </c>
      <c r="R92" s="462" t="str">
        <f t="shared" si="115"/>
        <v/>
      </c>
      <c r="S92" s="462" t="str">
        <f t="shared" si="116"/>
        <v/>
      </c>
      <c r="U92" s="495">
        <f t="shared" si="117"/>
        <v>2.4479166666666666E-2</v>
      </c>
      <c r="V92" s="495">
        <f t="shared" si="118"/>
        <v>0.1015625</v>
      </c>
      <c r="W92" s="495">
        <f t="shared" si="119"/>
        <v>1.7066666666666668</v>
      </c>
      <c r="X92" s="495">
        <f t="shared" si="120"/>
        <v>5.5222222222222221</v>
      </c>
      <c r="Y92" s="495">
        <f t="shared" si="121"/>
        <v>3.6944444444444446</v>
      </c>
      <c r="Z92" s="495">
        <f t="shared" si="122"/>
        <v>3.6944444444444446</v>
      </c>
      <c r="AA92" s="495">
        <f t="shared" si="123"/>
        <v>2.7650000000000001</v>
      </c>
      <c r="AB92" s="496"/>
      <c r="AC92" s="495">
        <f t="shared" si="124"/>
        <v>5.5222222222222221</v>
      </c>
      <c r="AD92" s="495">
        <f t="shared" si="125"/>
        <v>2.7650000000000001</v>
      </c>
      <c r="AE92" s="495">
        <f t="shared" si="126"/>
        <v>8.2872222222222227</v>
      </c>
      <c r="AF92" s="495">
        <f t="shared" si="127"/>
        <v>3.7960069444444446</v>
      </c>
      <c r="AG92" s="495">
        <f t="shared" si="128"/>
        <v>9.3182291666666668</v>
      </c>
      <c r="AH92" s="495">
        <f t="shared" si="129"/>
        <v>6.5610069444444452</v>
      </c>
      <c r="AI92" s="495">
        <f t="shared" si="130"/>
        <v>12.083229166666667</v>
      </c>
      <c r="AJ92" s="495">
        <f t="shared" si="131"/>
        <v>2.4479166666666666E-2</v>
      </c>
      <c r="AK92" s="495">
        <f t="shared" si="132"/>
        <v>5.5467013888888888</v>
      </c>
      <c r="AL92" s="495">
        <f t="shared" si="133"/>
        <v>2.7894791666666667</v>
      </c>
      <c r="AM92" s="495">
        <f t="shared" si="134"/>
        <v>8.3117013888888884</v>
      </c>
      <c r="AN92" s="495">
        <f t="shared" si="135"/>
        <v>3.8204861111111112</v>
      </c>
      <c r="AO92" s="495">
        <f t="shared" si="136"/>
        <v>9.3427083333333343</v>
      </c>
      <c r="AP92" s="495">
        <f t="shared" si="137"/>
        <v>6.5854861111111109</v>
      </c>
      <c r="AQ92" s="495">
        <f t="shared" si="138"/>
        <v>12.107708333333333</v>
      </c>
      <c r="AR92" s="495">
        <f t="shared" si="139"/>
        <v>1.7066666666666668</v>
      </c>
      <c r="AS92" s="495">
        <f t="shared" si="140"/>
        <v>7.2288888888888891</v>
      </c>
      <c r="AT92" s="495">
        <f t="shared" si="141"/>
        <v>4.4716666666666667</v>
      </c>
      <c r="AU92" s="495">
        <f t="shared" si="142"/>
        <v>9.9938888888888897</v>
      </c>
      <c r="AV92" s="495">
        <f t="shared" si="143"/>
        <v>5.5026736111111116</v>
      </c>
      <c r="AW92" s="495">
        <f t="shared" si="144"/>
        <v>11.024895833333334</v>
      </c>
      <c r="AX92" s="495">
        <f t="shared" si="145"/>
        <v>8.2676736111111122</v>
      </c>
      <c r="AY92" s="495">
        <f t="shared" si="146"/>
        <v>13.789895833333334</v>
      </c>
      <c r="AZ92" s="495">
        <f t="shared" si="147"/>
        <v>1.7311458333333334</v>
      </c>
      <c r="BA92" s="495">
        <f t="shared" si="148"/>
        <v>7.2533680555555557</v>
      </c>
      <c r="BB92" s="495">
        <f t="shared" si="149"/>
        <v>4.4961458333333333</v>
      </c>
      <c r="BC92" s="495">
        <f t="shared" si="150"/>
        <v>10.018368055555555</v>
      </c>
      <c r="BD92" s="495">
        <f t="shared" si="151"/>
        <v>5.5271527777777782</v>
      </c>
      <c r="BE92" s="495">
        <f t="shared" si="152"/>
        <v>11.049375000000001</v>
      </c>
      <c r="BF92" s="495">
        <f t="shared" si="153"/>
        <v>8.2921527777777779</v>
      </c>
      <c r="BG92" s="495">
        <f t="shared" si="154"/>
        <v>13.814375</v>
      </c>
    </row>
    <row r="93" spans="1:59">
      <c r="A93" s="465" t="s">
        <v>8445</v>
      </c>
      <c r="B93" s="483">
        <v>616844822</v>
      </c>
      <c r="C93" s="462" t="s">
        <v>773</v>
      </c>
      <c r="D93" s="462">
        <v>900</v>
      </c>
      <c r="F93" s="491" t="str" cm="1">
        <f t="array" aca="1" ref="F93" ca="1">MID(met2utc(PEPSSI_Commanding[[#This Row],[MET]]),3,15)</f>
        <v>25-219/03:55:06</v>
      </c>
      <c r="G93" s="465" t="str">
        <f t="shared" si="105"/>
        <v>N3+900</v>
      </c>
      <c r="H93" s="466">
        <f t="shared" si="106"/>
        <v>616844816</v>
      </c>
      <c r="I93" s="466">
        <f t="shared" si="107"/>
        <v>644287985</v>
      </c>
      <c r="J93" s="465">
        <f t="shared" si="108"/>
        <v>12</v>
      </c>
      <c r="K93" s="465">
        <f t="shared" si="109"/>
        <v>5</v>
      </c>
      <c r="M93" s="462">
        <f t="shared" si="110"/>
        <v>360</v>
      </c>
      <c r="N93" s="462">
        <f t="shared" si="111"/>
        <v>360</v>
      </c>
      <c r="O93" s="462">
        <f t="shared" si="112"/>
        <v>900</v>
      </c>
      <c r="P93" s="462">
        <f t="shared" si="113"/>
        <v>300</v>
      </c>
      <c r="Q93" s="462" t="str">
        <f t="shared" si="114"/>
        <v/>
      </c>
      <c r="R93" s="462" t="str">
        <f t="shared" si="115"/>
        <v/>
      </c>
      <c r="S93" s="462" t="str">
        <f t="shared" si="116"/>
        <v/>
      </c>
      <c r="U93" s="495">
        <f t="shared" si="117"/>
        <v>2.4479166666666666E-2</v>
      </c>
      <c r="V93" s="495">
        <f t="shared" si="118"/>
        <v>0.1015625</v>
      </c>
      <c r="W93" s="495">
        <f t="shared" si="119"/>
        <v>1.7066666666666668</v>
      </c>
      <c r="X93" s="495">
        <f t="shared" si="120"/>
        <v>5.5222222222222221</v>
      </c>
      <c r="Y93" s="495">
        <f t="shared" si="121"/>
        <v>3.6944444444444446</v>
      </c>
      <c r="Z93" s="495">
        <f t="shared" si="122"/>
        <v>3.6944444444444446</v>
      </c>
      <c r="AA93" s="495">
        <f t="shared" si="123"/>
        <v>22.12</v>
      </c>
      <c r="AB93" s="496"/>
      <c r="AC93" s="495">
        <f t="shared" si="124"/>
        <v>5.5222222222222221</v>
      </c>
      <c r="AD93" s="495">
        <f t="shared" si="125"/>
        <v>22.12</v>
      </c>
      <c r="AE93" s="495">
        <f t="shared" si="126"/>
        <v>27.642222222222223</v>
      </c>
      <c r="AF93" s="495">
        <f t="shared" si="127"/>
        <v>3.7960069444444446</v>
      </c>
      <c r="AG93" s="495">
        <f t="shared" si="128"/>
        <v>9.3182291666666668</v>
      </c>
      <c r="AH93" s="495">
        <f t="shared" si="129"/>
        <v>25.916006944444447</v>
      </c>
      <c r="AI93" s="495">
        <f t="shared" si="130"/>
        <v>31.43822916666667</v>
      </c>
      <c r="AJ93" s="495">
        <f t="shared" si="131"/>
        <v>2.4479166666666666E-2</v>
      </c>
      <c r="AK93" s="495">
        <f t="shared" si="132"/>
        <v>5.5467013888888888</v>
      </c>
      <c r="AL93" s="495">
        <f t="shared" si="133"/>
        <v>22.144479166666667</v>
      </c>
      <c r="AM93" s="495">
        <f t="shared" si="134"/>
        <v>27.666701388888889</v>
      </c>
      <c r="AN93" s="495">
        <f t="shared" si="135"/>
        <v>3.8204861111111112</v>
      </c>
      <c r="AO93" s="495">
        <f t="shared" si="136"/>
        <v>9.3427083333333343</v>
      </c>
      <c r="AP93" s="495">
        <f t="shared" si="137"/>
        <v>25.940486111111113</v>
      </c>
      <c r="AQ93" s="495">
        <f t="shared" si="138"/>
        <v>31.462708333333335</v>
      </c>
      <c r="AR93" s="495">
        <f t="shared" si="139"/>
        <v>1.7066666666666668</v>
      </c>
      <c r="AS93" s="495">
        <f t="shared" si="140"/>
        <v>7.2288888888888891</v>
      </c>
      <c r="AT93" s="495">
        <f t="shared" si="141"/>
        <v>23.826666666666668</v>
      </c>
      <c r="AU93" s="495">
        <f t="shared" si="142"/>
        <v>29.34888888888889</v>
      </c>
      <c r="AV93" s="495">
        <f t="shared" si="143"/>
        <v>5.5026736111111116</v>
      </c>
      <c r="AW93" s="495">
        <f t="shared" si="144"/>
        <v>11.024895833333334</v>
      </c>
      <c r="AX93" s="495">
        <f t="shared" si="145"/>
        <v>27.622673611111111</v>
      </c>
      <c r="AY93" s="495">
        <f t="shared" si="146"/>
        <v>33.144895833333337</v>
      </c>
      <c r="AZ93" s="495">
        <f t="shared" si="147"/>
        <v>1.7311458333333334</v>
      </c>
      <c r="BA93" s="495">
        <f t="shared" si="148"/>
        <v>7.2533680555555557</v>
      </c>
      <c r="BB93" s="495">
        <f t="shared" si="149"/>
        <v>23.851145833333334</v>
      </c>
      <c r="BC93" s="495">
        <f t="shared" si="150"/>
        <v>29.373368055555556</v>
      </c>
      <c r="BD93" s="495">
        <f t="shared" si="151"/>
        <v>5.5271527777777782</v>
      </c>
      <c r="BE93" s="495">
        <f t="shared" si="152"/>
        <v>11.049375000000001</v>
      </c>
      <c r="BF93" s="495">
        <f t="shared" si="153"/>
        <v>27.64715277777778</v>
      </c>
      <c r="BG93" s="495">
        <f t="shared" si="154"/>
        <v>33.169375000000002</v>
      </c>
    </row>
    <row r="94" spans="1:59">
      <c r="A94" s="465" t="s">
        <v>8447</v>
      </c>
      <c r="B94" s="483">
        <v>616844825</v>
      </c>
      <c r="C94" s="462" t="s">
        <v>8403</v>
      </c>
      <c r="D94" s="462">
        <v>1800</v>
      </c>
      <c r="F94" s="491" t="str" cm="1">
        <f t="array" aca="1" ref="F94" ca="1">MID(met2utc(PEPSSI_Commanding[[#This Row],[MET]]),3,15)</f>
        <v>25-219/03:55:09</v>
      </c>
      <c r="G94" s="465" t="str">
        <f t="shared" si="105"/>
        <v>STAT+1800</v>
      </c>
      <c r="H94" s="466">
        <f t="shared" si="106"/>
        <v>616844816</v>
      </c>
      <c r="I94" s="466">
        <f t="shared" si="107"/>
        <v>644287985</v>
      </c>
      <c r="J94" s="465">
        <f t="shared" si="108"/>
        <v>13</v>
      </c>
      <c r="K94" s="465">
        <f t="shared" si="109"/>
        <v>4</v>
      </c>
      <c r="M94" s="462">
        <f t="shared" si="110"/>
        <v>360</v>
      </c>
      <c r="N94" s="462">
        <f t="shared" si="111"/>
        <v>360</v>
      </c>
      <c r="O94" s="462">
        <f t="shared" si="112"/>
        <v>900</v>
      </c>
      <c r="P94" s="462">
        <f t="shared" si="113"/>
        <v>1800</v>
      </c>
      <c r="Q94" s="462" t="str">
        <f t="shared" si="114"/>
        <v/>
      </c>
      <c r="R94" s="462" t="str">
        <f t="shared" si="115"/>
        <v/>
      </c>
      <c r="S94" s="462" t="str">
        <f t="shared" si="116"/>
        <v/>
      </c>
      <c r="U94" s="495">
        <f t="shared" si="117"/>
        <v>2.4479166666666666E-2</v>
      </c>
      <c r="V94" s="495">
        <f t="shared" si="118"/>
        <v>0.1015625</v>
      </c>
      <c r="W94" s="495">
        <f t="shared" si="119"/>
        <v>0.28444444444444444</v>
      </c>
      <c r="X94" s="495">
        <f t="shared" si="120"/>
        <v>5.5222222222222221</v>
      </c>
      <c r="Y94" s="495">
        <f t="shared" si="121"/>
        <v>3.6944444444444446</v>
      </c>
      <c r="Z94" s="495">
        <f t="shared" si="122"/>
        <v>3.6944444444444446</v>
      </c>
      <c r="AA94" s="495">
        <f t="shared" si="123"/>
        <v>22.12</v>
      </c>
      <c r="AB94" s="496"/>
      <c r="AC94" s="495">
        <f t="shared" si="124"/>
        <v>5.5222222222222221</v>
      </c>
      <c r="AD94" s="495">
        <f t="shared" si="125"/>
        <v>22.12</v>
      </c>
      <c r="AE94" s="495">
        <f t="shared" si="126"/>
        <v>27.642222222222223</v>
      </c>
      <c r="AF94" s="495">
        <f t="shared" si="127"/>
        <v>3.7960069444444446</v>
      </c>
      <c r="AG94" s="495">
        <f t="shared" si="128"/>
        <v>9.3182291666666668</v>
      </c>
      <c r="AH94" s="495">
        <f t="shared" si="129"/>
        <v>25.916006944444447</v>
      </c>
      <c r="AI94" s="495">
        <f t="shared" si="130"/>
        <v>31.43822916666667</v>
      </c>
      <c r="AJ94" s="495">
        <f t="shared" si="131"/>
        <v>2.4479166666666666E-2</v>
      </c>
      <c r="AK94" s="495">
        <f t="shared" si="132"/>
        <v>5.5467013888888888</v>
      </c>
      <c r="AL94" s="495">
        <f t="shared" si="133"/>
        <v>22.144479166666667</v>
      </c>
      <c r="AM94" s="495">
        <f t="shared" si="134"/>
        <v>27.666701388888889</v>
      </c>
      <c r="AN94" s="495">
        <f t="shared" si="135"/>
        <v>3.8204861111111112</v>
      </c>
      <c r="AO94" s="495">
        <f t="shared" si="136"/>
        <v>9.3427083333333343</v>
      </c>
      <c r="AP94" s="495">
        <f t="shared" si="137"/>
        <v>25.940486111111113</v>
      </c>
      <c r="AQ94" s="495">
        <f t="shared" si="138"/>
        <v>31.462708333333335</v>
      </c>
      <c r="AR94" s="495">
        <f t="shared" si="139"/>
        <v>0.28444444444444444</v>
      </c>
      <c r="AS94" s="495">
        <f t="shared" si="140"/>
        <v>5.8066666666666666</v>
      </c>
      <c r="AT94" s="495">
        <f t="shared" si="141"/>
        <v>22.404444444444444</v>
      </c>
      <c r="AU94" s="495">
        <f t="shared" si="142"/>
        <v>27.926666666666666</v>
      </c>
      <c r="AV94" s="495">
        <f t="shared" si="143"/>
        <v>4.0804513888888891</v>
      </c>
      <c r="AW94" s="495">
        <f t="shared" si="144"/>
        <v>9.6026736111111113</v>
      </c>
      <c r="AX94" s="495">
        <f t="shared" si="145"/>
        <v>26.20045138888889</v>
      </c>
      <c r="AY94" s="495">
        <f t="shared" si="146"/>
        <v>31.722673611111112</v>
      </c>
      <c r="AZ94" s="495">
        <f t="shared" si="147"/>
        <v>0.30892361111111111</v>
      </c>
      <c r="BA94" s="495">
        <f t="shared" si="148"/>
        <v>5.8311458333333333</v>
      </c>
      <c r="BB94" s="495">
        <f t="shared" si="149"/>
        <v>22.428923611111113</v>
      </c>
      <c r="BC94" s="495">
        <f t="shared" si="150"/>
        <v>27.951145833333335</v>
      </c>
      <c r="BD94" s="495">
        <f t="shared" si="151"/>
        <v>4.1049305555555557</v>
      </c>
      <c r="BE94" s="495">
        <f t="shared" si="152"/>
        <v>9.627152777777777</v>
      </c>
      <c r="BF94" s="495">
        <f t="shared" si="153"/>
        <v>26.224930555555556</v>
      </c>
      <c r="BG94" s="495">
        <f t="shared" si="154"/>
        <v>31.747152777777778</v>
      </c>
    </row>
    <row r="95" spans="1:59">
      <c r="A95" s="465" t="s">
        <v>8443</v>
      </c>
      <c r="B95" s="483">
        <v>616844876</v>
      </c>
      <c r="C95" s="462" t="s">
        <v>8404</v>
      </c>
      <c r="D95" s="462">
        <v>102</v>
      </c>
      <c r="F95" s="491" t="str" cm="1">
        <f t="array" aca="1" ref="F95" ca="1">MID(met2utc(PEPSSI_Commanding[[#This Row],[MET]]),3,15)</f>
        <v>25-219/03:56:00</v>
      </c>
      <c r="G95" s="465" t="str">
        <f t="shared" si="105"/>
        <v>MAC+102</v>
      </c>
      <c r="H95" s="466">
        <f t="shared" si="106"/>
        <v>616844816</v>
      </c>
      <c r="I95" s="466">
        <f t="shared" si="107"/>
        <v>644287985</v>
      </c>
      <c r="J95" s="465">
        <f t="shared" si="108"/>
        <v>14</v>
      </c>
      <c r="K95" s="465">
        <f t="shared" si="109"/>
        <v>3</v>
      </c>
      <c r="M95" s="462">
        <f t="shared" si="110"/>
        <v>360</v>
      </c>
      <c r="N95" s="462">
        <f t="shared" si="111"/>
        <v>360</v>
      </c>
      <c r="O95" s="462">
        <f t="shared" si="112"/>
        <v>900</v>
      </c>
      <c r="P95" s="462">
        <f t="shared" si="113"/>
        <v>1800</v>
      </c>
      <c r="Q95" s="462" t="str">
        <f t="shared" si="114"/>
        <v/>
      </c>
      <c r="R95" s="462" t="str">
        <f t="shared" si="115"/>
        <v/>
      </c>
      <c r="S95" s="462" t="str">
        <f t="shared" si="116"/>
        <v>102</v>
      </c>
      <c r="U95" s="495">
        <f t="shared" si="117"/>
        <v>2.4479166666666666E-2</v>
      </c>
      <c r="V95" s="495">
        <f t="shared" si="118"/>
        <v>0.1015625</v>
      </c>
      <c r="W95" s="495">
        <f t="shared" si="119"/>
        <v>0.28444444444444444</v>
      </c>
      <c r="X95" s="495">
        <f t="shared" si="120"/>
        <v>5.5222222222222221</v>
      </c>
      <c r="Y95" s="495">
        <f t="shared" si="121"/>
        <v>3.6944444444444446</v>
      </c>
      <c r="Z95" s="495">
        <f t="shared" si="122"/>
        <v>3.6944444444444446</v>
      </c>
      <c r="AA95" s="495">
        <f t="shared" si="123"/>
        <v>22.12</v>
      </c>
      <c r="AB95" s="496"/>
      <c r="AC95" s="495">
        <f t="shared" si="124"/>
        <v>5.5222222222222221</v>
      </c>
      <c r="AD95" s="495">
        <f t="shared" si="125"/>
        <v>22.221562500000001</v>
      </c>
      <c r="AE95" s="495">
        <f t="shared" si="126"/>
        <v>27.743784722222223</v>
      </c>
      <c r="AF95" s="495">
        <f t="shared" si="127"/>
        <v>3.6944444444444446</v>
      </c>
      <c r="AG95" s="495">
        <f t="shared" si="128"/>
        <v>9.2166666666666668</v>
      </c>
      <c r="AH95" s="495">
        <f t="shared" si="129"/>
        <v>25.916006944444447</v>
      </c>
      <c r="AI95" s="495">
        <f t="shared" si="130"/>
        <v>31.43822916666667</v>
      </c>
      <c r="AJ95" s="495">
        <f t="shared" si="131"/>
        <v>2.4479166666666666E-2</v>
      </c>
      <c r="AK95" s="495">
        <f t="shared" si="132"/>
        <v>5.5467013888888888</v>
      </c>
      <c r="AL95" s="495">
        <f t="shared" si="133"/>
        <v>22.246041666666667</v>
      </c>
      <c r="AM95" s="495">
        <f t="shared" si="134"/>
        <v>27.768263888888889</v>
      </c>
      <c r="AN95" s="495">
        <f t="shared" si="135"/>
        <v>3.7189236111111112</v>
      </c>
      <c r="AO95" s="495">
        <f t="shared" si="136"/>
        <v>9.2411458333333343</v>
      </c>
      <c r="AP95" s="495">
        <f t="shared" si="137"/>
        <v>25.940486111111113</v>
      </c>
      <c r="AQ95" s="495">
        <f t="shared" si="138"/>
        <v>31.462708333333335</v>
      </c>
      <c r="AR95" s="495">
        <f t="shared" si="139"/>
        <v>0.28444444444444444</v>
      </c>
      <c r="AS95" s="495">
        <f t="shared" si="140"/>
        <v>5.8066666666666666</v>
      </c>
      <c r="AT95" s="495">
        <f t="shared" si="141"/>
        <v>22.506006944444444</v>
      </c>
      <c r="AU95" s="495">
        <f t="shared" si="142"/>
        <v>28.028229166666666</v>
      </c>
      <c r="AV95" s="495">
        <f t="shared" si="143"/>
        <v>3.9788888888888891</v>
      </c>
      <c r="AW95" s="495">
        <f t="shared" si="144"/>
        <v>9.5011111111111113</v>
      </c>
      <c r="AX95" s="495">
        <f t="shared" si="145"/>
        <v>26.20045138888889</v>
      </c>
      <c r="AY95" s="495">
        <f t="shared" si="146"/>
        <v>31.722673611111112</v>
      </c>
      <c r="AZ95" s="495">
        <f t="shared" si="147"/>
        <v>0.30892361111111111</v>
      </c>
      <c r="BA95" s="495">
        <f t="shared" si="148"/>
        <v>5.8311458333333333</v>
      </c>
      <c r="BB95" s="495">
        <f t="shared" si="149"/>
        <v>22.530486111111113</v>
      </c>
      <c r="BC95" s="495">
        <f t="shared" si="150"/>
        <v>28.052708333333335</v>
      </c>
      <c r="BD95" s="495">
        <f t="shared" si="151"/>
        <v>4.0033680555555557</v>
      </c>
      <c r="BE95" s="495">
        <f t="shared" si="152"/>
        <v>9.525590277777777</v>
      </c>
      <c r="BF95" s="495">
        <f t="shared" si="153"/>
        <v>26.224930555555556</v>
      </c>
      <c r="BG95" s="495">
        <f t="shared" si="154"/>
        <v>31.747152777777778</v>
      </c>
    </row>
    <row r="96" spans="1:59">
      <c r="A96" s="465" t="s">
        <v>8443</v>
      </c>
      <c r="B96" s="483">
        <v>616845476</v>
      </c>
      <c r="C96" s="462" t="s">
        <v>8404</v>
      </c>
      <c r="D96" s="462">
        <v>104</v>
      </c>
      <c r="F96" s="491" t="str" cm="1">
        <f t="array" aca="1" ref="F96" ca="1">MID(met2utc(PEPSSI_Commanding[[#This Row],[MET]]),3,15)</f>
        <v>25-219/04:06:00</v>
      </c>
      <c r="G96" s="465" t="str">
        <f t="shared" si="105"/>
        <v>MAC+104</v>
      </c>
      <c r="H96" s="466">
        <f t="shared" si="106"/>
        <v>616844816</v>
      </c>
      <c r="I96" s="466">
        <f t="shared" si="107"/>
        <v>644287985</v>
      </c>
      <c r="J96" s="465">
        <f t="shared" si="108"/>
        <v>15</v>
      </c>
      <c r="K96" s="465">
        <f t="shared" si="109"/>
        <v>2</v>
      </c>
      <c r="M96" s="462">
        <f t="shared" si="110"/>
        <v>360</v>
      </c>
      <c r="N96" s="462">
        <f t="shared" si="111"/>
        <v>2</v>
      </c>
      <c r="O96" s="462">
        <f t="shared" si="112"/>
        <v>900</v>
      </c>
      <c r="P96" s="462">
        <f t="shared" si="113"/>
        <v>1800</v>
      </c>
      <c r="Q96" s="462" t="str">
        <f t="shared" si="114"/>
        <v>disabled</v>
      </c>
      <c r="R96" s="462" t="str">
        <f t="shared" si="115"/>
        <v/>
      </c>
      <c r="S96" s="462" t="str">
        <f t="shared" si="116"/>
        <v>102</v>
      </c>
      <c r="U96" s="495">
        <f t="shared" si="117"/>
        <v>4.40625</v>
      </c>
      <c r="V96" s="495">
        <f t="shared" si="118"/>
        <v>18.28125</v>
      </c>
      <c r="W96" s="495">
        <f t="shared" si="119"/>
        <v>0.28444444444444444</v>
      </c>
      <c r="X96" s="495">
        <f t="shared" si="120"/>
        <v>5.5222222222222221</v>
      </c>
      <c r="Y96" s="495">
        <f t="shared" si="121"/>
        <v>0</v>
      </c>
      <c r="Z96" s="495">
        <f t="shared" si="122"/>
        <v>0</v>
      </c>
      <c r="AA96" s="495">
        <f t="shared" si="123"/>
        <v>22.12</v>
      </c>
      <c r="AB96" s="496"/>
      <c r="AC96" s="495">
        <f t="shared" si="124"/>
        <v>5.5222222222222221</v>
      </c>
      <c r="AD96" s="495">
        <f t="shared" si="125"/>
        <v>40.401250000000005</v>
      </c>
      <c r="AE96" s="495">
        <f t="shared" si="126"/>
        <v>45.92347222222223</v>
      </c>
      <c r="AF96" s="495">
        <f t="shared" si="127"/>
        <v>0</v>
      </c>
      <c r="AG96" s="495">
        <f t="shared" si="128"/>
        <v>5.5222222222222221</v>
      </c>
      <c r="AH96" s="495">
        <f t="shared" si="129"/>
        <v>40.401250000000005</v>
      </c>
      <c r="AI96" s="495">
        <f t="shared" si="130"/>
        <v>45.92347222222223</v>
      </c>
      <c r="AJ96" s="495">
        <f t="shared" si="131"/>
        <v>4.40625</v>
      </c>
      <c r="AK96" s="495">
        <f t="shared" si="132"/>
        <v>9.9284722222222221</v>
      </c>
      <c r="AL96" s="495">
        <f t="shared" si="133"/>
        <v>44.807500000000005</v>
      </c>
      <c r="AM96" s="495">
        <f t="shared" si="134"/>
        <v>50.32972222222223</v>
      </c>
      <c r="AN96" s="495">
        <f t="shared" si="135"/>
        <v>4.40625</v>
      </c>
      <c r="AO96" s="495">
        <f t="shared" si="136"/>
        <v>9.9284722222222221</v>
      </c>
      <c r="AP96" s="495">
        <f t="shared" si="137"/>
        <v>44.807500000000005</v>
      </c>
      <c r="AQ96" s="495">
        <f t="shared" si="138"/>
        <v>50.32972222222223</v>
      </c>
      <c r="AR96" s="495">
        <f t="shared" si="139"/>
        <v>0.28444444444444444</v>
      </c>
      <c r="AS96" s="495">
        <f t="shared" si="140"/>
        <v>5.8066666666666666</v>
      </c>
      <c r="AT96" s="495">
        <f t="shared" si="141"/>
        <v>40.685694444444451</v>
      </c>
      <c r="AU96" s="495">
        <f t="shared" si="142"/>
        <v>46.207916666666677</v>
      </c>
      <c r="AV96" s="495">
        <f t="shared" si="143"/>
        <v>0.28444444444444444</v>
      </c>
      <c r="AW96" s="495">
        <f t="shared" si="144"/>
        <v>5.8066666666666666</v>
      </c>
      <c r="AX96" s="495">
        <f t="shared" si="145"/>
        <v>40.685694444444451</v>
      </c>
      <c r="AY96" s="495">
        <f t="shared" si="146"/>
        <v>46.207916666666677</v>
      </c>
      <c r="AZ96" s="495">
        <f t="shared" si="147"/>
        <v>4.6906944444444445</v>
      </c>
      <c r="BA96" s="495">
        <f t="shared" si="148"/>
        <v>10.212916666666667</v>
      </c>
      <c r="BB96" s="495">
        <f t="shared" si="149"/>
        <v>45.091944444444451</v>
      </c>
      <c r="BC96" s="495">
        <f t="shared" si="150"/>
        <v>50.614166666666677</v>
      </c>
      <c r="BD96" s="495">
        <f t="shared" si="151"/>
        <v>4.6906944444444445</v>
      </c>
      <c r="BE96" s="495">
        <f t="shared" si="152"/>
        <v>10.212916666666667</v>
      </c>
      <c r="BF96" s="495">
        <f t="shared" si="153"/>
        <v>45.091944444444451</v>
      </c>
      <c r="BG96" s="495">
        <f t="shared" si="154"/>
        <v>50.614166666666677</v>
      </c>
    </row>
    <row r="97" spans="1:81">
      <c r="A97" s="465" t="s">
        <v>8443</v>
      </c>
      <c r="B97" s="483">
        <v>616846076</v>
      </c>
      <c r="C97" s="462" t="s">
        <v>8404</v>
      </c>
      <c r="D97" s="462">
        <v>105</v>
      </c>
      <c r="F97" s="491" t="str" cm="1">
        <f t="array" aca="1" ref="F97" ca="1">MID(met2utc(PEPSSI_Commanding[[#This Row],[MET]]),3,15)</f>
        <v>25-219/04:16:00</v>
      </c>
      <c r="G97" s="465" t="str">
        <f t="shared" si="105"/>
        <v>MAC+105</v>
      </c>
      <c r="H97" s="466">
        <f t="shared" si="106"/>
        <v>616844816</v>
      </c>
      <c r="I97" s="466">
        <f t="shared" si="107"/>
        <v>644287985</v>
      </c>
      <c r="J97" s="465">
        <f t="shared" si="108"/>
        <v>16</v>
      </c>
      <c r="K97" s="465">
        <f t="shared" si="109"/>
        <v>1</v>
      </c>
      <c r="M97" s="462">
        <f t="shared" si="110"/>
        <v>360</v>
      </c>
      <c r="N97" s="462">
        <f t="shared" si="111"/>
        <v>2</v>
      </c>
      <c r="O97" s="462">
        <f t="shared" si="112"/>
        <v>900</v>
      </c>
      <c r="P97" s="462">
        <f t="shared" si="113"/>
        <v>1800</v>
      </c>
      <c r="Q97" s="462" t="str">
        <f t="shared" si="114"/>
        <v/>
      </c>
      <c r="R97" s="462">
        <f t="shared" si="115"/>
        <v>300</v>
      </c>
      <c r="S97" s="462" t="str">
        <f t="shared" si="116"/>
        <v>102</v>
      </c>
      <c r="U97" s="495">
        <f t="shared" si="117"/>
        <v>4.40625</v>
      </c>
      <c r="V97" s="495">
        <f t="shared" si="118"/>
        <v>18.28125</v>
      </c>
      <c r="W97" s="495">
        <f t="shared" si="119"/>
        <v>0.28444444444444444</v>
      </c>
      <c r="X97" s="495">
        <f t="shared" si="120"/>
        <v>5.5222222222222221</v>
      </c>
      <c r="Y97" s="495">
        <f t="shared" si="121"/>
        <v>665</v>
      </c>
      <c r="Z97" s="495">
        <f t="shared" si="122"/>
        <v>4.6180555555555554</v>
      </c>
      <c r="AA97" s="495">
        <f t="shared" si="123"/>
        <v>22.12</v>
      </c>
      <c r="AB97" s="496"/>
      <c r="AC97" s="495">
        <f t="shared" si="124"/>
        <v>5.5222222222222221</v>
      </c>
      <c r="AD97" s="495">
        <f t="shared" si="125"/>
        <v>40.401250000000005</v>
      </c>
      <c r="AE97" s="495">
        <f t="shared" si="126"/>
        <v>45.92347222222223</v>
      </c>
      <c r="AF97" s="495">
        <f t="shared" si="127"/>
        <v>4.6180555555555554</v>
      </c>
      <c r="AG97" s="495">
        <f t="shared" si="128"/>
        <v>10.140277777777778</v>
      </c>
      <c r="AH97" s="495">
        <f t="shared" si="129"/>
        <v>45.019305555555562</v>
      </c>
      <c r="AI97" s="495">
        <f t="shared" si="130"/>
        <v>50.541527777777787</v>
      </c>
      <c r="AJ97" s="495">
        <f t="shared" si="131"/>
        <v>4.40625</v>
      </c>
      <c r="AK97" s="495">
        <f t="shared" si="132"/>
        <v>9.9284722222222221</v>
      </c>
      <c r="AL97" s="495">
        <f t="shared" si="133"/>
        <v>44.807500000000005</v>
      </c>
      <c r="AM97" s="495">
        <f t="shared" si="134"/>
        <v>50.32972222222223</v>
      </c>
      <c r="AN97" s="495">
        <f t="shared" si="135"/>
        <v>9.0243055555555554</v>
      </c>
      <c r="AO97" s="495">
        <f t="shared" si="136"/>
        <v>14.546527777777778</v>
      </c>
      <c r="AP97" s="495">
        <f t="shared" si="137"/>
        <v>49.425555555555562</v>
      </c>
      <c r="AQ97" s="495">
        <f t="shared" si="138"/>
        <v>54.947777777777787</v>
      </c>
      <c r="AR97" s="495">
        <f t="shared" si="139"/>
        <v>0.28444444444444444</v>
      </c>
      <c r="AS97" s="495">
        <f t="shared" si="140"/>
        <v>5.8066666666666666</v>
      </c>
      <c r="AT97" s="495">
        <f t="shared" si="141"/>
        <v>40.685694444444451</v>
      </c>
      <c r="AU97" s="495">
        <f t="shared" si="142"/>
        <v>46.207916666666677</v>
      </c>
      <c r="AV97" s="495">
        <f t="shared" si="143"/>
        <v>4.9024999999999999</v>
      </c>
      <c r="AW97" s="495">
        <f t="shared" si="144"/>
        <v>10.424722222222222</v>
      </c>
      <c r="AX97" s="495">
        <f t="shared" si="145"/>
        <v>45.303750000000008</v>
      </c>
      <c r="AY97" s="495">
        <f t="shared" si="146"/>
        <v>50.825972222222234</v>
      </c>
      <c r="AZ97" s="495">
        <f t="shared" si="147"/>
        <v>4.6906944444444445</v>
      </c>
      <c r="BA97" s="495">
        <f t="shared" si="148"/>
        <v>10.212916666666667</v>
      </c>
      <c r="BB97" s="495">
        <f t="shared" si="149"/>
        <v>45.091944444444451</v>
      </c>
      <c r="BC97" s="495">
        <f t="shared" si="150"/>
        <v>50.614166666666677</v>
      </c>
      <c r="BD97" s="495">
        <f t="shared" si="151"/>
        <v>9.3087499999999999</v>
      </c>
      <c r="BE97" s="495">
        <f t="shared" si="152"/>
        <v>14.830972222222222</v>
      </c>
      <c r="BF97" s="495">
        <f t="shared" si="153"/>
        <v>49.710000000000008</v>
      </c>
      <c r="BG97" s="495">
        <f t="shared" si="154"/>
        <v>55.232222222222234</v>
      </c>
    </row>
    <row r="98" spans="1:81">
      <c r="A98" s="465" t="s">
        <v>8441</v>
      </c>
      <c r="B98" s="483">
        <v>644287985</v>
      </c>
      <c r="C98" s="462" t="s">
        <v>8461</v>
      </c>
      <c r="F98" s="491" t="str" cm="1">
        <f t="array" aca="1" ref="F98" ca="1">MID(met2utc(PEPSSI_Commanding[[#This Row],[MET]]),3,15)</f>
        <v>26-171/19:01:10</v>
      </c>
      <c r="G98" s="465" t="str">
        <f t="shared" si="105"/>
        <v>OFF</v>
      </c>
      <c r="H98" s="466">
        <f t="shared" si="106"/>
        <v>616844816</v>
      </c>
      <c r="I98" s="466">
        <f t="shared" si="107"/>
        <v>644287985</v>
      </c>
      <c r="J98" s="465">
        <f t="shared" si="108"/>
        <v>17</v>
      </c>
      <c r="K98" s="465">
        <f t="shared" si="109"/>
        <v>0</v>
      </c>
      <c r="M98" s="462">
        <f t="shared" si="110"/>
        <v>360</v>
      </c>
      <c r="N98" s="462">
        <f t="shared" si="111"/>
        <v>2</v>
      </c>
      <c r="O98" s="462">
        <f t="shared" si="112"/>
        <v>900</v>
      </c>
      <c r="P98" s="462">
        <f t="shared" si="113"/>
        <v>1800</v>
      </c>
      <c r="Q98" s="462" t="str">
        <f t="shared" si="114"/>
        <v/>
      </c>
      <c r="R98" s="462">
        <f t="shared" si="115"/>
        <v>300</v>
      </c>
      <c r="S98" s="462" t="str">
        <f t="shared" si="116"/>
        <v>102</v>
      </c>
      <c r="U98" s="495">
        <f t="shared" si="117"/>
        <v>4.40625</v>
      </c>
      <c r="V98" s="495">
        <f t="shared" si="118"/>
        <v>18.28125</v>
      </c>
      <c r="W98" s="495">
        <f t="shared" si="119"/>
        <v>0.28444444444444444</v>
      </c>
      <c r="X98" s="495">
        <f t="shared" si="120"/>
        <v>5.5222222222222221</v>
      </c>
      <c r="Y98" s="495">
        <f t="shared" si="121"/>
        <v>665</v>
      </c>
      <c r="Z98" s="495">
        <f t="shared" si="122"/>
        <v>4.6180555555555554</v>
      </c>
      <c r="AA98" s="495">
        <f t="shared" si="123"/>
        <v>22.12</v>
      </c>
      <c r="AB98" s="496"/>
      <c r="AC98" s="495">
        <f t="shared" si="124"/>
        <v>5.5222222222222221</v>
      </c>
      <c r="AD98" s="495">
        <f t="shared" si="125"/>
        <v>40.401250000000005</v>
      </c>
      <c r="AE98" s="495">
        <f t="shared" si="126"/>
        <v>45.92347222222223</v>
      </c>
      <c r="AF98" s="495">
        <f t="shared" si="127"/>
        <v>4.6180555555555554</v>
      </c>
      <c r="AG98" s="495">
        <f t="shared" si="128"/>
        <v>10.140277777777778</v>
      </c>
      <c r="AH98" s="495">
        <f t="shared" si="129"/>
        <v>45.019305555555562</v>
      </c>
      <c r="AI98" s="495">
        <f t="shared" si="130"/>
        <v>50.541527777777787</v>
      </c>
      <c r="AJ98" s="495">
        <f t="shared" si="131"/>
        <v>4.40625</v>
      </c>
      <c r="AK98" s="495">
        <f t="shared" si="132"/>
        <v>9.9284722222222221</v>
      </c>
      <c r="AL98" s="495">
        <f t="shared" si="133"/>
        <v>44.807500000000005</v>
      </c>
      <c r="AM98" s="495">
        <f t="shared" si="134"/>
        <v>50.32972222222223</v>
      </c>
      <c r="AN98" s="495">
        <f t="shared" si="135"/>
        <v>9.0243055555555554</v>
      </c>
      <c r="AO98" s="495">
        <f t="shared" si="136"/>
        <v>14.546527777777778</v>
      </c>
      <c r="AP98" s="495">
        <f t="shared" si="137"/>
        <v>49.425555555555562</v>
      </c>
      <c r="AQ98" s="495">
        <f t="shared" si="138"/>
        <v>54.947777777777787</v>
      </c>
      <c r="AR98" s="495">
        <f t="shared" si="139"/>
        <v>0.28444444444444444</v>
      </c>
      <c r="AS98" s="495">
        <f t="shared" si="140"/>
        <v>5.8066666666666666</v>
      </c>
      <c r="AT98" s="495">
        <f t="shared" si="141"/>
        <v>40.685694444444451</v>
      </c>
      <c r="AU98" s="495">
        <f t="shared" si="142"/>
        <v>46.207916666666677</v>
      </c>
      <c r="AV98" s="495">
        <f t="shared" si="143"/>
        <v>4.9024999999999999</v>
      </c>
      <c r="AW98" s="495">
        <f t="shared" si="144"/>
        <v>10.424722222222222</v>
      </c>
      <c r="AX98" s="495">
        <f t="shared" si="145"/>
        <v>45.303750000000008</v>
      </c>
      <c r="AY98" s="495">
        <f t="shared" si="146"/>
        <v>50.825972222222234</v>
      </c>
      <c r="AZ98" s="495">
        <f t="shared" si="147"/>
        <v>4.6906944444444445</v>
      </c>
      <c r="BA98" s="495">
        <f t="shared" si="148"/>
        <v>10.212916666666667</v>
      </c>
      <c r="BB98" s="495">
        <f t="shared" si="149"/>
        <v>45.091944444444451</v>
      </c>
      <c r="BC98" s="495">
        <f t="shared" si="150"/>
        <v>50.614166666666677</v>
      </c>
      <c r="BD98" s="495">
        <f t="shared" si="151"/>
        <v>9.3087499999999999</v>
      </c>
      <c r="BE98" s="495">
        <f t="shared" si="152"/>
        <v>14.830972222222222</v>
      </c>
      <c r="BF98" s="495">
        <f t="shared" si="153"/>
        <v>49.710000000000008</v>
      </c>
      <c r="BG98" s="495">
        <f t="shared" si="154"/>
        <v>55.232222222222234</v>
      </c>
    </row>
    <row r="99" spans="1:81">
      <c r="A99" s="465" t="s">
        <v>8441</v>
      </c>
      <c r="B99" s="483">
        <v>644923315</v>
      </c>
      <c r="C99" s="462" t="s">
        <v>1148</v>
      </c>
      <c r="F99" s="491" t="str" cm="1">
        <f t="array" aca="1" ref="F99" ca="1">MID(met2utc(PEPSSI_Commanding[[#This Row],[MET]]),3,15)</f>
        <v>26-179/03:30:00</v>
      </c>
      <c r="G99" s="465" t="str">
        <f t="shared" si="105"/>
        <v>ON</v>
      </c>
      <c r="H99" s="466">
        <f t="shared" si="106"/>
        <v>644923315</v>
      </c>
      <c r="I99" s="466">
        <f t="shared" si="107"/>
        <v>644924995</v>
      </c>
      <c r="J99" s="465">
        <f t="shared" si="108"/>
        <v>0</v>
      </c>
      <c r="K99" s="465">
        <f t="shared" si="109"/>
        <v>10</v>
      </c>
      <c r="M99" s="462" t="str">
        <f t="shared" si="110"/>
        <v/>
      </c>
      <c r="N99" s="462" t="str">
        <f t="shared" si="111"/>
        <v/>
      </c>
      <c r="O99" s="462" t="str">
        <f t="shared" si="112"/>
        <v/>
      </c>
      <c r="P99" s="462" t="str">
        <f t="shared" si="113"/>
        <v/>
      </c>
      <c r="Q99" s="462" t="str">
        <f t="shared" si="114"/>
        <v/>
      </c>
      <c r="R99" s="462" t="str">
        <f t="shared" si="115"/>
        <v/>
      </c>
      <c r="S99" s="462" t="str">
        <f t="shared" si="116"/>
        <v/>
      </c>
      <c r="U99" s="495">
        <f t="shared" si="117"/>
        <v>0</v>
      </c>
      <c r="V99" s="495">
        <f t="shared" si="118"/>
        <v>0</v>
      </c>
      <c r="W99" s="495">
        <f t="shared" si="119"/>
        <v>0</v>
      </c>
      <c r="X99" s="495">
        <f t="shared" si="120"/>
        <v>0</v>
      </c>
      <c r="Y99" s="495">
        <f t="shared" si="121"/>
        <v>0</v>
      </c>
      <c r="Z99" s="495">
        <f t="shared" si="122"/>
        <v>0</v>
      </c>
      <c r="AA99" s="495">
        <f t="shared" si="123"/>
        <v>0</v>
      </c>
      <c r="AB99" s="496"/>
      <c r="AC99" s="495">
        <f t="shared" si="124"/>
        <v>0</v>
      </c>
      <c r="AD99" s="495">
        <f t="shared" si="125"/>
        <v>0</v>
      </c>
      <c r="AE99" s="495">
        <f t="shared" si="126"/>
        <v>0</v>
      </c>
      <c r="AF99" s="495">
        <f t="shared" si="127"/>
        <v>0</v>
      </c>
      <c r="AG99" s="495">
        <f t="shared" si="128"/>
        <v>0</v>
      </c>
      <c r="AH99" s="495">
        <f t="shared" si="129"/>
        <v>0</v>
      </c>
      <c r="AI99" s="495">
        <f t="shared" si="130"/>
        <v>0</v>
      </c>
      <c r="AJ99" s="495">
        <f t="shared" si="131"/>
        <v>0</v>
      </c>
      <c r="AK99" s="495">
        <f t="shared" si="132"/>
        <v>0</v>
      </c>
      <c r="AL99" s="495">
        <f t="shared" si="133"/>
        <v>0</v>
      </c>
      <c r="AM99" s="495">
        <f t="shared" si="134"/>
        <v>0</v>
      </c>
      <c r="AN99" s="495">
        <f t="shared" si="135"/>
        <v>0</v>
      </c>
      <c r="AO99" s="495">
        <f t="shared" si="136"/>
        <v>0</v>
      </c>
      <c r="AP99" s="495">
        <f t="shared" si="137"/>
        <v>0</v>
      </c>
      <c r="AQ99" s="495">
        <f t="shared" si="138"/>
        <v>0</v>
      </c>
      <c r="AR99" s="495">
        <f t="shared" si="139"/>
        <v>0</v>
      </c>
      <c r="AS99" s="495">
        <f t="shared" si="140"/>
        <v>0</v>
      </c>
      <c r="AT99" s="495">
        <f t="shared" si="141"/>
        <v>0</v>
      </c>
      <c r="AU99" s="495">
        <f t="shared" si="142"/>
        <v>0</v>
      </c>
      <c r="AV99" s="495">
        <f t="shared" si="143"/>
        <v>0</v>
      </c>
      <c r="AW99" s="495">
        <f t="shared" si="144"/>
        <v>0</v>
      </c>
      <c r="AX99" s="495">
        <f t="shared" si="145"/>
        <v>0</v>
      </c>
      <c r="AY99" s="495">
        <f t="shared" si="146"/>
        <v>0</v>
      </c>
      <c r="AZ99" s="495">
        <f t="shared" si="147"/>
        <v>0</v>
      </c>
      <c r="BA99" s="495">
        <f t="shared" si="148"/>
        <v>0</v>
      </c>
      <c r="BB99" s="495">
        <f t="shared" si="149"/>
        <v>0</v>
      </c>
      <c r="BC99" s="495">
        <f t="shared" si="150"/>
        <v>0</v>
      </c>
      <c r="BD99" s="495">
        <f t="shared" si="151"/>
        <v>0</v>
      </c>
      <c r="BE99" s="495">
        <f t="shared" si="152"/>
        <v>0</v>
      </c>
      <c r="BF99" s="495">
        <f t="shared" si="153"/>
        <v>0</v>
      </c>
      <c r="BG99" s="495">
        <f t="shared" si="154"/>
        <v>0</v>
      </c>
    </row>
    <row r="100" spans="1:81">
      <c r="A100" s="465" t="s">
        <v>8443</v>
      </c>
      <c r="B100" s="483">
        <v>644923360</v>
      </c>
      <c r="C100" s="462" t="s">
        <v>8404</v>
      </c>
      <c r="D100" s="462">
        <v>10</v>
      </c>
      <c r="F100" s="491" t="str" cm="1">
        <f t="array" aca="1" ref="F100" ca="1">MID(met2utc(PEPSSI_Commanding[[#This Row],[MET]]),3,15)</f>
        <v>26-179/03:30:45</v>
      </c>
      <c r="G100" s="465" t="str">
        <f t="shared" si="105"/>
        <v>MAC+10</v>
      </c>
      <c r="H100" s="466">
        <f t="shared" si="106"/>
        <v>644923315</v>
      </c>
      <c r="I100" s="466">
        <f t="shared" si="107"/>
        <v>644924995</v>
      </c>
      <c r="J100" s="465">
        <f t="shared" si="108"/>
        <v>1</v>
      </c>
      <c r="K100" s="465">
        <f t="shared" si="109"/>
        <v>9</v>
      </c>
      <c r="M100" s="462" t="str">
        <f t="shared" si="110"/>
        <v/>
      </c>
      <c r="N100" s="462" t="str">
        <f t="shared" si="111"/>
        <v/>
      </c>
      <c r="O100" s="462" t="str">
        <f t="shared" si="112"/>
        <v/>
      </c>
      <c r="P100" s="462" t="str">
        <f t="shared" si="113"/>
        <v/>
      </c>
      <c r="Q100" s="462" t="str">
        <f t="shared" si="114"/>
        <v/>
      </c>
      <c r="R100" s="462" t="str">
        <f t="shared" si="115"/>
        <v/>
      </c>
      <c r="S100" s="462" t="str">
        <f t="shared" si="116"/>
        <v/>
      </c>
      <c r="U100" s="495">
        <f t="shared" si="117"/>
        <v>0</v>
      </c>
      <c r="V100" s="495">
        <f t="shared" si="118"/>
        <v>0</v>
      </c>
      <c r="W100" s="495">
        <f t="shared" si="119"/>
        <v>0</v>
      </c>
      <c r="X100" s="495">
        <f t="shared" si="120"/>
        <v>0</v>
      </c>
      <c r="Y100" s="495">
        <f t="shared" si="121"/>
        <v>0</v>
      </c>
      <c r="Z100" s="495">
        <f t="shared" si="122"/>
        <v>0</v>
      </c>
      <c r="AA100" s="495">
        <f t="shared" si="123"/>
        <v>0</v>
      </c>
      <c r="AB100" s="496"/>
      <c r="AC100" s="495">
        <f t="shared" si="124"/>
        <v>0</v>
      </c>
      <c r="AD100" s="495">
        <f t="shared" si="125"/>
        <v>0</v>
      </c>
      <c r="AE100" s="495">
        <f t="shared" si="126"/>
        <v>0</v>
      </c>
      <c r="AF100" s="495">
        <f t="shared" si="127"/>
        <v>0</v>
      </c>
      <c r="AG100" s="495">
        <f t="shared" si="128"/>
        <v>0</v>
      </c>
      <c r="AH100" s="495">
        <f t="shared" si="129"/>
        <v>0</v>
      </c>
      <c r="AI100" s="495">
        <f t="shared" si="130"/>
        <v>0</v>
      </c>
      <c r="AJ100" s="495">
        <f t="shared" si="131"/>
        <v>0</v>
      </c>
      <c r="AK100" s="495">
        <f t="shared" si="132"/>
        <v>0</v>
      </c>
      <c r="AL100" s="495">
        <f t="shared" si="133"/>
        <v>0</v>
      </c>
      <c r="AM100" s="495">
        <f t="shared" si="134"/>
        <v>0</v>
      </c>
      <c r="AN100" s="495">
        <f t="shared" si="135"/>
        <v>0</v>
      </c>
      <c r="AO100" s="495">
        <f t="shared" si="136"/>
        <v>0</v>
      </c>
      <c r="AP100" s="495">
        <f t="shared" si="137"/>
        <v>0</v>
      </c>
      <c r="AQ100" s="495">
        <f t="shared" si="138"/>
        <v>0</v>
      </c>
      <c r="AR100" s="495">
        <f t="shared" si="139"/>
        <v>0</v>
      </c>
      <c r="AS100" s="495">
        <f t="shared" si="140"/>
        <v>0</v>
      </c>
      <c r="AT100" s="495">
        <f t="shared" si="141"/>
        <v>0</v>
      </c>
      <c r="AU100" s="495">
        <f t="shared" si="142"/>
        <v>0</v>
      </c>
      <c r="AV100" s="495">
        <f t="shared" si="143"/>
        <v>0</v>
      </c>
      <c r="AW100" s="495">
        <f t="shared" si="144"/>
        <v>0</v>
      </c>
      <c r="AX100" s="495">
        <f t="shared" si="145"/>
        <v>0</v>
      </c>
      <c r="AY100" s="495">
        <f t="shared" si="146"/>
        <v>0</v>
      </c>
      <c r="AZ100" s="495">
        <f t="shared" si="147"/>
        <v>0</v>
      </c>
      <c r="BA100" s="495">
        <f t="shared" si="148"/>
        <v>0</v>
      </c>
      <c r="BB100" s="495">
        <f t="shared" si="149"/>
        <v>0</v>
      </c>
      <c r="BC100" s="495">
        <f t="shared" si="150"/>
        <v>0</v>
      </c>
      <c r="BD100" s="495">
        <f t="shared" si="151"/>
        <v>0</v>
      </c>
      <c r="BE100" s="495">
        <f t="shared" si="152"/>
        <v>0</v>
      </c>
      <c r="BF100" s="495">
        <f t="shared" si="153"/>
        <v>0</v>
      </c>
      <c r="BG100" s="495">
        <f t="shared" si="154"/>
        <v>0</v>
      </c>
    </row>
    <row r="101" spans="1:81">
      <c r="A101" s="465" t="s">
        <v>8445</v>
      </c>
      <c r="B101" s="483">
        <v>644923360</v>
      </c>
      <c r="C101" s="462" t="s">
        <v>776</v>
      </c>
      <c r="D101" s="462">
        <v>10</v>
      </c>
      <c r="F101" s="491" t="str" cm="1">
        <f t="array" aca="1" ref="F101" ca="1">MID(met2utc(PEPSSI_Commanding[[#This Row],[MET]]),3,15)</f>
        <v>26-179/03:30:45</v>
      </c>
      <c r="G101" s="465" t="str">
        <f t="shared" si="105"/>
        <v>N2+10</v>
      </c>
      <c r="H101" s="466">
        <f t="shared" si="106"/>
        <v>644923315</v>
      </c>
      <c r="I101" s="466">
        <f t="shared" si="107"/>
        <v>644924995</v>
      </c>
      <c r="J101" s="465">
        <f t="shared" si="108"/>
        <v>2</v>
      </c>
      <c r="K101" s="465">
        <f t="shared" si="109"/>
        <v>8</v>
      </c>
      <c r="M101" s="462" t="str">
        <f t="shared" si="110"/>
        <v/>
      </c>
      <c r="N101" s="462">
        <f t="shared" si="111"/>
        <v>10</v>
      </c>
      <c r="O101" s="462" t="str">
        <f t="shared" si="112"/>
        <v/>
      </c>
      <c r="P101" s="462" t="str">
        <f t="shared" si="113"/>
        <v/>
      </c>
      <c r="Q101" s="462" t="str">
        <f t="shared" si="114"/>
        <v/>
      </c>
      <c r="R101" s="462" t="str">
        <f t="shared" si="115"/>
        <v/>
      </c>
      <c r="S101" s="462" t="str">
        <f t="shared" si="116"/>
        <v/>
      </c>
      <c r="U101" s="495">
        <f t="shared" si="117"/>
        <v>0.88124999999999998</v>
      </c>
      <c r="V101" s="495">
        <f t="shared" si="118"/>
        <v>3.65625</v>
      </c>
      <c r="W101" s="495">
        <f t="shared" si="119"/>
        <v>0</v>
      </c>
      <c r="X101" s="495">
        <f t="shared" si="120"/>
        <v>0</v>
      </c>
      <c r="Y101" s="495">
        <f t="shared" si="121"/>
        <v>133</v>
      </c>
      <c r="Z101" s="495">
        <f t="shared" si="122"/>
        <v>133</v>
      </c>
      <c r="AA101" s="495">
        <f t="shared" si="123"/>
        <v>0</v>
      </c>
      <c r="AB101" s="496"/>
      <c r="AC101" s="495">
        <f t="shared" si="124"/>
        <v>0</v>
      </c>
      <c r="AD101" s="495">
        <f t="shared" si="125"/>
        <v>0</v>
      </c>
      <c r="AE101" s="495">
        <f t="shared" si="126"/>
        <v>0</v>
      </c>
      <c r="AF101" s="495">
        <f t="shared" si="127"/>
        <v>136.65625</v>
      </c>
      <c r="AG101" s="495">
        <f t="shared" si="128"/>
        <v>136.65625</v>
      </c>
      <c r="AH101" s="495">
        <f t="shared" si="129"/>
        <v>136.65625</v>
      </c>
      <c r="AI101" s="495">
        <f t="shared" si="130"/>
        <v>136.65625</v>
      </c>
      <c r="AJ101" s="495">
        <f t="shared" si="131"/>
        <v>0.88124999999999998</v>
      </c>
      <c r="AK101" s="495">
        <f t="shared" si="132"/>
        <v>0.88124999999999998</v>
      </c>
      <c r="AL101" s="495">
        <f t="shared" si="133"/>
        <v>0.88124999999999998</v>
      </c>
      <c r="AM101" s="495">
        <f t="shared" si="134"/>
        <v>0.88124999999999998</v>
      </c>
      <c r="AN101" s="495">
        <f t="shared" si="135"/>
        <v>137.53749999999999</v>
      </c>
      <c r="AO101" s="495">
        <f t="shared" si="136"/>
        <v>137.53749999999999</v>
      </c>
      <c r="AP101" s="495">
        <f t="shared" si="137"/>
        <v>137.53749999999999</v>
      </c>
      <c r="AQ101" s="495">
        <f t="shared" si="138"/>
        <v>137.53749999999999</v>
      </c>
      <c r="AR101" s="495">
        <f t="shared" si="139"/>
        <v>0</v>
      </c>
      <c r="AS101" s="495">
        <f t="shared" si="140"/>
        <v>0</v>
      </c>
      <c r="AT101" s="495">
        <f t="shared" si="141"/>
        <v>0</v>
      </c>
      <c r="AU101" s="495">
        <f t="shared" si="142"/>
        <v>0</v>
      </c>
      <c r="AV101" s="495">
        <f t="shared" si="143"/>
        <v>136.65625</v>
      </c>
      <c r="AW101" s="495">
        <f t="shared" si="144"/>
        <v>136.65625</v>
      </c>
      <c r="AX101" s="495">
        <f t="shared" si="145"/>
        <v>136.65625</v>
      </c>
      <c r="AY101" s="495">
        <f t="shared" si="146"/>
        <v>136.65625</v>
      </c>
      <c r="AZ101" s="495">
        <f t="shared" si="147"/>
        <v>0.88124999999999998</v>
      </c>
      <c r="BA101" s="495">
        <f t="shared" si="148"/>
        <v>0.88124999999999998</v>
      </c>
      <c r="BB101" s="495">
        <f t="shared" si="149"/>
        <v>0.88124999999999998</v>
      </c>
      <c r="BC101" s="495">
        <f t="shared" si="150"/>
        <v>0.88124999999999998</v>
      </c>
      <c r="BD101" s="495">
        <f t="shared" si="151"/>
        <v>137.53749999999999</v>
      </c>
      <c r="BE101" s="495">
        <f t="shared" si="152"/>
        <v>137.53749999999999</v>
      </c>
      <c r="BF101" s="495">
        <f t="shared" si="153"/>
        <v>137.53749999999999</v>
      </c>
      <c r="BG101" s="495">
        <f t="shared" si="154"/>
        <v>137.53749999999999</v>
      </c>
      <c r="CC101" s="502"/>
    </row>
    <row r="102" spans="1:81">
      <c r="A102" s="465" t="s">
        <v>8445</v>
      </c>
      <c r="B102" s="483">
        <v>644923361</v>
      </c>
      <c r="C102" s="462" t="s">
        <v>773</v>
      </c>
      <c r="D102" s="462">
        <v>300</v>
      </c>
      <c r="F102" s="491" t="str" cm="1">
        <f t="array" aca="1" ref="F102" ca="1">MID(met2utc(PEPSSI_Commanding[[#This Row],[MET]]),3,15)</f>
        <v>26-179/03:30:46</v>
      </c>
      <c r="G102" s="465" t="str">
        <f t="shared" si="105"/>
        <v>N3+300</v>
      </c>
      <c r="H102" s="466">
        <f t="shared" si="106"/>
        <v>644923315</v>
      </c>
      <c r="I102" s="466">
        <f t="shared" si="107"/>
        <v>644924995</v>
      </c>
      <c r="J102" s="465">
        <f t="shared" si="108"/>
        <v>3</v>
      </c>
      <c r="K102" s="465">
        <f t="shared" si="109"/>
        <v>7</v>
      </c>
      <c r="M102" s="462" t="str">
        <f t="shared" si="110"/>
        <v/>
      </c>
      <c r="N102" s="462">
        <f t="shared" si="111"/>
        <v>10</v>
      </c>
      <c r="O102" s="462">
        <f t="shared" si="112"/>
        <v>300</v>
      </c>
      <c r="P102" s="462" t="str">
        <f t="shared" si="113"/>
        <v/>
      </c>
      <c r="Q102" s="462" t="str">
        <f t="shared" si="114"/>
        <v/>
      </c>
      <c r="R102" s="462" t="str">
        <f t="shared" si="115"/>
        <v/>
      </c>
      <c r="S102" s="462" t="str">
        <f t="shared" si="116"/>
        <v/>
      </c>
      <c r="U102" s="495">
        <f t="shared" si="117"/>
        <v>0.88124999999999998</v>
      </c>
      <c r="V102" s="495">
        <f t="shared" si="118"/>
        <v>3.65625</v>
      </c>
      <c r="W102" s="495">
        <f t="shared" si="119"/>
        <v>0</v>
      </c>
      <c r="X102" s="495">
        <f t="shared" si="120"/>
        <v>0</v>
      </c>
      <c r="Y102" s="495">
        <f t="shared" si="121"/>
        <v>133</v>
      </c>
      <c r="Z102" s="495">
        <f t="shared" si="122"/>
        <v>133</v>
      </c>
      <c r="AA102" s="495">
        <f t="shared" si="123"/>
        <v>66.36</v>
      </c>
      <c r="AB102" s="496"/>
      <c r="AC102" s="495">
        <f t="shared" si="124"/>
        <v>0</v>
      </c>
      <c r="AD102" s="495">
        <f t="shared" si="125"/>
        <v>66.36</v>
      </c>
      <c r="AE102" s="495">
        <f t="shared" si="126"/>
        <v>66.36</v>
      </c>
      <c r="AF102" s="495">
        <f t="shared" si="127"/>
        <v>136.65625</v>
      </c>
      <c r="AG102" s="495">
        <f t="shared" si="128"/>
        <v>136.65625</v>
      </c>
      <c r="AH102" s="495">
        <f t="shared" si="129"/>
        <v>203.01625000000001</v>
      </c>
      <c r="AI102" s="495">
        <f t="shared" si="130"/>
        <v>203.01625000000001</v>
      </c>
      <c r="AJ102" s="495">
        <f t="shared" si="131"/>
        <v>0.88124999999999998</v>
      </c>
      <c r="AK102" s="495">
        <f t="shared" si="132"/>
        <v>0.88124999999999998</v>
      </c>
      <c r="AL102" s="495">
        <f t="shared" si="133"/>
        <v>67.241249999999994</v>
      </c>
      <c r="AM102" s="495">
        <f t="shared" si="134"/>
        <v>67.241249999999994</v>
      </c>
      <c r="AN102" s="495">
        <f t="shared" si="135"/>
        <v>137.53749999999999</v>
      </c>
      <c r="AO102" s="495">
        <f t="shared" si="136"/>
        <v>137.53749999999999</v>
      </c>
      <c r="AP102" s="495">
        <f t="shared" si="137"/>
        <v>203.89749999999998</v>
      </c>
      <c r="AQ102" s="495">
        <f t="shared" si="138"/>
        <v>203.89749999999998</v>
      </c>
      <c r="AR102" s="495">
        <f t="shared" si="139"/>
        <v>0</v>
      </c>
      <c r="AS102" s="495">
        <f t="shared" si="140"/>
        <v>0</v>
      </c>
      <c r="AT102" s="495">
        <f t="shared" si="141"/>
        <v>66.36</v>
      </c>
      <c r="AU102" s="495">
        <f t="shared" si="142"/>
        <v>66.36</v>
      </c>
      <c r="AV102" s="495">
        <f t="shared" si="143"/>
        <v>136.65625</v>
      </c>
      <c r="AW102" s="495">
        <f t="shared" si="144"/>
        <v>136.65625</v>
      </c>
      <c r="AX102" s="495">
        <f t="shared" si="145"/>
        <v>203.01625000000001</v>
      </c>
      <c r="AY102" s="495">
        <f t="shared" si="146"/>
        <v>203.01625000000001</v>
      </c>
      <c r="AZ102" s="495">
        <f t="shared" si="147"/>
        <v>0.88124999999999998</v>
      </c>
      <c r="BA102" s="495">
        <f t="shared" si="148"/>
        <v>0.88124999999999998</v>
      </c>
      <c r="BB102" s="495">
        <f t="shared" si="149"/>
        <v>67.241249999999994</v>
      </c>
      <c r="BC102" s="495">
        <f t="shared" si="150"/>
        <v>67.241249999999994</v>
      </c>
      <c r="BD102" s="495">
        <f t="shared" si="151"/>
        <v>137.53749999999999</v>
      </c>
      <c r="BE102" s="495">
        <f t="shared" si="152"/>
        <v>137.53749999999999</v>
      </c>
      <c r="BF102" s="495">
        <f t="shared" si="153"/>
        <v>203.89749999999998</v>
      </c>
      <c r="BG102" s="495">
        <f t="shared" si="154"/>
        <v>203.89749999999998</v>
      </c>
    </row>
    <row r="103" spans="1:81">
      <c r="A103" s="465" t="s">
        <v>8445</v>
      </c>
      <c r="B103" s="483">
        <v>644923362</v>
      </c>
      <c r="C103" s="462" t="s">
        <v>12</v>
      </c>
      <c r="D103" s="462">
        <v>10</v>
      </c>
      <c r="F103" s="491" t="str" cm="1">
        <f t="array" aca="1" ref="F103" ca="1">MID(met2utc(PEPSSI_Commanding[[#This Row],[MET]]),3,15)</f>
        <v>26-179/03:30:47</v>
      </c>
      <c r="G103" s="465" t="str">
        <f t="shared" si="105"/>
        <v>N1+10</v>
      </c>
      <c r="H103" s="466">
        <f t="shared" si="106"/>
        <v>644923315</v>
      </c>
      <c r="I103" s="466">
        <f t="shared" si="107"/>
        <v>644924995</v>
      </c>
      <c r="J103" s="465">
        <f t="shared" si="108"/>
        <v>4</v>
      </c>
      <c r="K103" s="465">
        <f t="shared" si="109"/>
        <v>6</v>
      </c>
      <c r="M103" s="462">
        <f t="shared" si="110"/>
        <v>10</v>
      </c>
      <c r="N103" s="462">
        <f t="shared" si="111"/>
        <v>10</v>
      </c>
      <c r="O103" s="462">
        <f t="shared" si="112"/>
        <v>300</v>
      </c>
      <c r="P103" s="462" t="str">
        <f t="shared" si="113"/>
        <v/>
      </c>
      <c r="Q103" s="462" t="str">
        <f t="shared" si="114"/>
        <v/>
      </c>
      <c r="R103" s="462" t="str">
        <f t="shared" si="115"/>
        <v/>
      </c>
      <c r="S103" s="462" t="str">
        <f t="shared" si="116"/>
        <v/>
      </c>
      <c r="U103" s="495">
        <f t="shared" si="117"/>
        <v>0.88124999999999998</v>
      </c>
      <c r="V103" s="495">
        <f t="shared" si="118"/>
        <v>3.65625</v>
      </c>
      <c r="W103" s="495">
        <f t="shared" si="119"/>
        <v>0</v>
      </c>
      <c r="X103" s="495">
        <f t="shared" si="120"/>
        <v>198.8</v>
      </c>
      <c r="Y103" s="495">
        <f t="shared" si="121"/>
        <v>133</v>
      </c>
      <c r="Z103" s="495">
        <f t="shared" si="122"/>
        <v>133</v>
      </c>
      <c r="AA103" s="495">
        <f t="shared" si="123"/>
        <v>66.36</v>
      </c>
      <c r="AB103" s="496"/>
      <c r="AC103" s="495">
        <f t="shared" si="124"/>
        <v>198.8</v>
      </c>
      <c r="AD103" s="495">
        <f t="shared" si="125"/>
        <v>66.36</v>
      </c>
      <c r="AE103" s="495">
        <f t="shared" si="126"/>
        <v>265.16000000000003</v>
      </c>
      <c r="AF103" s="495">
        <f t="shared" si="127"/>
        <v>136.65625</v>
      </c>
      <c r="AG103" s="495">
        <f t="shared" si="128"/>
        <v>335.45625000000001</v>
      </c>
      <c r="AH103" s="495">
        <f t="shared" si="129"/>
        <v>203.01625000000001</v>
      </c>
      <c r="AI103" s="495">
        <f t="shared" si="130"/>
        <v>401.81625000000003</v>
      </c>
      <c r="AJ103" s="495">
        <f t="shared" si="131"/>
        <v>0.88124999999999998</v>
      </c>
      <c r="AK103" s="495">
        <f t="shared" si="132"/>
        <v>199.68125000000001</v>
      </c>
      <c r="AL103" s="495">
        <f t="shared" si="133"/>
        <v>67.241249999999994</v>
      </c>
      <c r="AM103" s="495">
        <f t="shared" si="134"/>
        <v>266.04124999999999</v>
      </c>
      <c r="AN103" s="495">
        <f t="shared" si="135"/>
        <v>137.53749999999999</v>
      </c>
      <c r="AO103" s="495">
        <f t="shared" si="136"/>
        <v>336.33749999999998</v>
      </c>
      <c r="AP103" s="495">
        <f t="shared" si="137"/>
        <v>203.89749999999998</v>
      </c>
      <c r="AQ103" s="495">
        <f t="shared" si="138"/>
        <v>402.69749999999999</v>
      </c>
      <c r="AR103" s="495">
        <f t="shared" si="139"/>
        <v>0</v>
      </c>
      <c r="AS103" s="495">
        <f t="shared" si="140"/>
        <v>198.8</v>
      </c>
      <c r="AT103" s="495">
        <f t="shared" si="141"/>
        <v>66.36</v>
      </c>
      <c r="AU103" s="495">
        <f t="shared" si="142"/>
        <v>265.16000000000003</v>
      </c>
      <c r="AV103" s="495">
        <f t="shared" si="143"/>
        <v>136.65625</v>
      </c>
      <c r="AW103" s="495">
        <f t="shared" si="144"/>
        <v>335.45625000000001</v>
      </c>
      <c r="AX103" s="495">
        <f t="shared" si="145"/>
        <v>203.01625000000001</v>
      </c>
      <c r="AY103" s="495">
        <f t="shared" si="146"/>
        <v>401.81625000000003</v>
      </c>
      <c r="AZ103" s="495">
        <f t="shared" si="147"/>
        <v>0.88124999999999998</v>
      </c>
      <c r="BA103" s="495">
        <f t="shared" si="148"/>
        <v>199.68125000000001</v>
      </c>
      <c r="BB103" s="495">
        <f t="shared" si="149"/>
        <v>67.241249999999994</v>
      </c>
      <c r="BC103" s="495">
        <f t="shared" si="150"/>
        <v>266.04124999999999</v>
      </c>
      <c r="BD103" s="495">
        <f t="shared" si="151"/>
        <v>137.53749999999999</v>
      </c>
      <c r="BE103" s="495">
        <f t="shared" si="152"/>
        <v>336.33749999999998</v>
      </c>
      <c r="BF103" s="495">
        <f t="shared" si="153"/>
        <v>203.89749999999998</v>
      </c>
      <c r="BG103" s="495">
        <f t="shared" si="154"/>
        <v>402.69749999999999</v>
      </c>
    </row>
    <row r="104" spans="1:81">
      <c r="A104" s="465" t="s">
        <v>8447</v>
      </c>
      <c r="B104" s="483">
        <v>644923363</v>
      </c>
      <c r="C104" s="462" t="s">
        <v>8403</v>
      </c>
      <c r="D104" s="462">
        <v>1</v>
      </c>
      <c r="F104" s="491" t="str" cm="1">
        <f t="array" aca="1" ref="F104" ca="1">MID(met2utc(PEPSSI_Commanding[[#This Row],[MET]]),3,15)</f>
        <v>26-179/03:30:48</v>
      </c>
      <c r="G104" s="465" t="str">
        <f t="shared" si="105"/>
        <v>STAT+1</v>
      </c>
      <c r="H104" s="466">
        <f t="shared" si="106"/>
        <v>644923315</v>
      </c>
      <c r="I104" s="466">
        <f t="shared" si="107"/>
        <v>644924995</v>
      </c>
      <c r="J104" s="465">
        <f t="shared" si="108"/>
        <v>5</v>
      </c>
      <c r="K104" s="465">
        <f t="shared" si="109"/>
        <v>5</v>
      </c>
      <c r="M104" s="462">
        <f t="shared" si="110"/>
        <v>10</v>
      </c>
      <c r="N104" s="462">
        <f t="shared" si="111"/>
        <v>10</v>
      </c>
      <c r="O104" s="462">
        <f t="shared" si="112"/>
        <v>300</v>
      </c>
      <c r="P104" s="462">
        <f t="shared" si="113"/>
        <v>1</v>
      </c>
      <c r="Q104" s="462" t="str">
        <f t="shared" si="114"/>
        <v/>
      </c>
      <c r="R104" s="462" t="str">
        <f t="shared" si="115"/>
        <v/>
      </c>
      <c r="S104" s="462" t="str">
        <f t="shared" si="116"/>
        <v/>
      </c>
      <c r="U104" s="495">
        <f t="shared" si="117"/>
        <v>0.88124999999999998</v>
      </c>
      <c r="V104" s="495">
        <f t="shared" si="118"/>
        <v>3.65625</v>
      </c>
      <c r="W104" s="495">
        <f t="shared" si="119"/>
        <v>512</v>
      </c>
      <c r="X104" s="495">
        <f t="shared" si="120"/>
        <v>198.8</v>
      </c>
      <c r="Y104" s="495">
        <f t="shared" si="121"/>
        <v>133</v>
      </c>
      <c r="Z104" s="495">
        <f t="shared" si="122"/>
        <v>133</v>
      </c>
      <c r="AA104" s="495">
        <f t="shared" si="123"/>
        <v>66.36</v>
      </c>
      <c r="AB104" s="496"/>
      <c r="AC104" s="495">
        <f t="shared" si="124"/>
        <v>198.8</v>
      </c>
      <c r="AD104" s="495">
        <f t="shared" si="125"/>
        <v>66.36</v>
      </c>
      <c r="AE104" s="495">
        <f t="shared" si="126"/>
        <v>265.16000000000003</v>
      </c>
      <c r="AF104" s="495">
        <f t="shared" si="127"/>
        <v>136.65625</v>
      </c>
      <c r="AG104" s="495">
        <f t="shared" si="128"/>
        <v>335.45625000000001</v>
      </c>
      <c r="AH104" s="495">
        <f t="shared" si="129"/>
        <v>203.01625000000001</v>
      </c>
      <c r="AI104" s="495">
        <f t="shared" si="130"/>
        <v>401.81625000000003</v>
      </c>
      <c r="AJ104" s="495">
        <f t="shared" si="131"/>
        <v>0.88124999999999998</v>
      </c>
      <c r="AK104" s="495">
        <f t="shared" si="132"/>
        <v>199.68125000000001</v>
      </c>
      <c r="AL104" s="495">
        <f t="shared" si="133"/>
        <v>67.241249999999994</v>
      </c>
      <c r="AM104" s="495">
        <f t="shared" si="134"/>
        <v>266.04124999999999</v>
      </c>
      <c r="AN104" s="495">
        <f t="shared" si="135"/>
        <v>137.53749999999999</v>
      </c>
      <c r="AO104" s="495">
        <f t="shared" si="136"/>
        <v>336.33749999999998</v>
      </c>
      <c r="AP104" s="495">
        <f t="shared" si="137"/>
        <v>203.89749999999998</v>
      </c>
      <c r="AQ104" s="495">
        <f t="shared" si="138"/>
        <v>402.69749999999999</v>
      </c>
      <c r="AR104" s="495">
        <f t="shared" si="139"/>
        <v>512</v>
      </c>
      <c r="AS104" s="495">
        <f t="shared" si="140"/>
        <v>710.8</v>
      </c>
      <c r="AT104" s="495">
        <f t="shared" si="141"/>
        <v>578.36</v>
      </c>
      <c r="AU104" s="495">
        <f t="shared" si="142"/>
        <v>777.16000000000008</v>
      </c>
      <c r="AV104" s="495">
        <f t="shared" si="143"/>
        <v>648.65625</v>
      </c>
      <c r="AW104" s="495">
        <f t="shared" si="144"/>
        <v>847.45624999999995</v>
      </c>
      <c r="AX104" s="495">
        <f t="shared" si="145"/>
        <v>715.01625000000001</v>
      </c>
      <c r="AY104" s="495">
        <f t="shared" si="146"/>
        <v>913.81625000000008</v>
      </c>
      <c r="AZ104" s="495">
        <f t="shared" si="147"/>
        <v>512.88125000000002</v>
      </c>
      <c r="BA104" s="495">
        <f t="shared" si="148"/>
        <v>711.68125000000009</v>
      </c>
      <c r="BB104" s="495">
        <f t="shared" si="149"/>
        <v>579.24125000000004</v>
      </c>
      <c r="BC104" s="495">
        <f t="shared" si="150"/>
        <v>778.04124999999999</v>
      </c>
      <c r="BD104" s="495">
        <f t="shared" si="151"/>
        <v>649.53750000000002</v>
      </c>
      <c r="BE104" s="495">
        <f t="shared" si="152"/>
        <v>848.33750000000009</v>
      </c>
      <c r="BF104" s="495">
        <f t="shared" si="153"/>
        <v>715.89750000000004</v>
      </c>
      <c r="BG104" s="495">
        <f t="shared" si="154"/>
        <v>914.69749999999999</v>
      </c>
    </row>
    <row r="105" spans="1:81">
      <c r="A105" s="465" t="s">
        <v>8445</v>
      </c>
      <c r="B105" s="483">
        <v>644924846</v>
      </c>
      <c r="C105" s="462" t="s">
        <v>776</v>
      </c>
      <c r="D105" s="462">
        <v>40</v>
      </c>
      <c r="F105" s="491" t="str" cm="1">
        <f t="array" aca="1" ref="F105" ca="1">MID(met2utc(PEPSSI_Commanding[[#This Row],[MET]]),3,15)</f>
        <v>26-179/03:55:31</v>
      </c>
      <c r="G105" s="465" t="str">
        <f t="shared" si="105"/>
        <v>N2+40</v>
      </c>
      <c r="H105" s="466">
        <f t="shared" si="106"/>
        <v>644923315</v>
      </c>
      <c r="I105" s="466">
        <f t="shared" si="107"/>
        <v>644924995</v>
      </c>
      <c r="J105" s="465">
        <f t="shared" si="108"/>
        <v>6</v>
      </c>
      <c r="K105" s="465">
        <f t="shared" si="109"/>
        <v>4</v>
      </c>
      <c r="M105" s="462">
        <f t="shared" si="110"/>
        <v>10</v>
      </c>
      <c r="N105" s="462">
        <f t="shared" si="111"/>
        <v>40</v>
      </c>
      <c r="O105" s="462">
        <f t="shared" si="112"/>
        <v>300</v>
      </c>
      <c r="P105" s="462">
        <f t="shared" si="113"/>
        <v>1</v>
      </c>
      <c r="Q105" s="462" t="str">
        <f t="shared" si="114"/>
        <v/>
      </c>
      <c r="R105" s="462" t="str">
        <f t="shared" si="115"/>
        <v/>
      </c>
      <c r="S105" s="462" t="str">
        <f t="shared" si="116"/>
        <v/>
      </c>
      <c r="U105" s="495">
        <f t="shared" si="117"/>
        <v>0.22031249999999999</v>
      </c>
      <c r="V105" s="495">
        <f t="shared" si="118"/>
        <v>0.9140625</v>
      </c>
      <c r="W105" s="495">
        <f t="shared" si="119"/>
        <v>512</v>
      </c>
      <c r="X105" s="495">
        <f t="shared" si="120"/>
        <v>198.8</v>
      </c>
      <c r="Y105" s="495">
        <f t="shared" si="121"/>
        <v>33.25</v>
      </c>
      <c r="Z105" s="495">
        <f t="shared" si="122"/>
        <v>33.25</v>
      </c>
      <c r="AA105" s="495">
        <f t="shared" si="123"/>
        <v>66.36</v>
      </c>
      <c r="AB105" s="496"/>
      <c r="AC105" s="495">
        <f t="shared" si="124"/>
        <v>198.8</v>
      </c>
      <c r="AD105" s="495">
        <f t="shared" si="125"/>
        <v>66.36</v>
      </c>
      <c r="AE105" s="495">
        <f t="shared" si="126"/>
        <v>265.16000000000003</v>
      </c>
      <c r="AF105" s="495">
        <f t="shared" si="127"/>
        <v>34.1640625</v>
      </c>
      <c r="AG105" s="495">
        <f t="shared" si="128"/>
        <v>232.96406250000001</v>
      </c>
      <c r="AH105" s="495">
        <f t="shared" si="129"/>
        <v>100.5240625</v>
      </c>
      <c r="AI105" s="495">
        <f t="shared" si="130"/>
        <v>299.32406250000003</v>
      </c>
      <c r="AJ105" s="495">
        <f t="shared" si="131"/>
        <v>0.22031249999999999</v>
      </c>
      <c r="AK105" s="495">
        <f t="shared" si="132"/>
        <v>199.02031250000002</v>
      </c>
      <c r="AL105" s="495">
        <f t="shared" si="133"/>
        <v>66.580312500000005</v>
      </c>
      <c r="AM105" s="495">
        <f t="shared" si="134"/>
        <v>265.3803125</v>
      </c>
      <c r="AN105" s="495">
        <f t="shared" si="135"/>
        <v>34.384374999999999</v>
      </c>
      <c r="AO105" s="495">
        <f t="shared" si="136"/>
        <v>233.18437500000002</v>
      </c>
      <c r="AP105" s="495">
        <f t="shared" si="137"/>
        <v>100.74437499999999</v>
      </c>
      <c r="AQ105" s="495">
        <f t="shared" si="138"/>
        <v>299.544375</v>
      </c>
      <c r="AR105" s="495">
        <f t="shared" si="139"/>
        <v>512</v>
      </c>
      <c r="AS105" s="495">
        <f t="shared" si="140"/>
        <v>710.8</v>
      </c>
      <c r="AT105" s="495">
        <f t="shared" si="141"/>
        <v>578.36</v>
      </c>
      <c r="AU105" s="495">
        <f t="shared" si="142"/>
        <v>777.16000000000008</v>
      </c>
      <c r="AV105" s="495">
        <f t="shared" si="143"/>
        <v>546.1640625</v>
      </c>
      <c r="AW105" s="495">
        <f t="shared" si="144"/>
        <v>744.96406249999995</v>
      </c>
      <c r="AX105" s="495">
        <f t="shared" si="145"/>
        <v>612.52406250000001</v>
      </c>
      <c r="AY105" s="495">
        <f t="shared" si="146"/>
        <v>811.32406250000008</v>
      </c>
      <c r="AZ105" s="495">
        <f t="shared" si="147"/>
        <v>512.22031249999998</v>
      </c>
      <c r="BA105" s="495">
        <f t="shared" si="148"/>
        <v>711.02031250000005</v>
      </c>
      <c r="BB105" s="495">
        <f t="shared" si="149"/>
        <v>578.58031249999999</v>
      </c>
      <c r="BC105" s="495">
        <f t="shared" si="150"/>
        <v>777.38031249999995</v>
      </c>
      <c r="BD105" s="495">
        <f t="shared" si="151"/>
        <v>546.38437499999998</v>
      </c>
      <c r="BE105" s="495">
        <f t="shared" si="152"/>
        <v>745.18437500000005</v>
      </c>
      <c r="BF105" s="495">
        <f t="shared" si="153"/>
        <v>612.74437499999999</v>
      </c>
      <c r="BG105" s="495">
        <f t="shared" si="154"/>
        <v>811.54437499999995</v>
      </c>
    </row>
    <row r="106" spans="1:81">
      <c r="A106" s="465" t="s">
        <v>8445</v>
      </c>
      <c r="B106" s="483">
        <v>644924847</v>
      </c>
      <c r="C106" s="462" t="s">
        <v>773</v>
      </c>
      <c r="D106" s="462">
        <v>7200</v>
      </c>
      <c r="F106" s="491" t="str" cm="1">
        <f t="array" aca="1" ref="F106" ca="1">MID(met2utc(PEPSSI_Commanding[[#This Row],[MET]]),3,15)</f>
        <v>26-179/03:55:32</v>
      </c>
      <c r="G106" s="465" t="str">
        <f t="shared" si="105"/>
        <v>N3+7200</v>
      </c>
      <c r="H106" s="466">
        <f t="shared" si="106"/>
        <v>644923315</v>
      </c>
      <c r="I106" s="466">
        <f t="shared" si="107"/>
        <v>644924995</v>
      </c>
      <c r="J106" s="465">
        <f t="shared" si="108"/>
        <v>7</v>
      </c>
      <c r="K106" s="465">
        <f t="shared" si="109"/>
        <v>3</v>
      </c>
      <c r="M106" s="462">
        <f t="shared" si="110"/>
        <v>10</v>
      </c>
      <c r="N106" s="462">
        <f t="shared" si="111"/>
        <v>40</v>
      </c>
      <c r="O106" s="462">
        <f t="shared" si="112"/>
        <v>7200</v>
      </c>
      <c r="P106" s="462">
        <f t="shared" si="113"/>
        <v>1</v>
      </c>
      <c r="Q106" s="462" t="str">
        <f t="shared" si="114"/>
        <v/>
      </c>
      <c r="R106" s="462" t="str">
        <f t="shared" si="115"/>
        <v/>
      </c>
      <c r="S106" s="462" t="str">
        <f t="shared" si="116"/>
        <v/>
      </c>
      <c r="U106" s="495">
        <f t="shared" si="117"/>
        <v>0.22031249999999999</v>
      </c>
      <c r="V106" s="495">
        <f t="shared" si="118"/>
        <v>0.9140625</v>
      </c>
      <c r="W106" s="495">
        <f t="shared" si="119"/>
        <v>512</v>
      </c>
      <c r="X106" s="495">
        <f t="shared" si="120"/>
        <v>198.8</v>
      </c>
      <c r="Y106" s="495">
        <f t="shared" si="121"/>
        <v>33.25</v>
      </c>
      <c r="Z106" s="495">
        <f t="shared" si="122"/>
        <v>33.25</v>
      </c>
      <c r="AA106" s="495">
        <f t="shared" si="123"/>
        <v>2.7650000000000001</v>
      </c>
      <c r="AB106" s="496"/>
      <c r="AC106" s="495">
        <f t="shared" si="124"/>
        <v>198.8</v>
      </c>
      <c r="AD106" s="495">
        <f t="shared" si="125"/>
        <v>2.7650000000000001</v>
      </c>
      <c r="AE106" s="495">
        <f t="shared" si="126"/>
        <v>201.565</v>
      </c>
      <c r="AF106" s="495">
        <f t="shared" si="127"/>
        <v>34.1640625</v>
      </c>
      <c r="AG106" s="495">
        <f t="shared" si="128"/>
        <v>232.96406250000001</v>
      </c>
      <c r="AH106" s="495">
        <f t="shared" si="129"/>
        <v>36.929062500000001</v>
      </c>
      <c r="AI106" s="495">
        <f t="shared" si="130"/>
        <v>235.7290625</v>
      </c>
      <c r="AJ106" s="495">
        <f t="shared" si="131"/>
        <v>0.22031249999999999</v>
      </c>
      <c r="AK106" s="495">
        <f t="shared" si="132"/>
        <v>199.02031250000002</v>
      </c>
      <c r="AL106" s="495">
        <f t="shared" si="133"/>
        <v>2.9853125</v>
      </c>
      <c r="AM106" s="495">
        <f t="shared" si="134"/>
        <v>201.7853125</v>
      </c>
      <c r="AN106" s="495">
        <f t="shared" si="135"/>
        <v>34.384374999999999</v>
      </c>
      <c r="AO106" s="495">
        <f t="shared" si="136"/>
        <v>233.18437500000002</v>
      </c>
      <c r="AP106" s="495">
        <f t="shared" si="137"/>
        <v>37.149374999999999</v>
      </c>
      <c r="AQ106" s="495">
        <f t="shared" si="138"/>
        <v>235.949375</v>
      </c>
      <c r="AR106" s="495">
        <f t="shared" si="139"/>
        <v>512</v>
      </c>
      <c r="AS106" s="495">
        <f t="shared" si="140"/>
        <v>710.8</v>
      </c>
      <c r="AT106" s="495">
        <f t="shared" si="141"/>
        <v>514.76499999999999</v>
      </c>
      <c r="AU106" s="495">
        <f t="shared" si="142"/>
        <v>713.56500000000005</v>
      </c>
      <c r="AV106" s="495">
        <f t="shared" si="143"/>
        <v>546.1640625</v>
      </c>
      <c r="AW106" s="495">
        <f t="shared" si="144"/>
        <v>744.96406249999995</v>
      </c>
      <c r="AX106" s="495">
        <f t="shared" si="145"/>
        <v>548.92906249999999</v>
      </c>
      <c r="AY106" s="495">
        <f t="shared" si="146"/>
        <v>747.72906250000005</v>
      </c>
      <c r="AZ106" s="495">
        <f t="shared" si="147"/>
        <v>512.22031249999998</v>
      </c>
      <c r="BA106" s="495">
        <f t="shared" si="148"/>
        <v>711.02031250000005</v>
      </c>
      <c r="BB106" s="495">
        <f t="shared" si="149"/>
        <v>514.98531249999996</v>
      </c>
      <c r="BC106" s="495">
        <f t="shared" si="150"/>
        <v>713.78531249999992</v>
      </c>
      <c r="BD106" s="495">
        <f t="shared" si="151"/>
        <v>546.38437499999998</v>
      </c>
      <c r="BE106" s="495">
        <f t="shared" si="152"/>
        <v>745.18437500000005</v>
      </c>
      <c r="BF106" s="495">
        <f t="shared" si="153"/>
        <v>549.14937499999996</v>
      </c>
      <c r="BG106" s="495">
        <f t="shared" si="154"/>
        <v>747.94937499999992</v>
      </c>
    </row>
    <row r="107" spans="1:81">
      <c r="A107" s="465" t="s">
        <v>8445</v>
      </c>
      <c r="B107" s="483">
        <v>644924848</v>
      </c>
      <c r="C107" s="462" t="s">
        <v>12</v>
      </c>
      <c r="D107" s="462">
        <v>3600</v>
      </c>
      <c r="F107" s="491" t="str" cm="1">
        <f t="array" aca="1" ref="F107" ca="1">MID(met2utc(PEPSSI_Commanding[[#This Row],[MET]]),3,15)</f>
        <v>26-179/03:55:33</v>
      </c>
      <c r="G107" s="465" t="str">
        <f t="shared" si="105"/>
        <v>N1+3600</v>
      </c>
      <c r="H107" s="466">
        <f t="shared" si="106"/>
        <v>644923315</v>
      </c>
      <c r="I107" s="466">
        <f t="shared" si="107"/>
        <v>644924995</v>
      </c>
      <c r="J107" s="465">
        <f t="shared" si="108"/>
        <v>8</v>
      </c>
      <c r="K107" s="465">
        <f t="shared" si="109"/>
        <v>2</v>
      </c>
      <c r="M107" s="462">
        <f t="shared" si="110"/>
        <v>3600</v>
      </c>
      <c r="N107" s="462">
        <f t="shared" si="111"/>
        <v>40</v>
      </c>
      <c r="O107" s="462">
        <f t="shared" si="112"/>
        <v>7200</v>
      </c>
      <c r="P107" s="462">
        <f t="shared" si="113"/>
        <v>1</v>
      </c>
      <c r="Q107" s="462" t="str">
        <f t="shared" si="114"/>
        <v/>
      </c>
      <c r="R107" s="462" t="str">
        <f t="shared" si="115"/>
        <v/>
      </c>
      <c r="S107" s="462" t="str">
        <f t="shared" si="116"/>
        <v/>
      </c>
      <c r="U107" s="495">
        <f t="shared" si="117"/>
        <v>0.22031249999999999</v>
      </c>
      <c r="V107" s="495">
        <f t="shared" si="118"/>
        <v>0.9140625</v>
      </c>
      <c r="W107" s="495">
        <f t="shared" si="119"/>
        <v>512</v>
      </c>
      <c r="X107" s="495">
        <f t="shared" si="120"/>
        <v>0.55222222222222217</v>
      </c>
      <c r="Y107" s="495">
        <f t="shared" si="121"/>
        <v>33.25</v>
      </c>
      <c r="Z107" s="495">
        <f t="shared" si="122"/>
        <v>33.25</v>
      </c>
      <c r="AA107" s="495">
        <f t="shared" si="123"/>
        <v>2.7650000000000001</v>
      </c>
      <c r="AB107" s="496"/>
      <c r="AC107" s="495">
        <f t="shared" si="124"/>
        <v>0.55222222222222217</v>
      </c>
      <c r="AD107" s="495">
        <f t="shared" si="125"/>
        <v>2.7650000000000001</v>
      </c>
      <c r="AE107" s="495">
        <f t="shared" si="126"/>
        <v>3.3172222222222221</v>
      </c>
      <c r="AF107" s="495">
        <f t="shared" si="127"/>
        <v>34.1640625</v>
      </c>
      <c r="AG107" s="495">
        <f t="shared" si="128"/>
        <v>34.71628472222222</v>
      </c>
      <c r="AH107" s="495">
        <f t="shared" si="129"/>
        <v>36.929062500000001</v>
      </c>
      <c r="AI107" s="495">
        <f t="shared" si="130"/>
        <v>37.48128472222222</v>
      </c>
      <c r="AJ107" s="495">
        <f t="shared" si="131"/>
        <v>0.22031249999999999</v>
      </c>
      <c r="AK107" s="495">
        <f t="shared" si="132"/>
        <v>0.77253472222222219</v>
      </c>
      <c r="AL107" s="495">
        <f t="shared" si="133"/>
        <v>2.9853125</v>
      </c>
      <c r="AM107" s="495">
        <f t="shared" si="134"/>
        <v>3.5375347222222224</v>
      </c>
      <c r="AN107" s="495">
        <f t="shared" si="135"/>
        <v>34.384374999999999</v>
      </c>
      <c r="AO107" s="495">
        <f t="shared" si="136"/>
        <v>34.936597222222218</v>
      </c>
      <c r="AP107" s="495">
        <f t="shared" si="137"/>
        <v>37.149374999999999</v>
      </c>
      <c r="AQ107" s="495">
        <f t="shared" si="138"/>
        <v>37.701597222222219</v>
      </c>
      <c r="AR107" s="495">
        <f t="shared" si="139"/>
        <v>512</v>
      </c>
      <c r="AS107" s="495">
        <f t="shared" si="140"/>
        <v>512.55222222222221</v>
      </c>
      <c r="AT107" s="495">
        <f t="shared" si="141"/>
        <v>514.76499999999999</v>
      </c>
      <c r="AU107" s="495">
        <f t="shared" si="142"/>
        <v>515.3172222222222</v>
      </c>
      <c r="AV107" s="495">
        <f t="shared" si="143"/>
        <v>546.1640625</v>
      </c>
      <c r="AW107" s="495">
        <f t="shared" si="144"/>
        <v>546.71628472222221</v>
      </c>
      <c r="AX107" s="495">
        <f t="shared" si="145"/>
        <v>548.92906249999999</v>
      </c>
      <c r="AY107" s="495">
        <f t="shared" si="146"/>
        <v>549.4812847222222</v>
      </c>
      <c r="AZ107" s="495">
        <f t="shared" si="147"/>
        <v>512.22031249999998</v>
      </c>
      <c r="BA107" s="495">
        <f t="shared" si="148"/>
        <v>512.77253472222219</v>
      </c>
      <c r="BB107" s="495">
        <f t="shared" si="149"/>
        <v>514.98531249999996</v>
      </c>
      <c r="BC107" s="495">
        <f t="shared" si="150"/>
        <v>515.53753472222218</v>
      </c>
      <c r="BD107" s="495">
        <f t="shared" si="151"/>
        <v>546.38437499999998</v>
      </c>
      <c r="BE107" s="495">
        <f t="shared" si="152"/>
        <v>546.93659722222219</v>
      </c>
      <c r="BF107" s="495">
        <f t="shared" si="153"/>
        <v>549.14937499999996</v>
      </c>
      <c r="BG107" s="495">
        <f t="shared" si="154"/>
        <v>549.70159722222218</v>
      </c>
    </row>
    <row r="108" spans="1:81">
      <c r="A108" s="465" t="s">
        <v>8447</v>
      </c>
      <c r="B108" s="483">
        <v>644924849</v>
      </c>
      <c r="C108" s="462" t="s">
        <v>8403</v>
      </c>
      <c r="D108" s="462">
        <v>300</v>
      </c>
      <c r="F108" s="491" t="str" cm="1">
        <f t="array" aca="1" ref="F108" ca="1">MID(met2utc(PEPSSI_Commanding[[#This Row],[MET]]),3,15)</f>
        <v>26-179/03:55:34</v>
      </c>
      <c r="G108" s="465" t="str">
        <f t="shared" si="105"/>
        <v>STAT+300</v>
      </c>
      <c r="H108" s="466">
        <f t="shared" si="106"/>
        <v>644923315</v>
      </c>
      <c r="I108" s="466">
        <f t="shared" si="107"/>
        <v>644924995</v>
      </c>
      <c r="J108" s="465">
        <f t="shared" si="108"/>
        <v>9</v>
      </c>
      <c r="K108" s="465">
        <f t="shared" si="109"/>
        <v>1</v>
      </c>
      <c r="M108" s="462">
        <f t="shared" si="110"/>
        <v>3600</v>
      </c>
      <c r="N108" s="462">
        <f t="shared" si="111"/>
        <v>40</v>
      </c>
      <c r="O108" s="462">
        <f t="shared" si="112"/>
        <v>7200</v>
      </c>
      <c r="P108" s="462">
        <f t="shared" si="113"/>
        <v>300</v>
      </c>
      <c r="Q108" s="462" t="str">
        <f t="shared" si="114"/>
        <v/>
      </c>
      <c r="R108" s="462" t="str">
        <f t="shared" si="115"/>
        <v/>
      </c>
      <c r="S108" s="462" t="str">
        <f t="shared" si="116"/>
        <v/>
      </c>
      <c r="U108" s="495">
        <f t="shared" si="117"/>
        <v>0.22031249999999999</v>
      </c>
      <c r="V108" s="495">
        <f t="shared" si="118"/>
        <v>0.9140625</v>
      </c>
      <c r="W108" s="495">
        <f t="shared" si="119"/>
        <v>1.7066666666666668</v>
      </c>
      <c r="X108" s="495">
        <f t="shared" si="120"/>
        <v>0.55222222222222217</v>
      </c>
      <c r="Y108" s="495">
        <f t="shared" si="121"/>
        <v>33.25</v>
      </c>
      <c r="Z108" s="495">
        <f t="shared" si="122"/>
        <v>33.25</v>
      </c>
      <c r="AA108" s="495">
        <f t="shared" si="123"/>
        <v>2.7650000000000001</v>
      </c>
      <c r="AB108" s="496"/>
      <c r="AC108" s="495">
        <f t="shared" si="124"/>
        <v>0.55222222222222217</v>
      </c>
      <c r="AD108" s="495">
        <f t="shared" si="125"/>
        <v>2.7650000000000001</v>
      </c>
      <c r="AE108" s="495">
        <f t="shared" si="126"/>
        <v>3.3172222222222221</v>
      </c>
      <c r="AF108" s="495">
        <f t="shared" si="127"/>
        <v>34.1640625</v>
      </c>
      <c r="AG108" s="495">
        <f t="shared" si="128"/>
        <v>34.71628472222222</v>
      </c>
      <c r="AH108" s="495">
        <f t="shared" si="129"/>
        <v>36.929062500000001</v>
      </c>
      <c r="AI108" s="495">
        <f t="shared" si="130"/>
        <v>37.48128472222222</v>
      </c>
      <c r="AJ108" s="495">
        <f t="shared" si="131"/>
        <v>0.22031249999999999</v>
      </c>
      <c r="AK108" s="495">
        <f t="shared" si="132"/>
        <v>0.77253472222222219</v>
      </c>
      <c r="AL108" s="495">
        <f t="shared" si="133"/>
        <v>2.9853125</v>
      </c>
      <c r="AM108" s="495">
        <f t="shared" si="134"/>
        <v>3.5375347222222224</v>
      </c>
      <c r="AN108" s="495">
        <f t="shared" si="135"/>
        <v>34.384374999999999</v>
      </c>
      <c r="AO108" s="495">
        <f t="shared" si="136"/>
        <v>34.936597222222218</v>
      </c>
      <c r="AP108" s="495">
        <f t="shared" si="137"/>
        <v>37.149374999999999</v>
      </c>
      <c r="AQ108" s="495">
        <f t="shared" si="138"/>
        <v>37.701597222222219</v>
      </c>
      <c r="AR108" s="495">
        <f t="shared" si="139"/>
        <v>1.7066666666666668</v>
      </c>
      <c r="AS108" s="495">
        <f t="shared" si="140"/>
        <v>2.2588888888888889</v>
      </c>
      <c r="AT108" s="495">
        <f t="shared" si="141"/>
        <v>4.4716666666666667</v>
      </c>
      <c r="AU108" s="495">
        <f t="shared" si="142"/>
        <v>5.0238888888888891</v>
      </c>
      <c r="AV108" s="495">
        <f t="shared" si="143"/>
        <v>35.870729166666663</v>
      </c>
      <c r="AW108" s="495">
        <f t="shared" si="144"/>
        <v>36.422951388888883</v>
      </c>
      <c r="AX108" s="495">
        <f t="shared" si="145"/>
        <v>38.635729166666664</v>
      </c>
      <c r="AY108" s="495">
        <f t="shared" si="146"/>
        <v>39.187951388888884</v>
      </c>
      <c r="AZ108" s="495">
        <f t="shared" si="147"/>
        <v>1.9269791666666667</v>
      </c>
      <c r="BA108" s="495">
        <f t="shared" si="148"/>
        <v>2.4792013888888889</v>
      </c>
      <c r="BB108" s="495">
        <f t="shared" si="149"/>
        <v>4.691979166666667</v>
      </c>
      <c r="BC108" s="495">
        <f t="shared" si="150"/>
        <v>5.2442013888888894</v>
      </c>
      <c r="BD108" s="495">
        <f t="shared" si="151"/>
        <v>36.091041666666669</v>
      </c>
      <c r="BE108" s="495">
        <f t="shared" si="152"/>
        <v>36.643263888888889</v>
      </c>
      <c r="BF108" s="495">
        <f t="shared" si="153"/>
        <v>38.85604166666667</v>
      </c>
      <c r="BG108" s="495">
        <f t="shared" si="154"/>
        <v>39.408263888888889</v>
      </c>
    </row>
    <row r="109" spans="1:81">
      <c r="A109" s="465" t="s">
        <v>8445</v>
      </c>
      <c r="B109" s="483">
        <v>644924995</v>
      </c>
      <c r="C109" s="462" t="s">
        <v>776</v>
      </c>
      <c r="D109" s="462">
        <v>360</v>
      </c>
      <c r="F109" s="491" t="str" cm="1">
        <f t="array" aca="1" ref="F109" ca="1">MID(met2utc(PEPSSI_Commanding[[#This Row],[MET]]),3,15)</f>
        <v>26-179/03:58:00</v>
      </c>
      <c r="G109" s="465" t="str">
        <f t="shared" si="105"/>
        <v>N2+360</v>
      </c>
      <c r="H109" s="466">
        <f t="shared" si="106"/>
        <v>644924995</v>
      </c>
      <c r="I109" s="466">
        <f t="shared" si="107"/>
        <v>646883515</v>
      </c>
      <c r="J109" s="465">
        <f t="shared" si="108"/>
        <v>10</v>
      </c>
      <c r="K109" s="465">
        <f t="shared" si="109"/>
        <v>7</v>
      </c>
      <c r="M109" s="462">
        <f t="shared" si="110"/>
        <v>3600</v>
      </c>
      <c r="N109" s="462">
        <f t="shared" si="111"/>
        <v>360</v>
      </c>
      <c r="O109" s="462">
        <f t="shared" si="112"/>
        <v>7200</v>
      </c>
      <c r="P109" s="462">
        <f t="shared" si="113"/>
        <v>300</v>
      </c>
      <c r="Q109" s="462" t="str">
        <f t="shared" si="114"/>
        <v/>
      </c>
      <c r="R109" s="462" t="str">
        <f t="shared" si="115"/>
        <v/>
      </c>
      <c r="S109" s="462" t="str">
        <f t="shared" si="116"/>
        <v/>
      </c>
      <c r="U109" s="495">
        <f t="shared" si="117"/>
        <v>2.4479166666666666E-2</v>
      </c>
      <c r="V109" s="495">
        <f t="shared" si="118"/>
        <v>0.1015625</v>
      </c>
      <c r="W109" s="495">
        <f t="shared" si="119"/>
        <v>1.7066666666666668</v>
      </c>
      <c r="X109" s="495">
        <f t="shared" si="120"/>
        <v>0.55222222222222217</v>
      </c>
      <c r="Y109" s="495">
        <f t="shared" si="121"/>
        <v>3.6944444444444446</v>
      </c>
      <c r="Z109" s="495">
        <f t="shared" si="122"/>
        <v>3.6944444444444446</v>
      </c>
      <c r="AA109" s="495">
        <f t="shared" si="123"/>
        <v>2.7650000000000001</v>
      </c>
      <c r="AB109" s="496"/>
      <c r="AC109" s="495">
        <f t="shared" si="124"/>
        <v>0.55222222222222217</v>
      </c>
      <c r="AD109" s="495">
        <f t="shared" si="125"/>
        <v>2.7650000000000001</v>
      </c>
      <c r="AE109" s="495">
        <f t="shared" si="126"/>
        <v>3.3172222222222221</v>
      </c>
      <c r="AF109" s="495">
        <f t="shared" si="127"/>
        <v>3.7960069444444446</v>
      </c>
      <c r="AG109" s="495">
        <f t="shared" si="128"/>
        <v>4.348229166666667</v>
      </c>
      <c r="AH109" s="495">
        <f t="shared" si="129"/>
        <v>6.5610069444444452</v>
      </c>
      <c r="AI109" s="495">
        <f t="shared" si="130"/>
        <v>7.1132291666666676</v>
      </c>
      <c r="AJ109" s="495">
        <f t="shared" si="131"/>
        <v>2.4479166666666666E-2</v>
      </c>
      <c r="AK109" s="495">
        <f t="shared" si="132"/>
        <v>0.57670138888888889</v>
      </c>
      <c r="AL109" s="495">
        <f t="shared" si="133"/>
        <v>2.7894791666666667</v>
      </c>
      <c r="AM109" s="495">
        <f t="shared" si="134"/>
        <v>3.3417013888888887</v>
      </c>
      <c r="AN109" s="495">
        <f t="shared" si="135"/>
        <v>3.8204861111111112</v>
      </c>
      <c r="AO109" s="495">
        <f t="shared" si="136"/>
        <v>4.3727083333333336</v>
      </c>
      <c r="AP109" s="495">
        <f t="shared" si="137"/>
        <v>6.5854861111111109</v>
      </c>
      <c r="AQ109" s="495">
        <f t="shared" si="138"/>
        <v>7.1377083333333333</v>
      </c>
      <c r="AR109" s="495">
        <f t="shared" si="139"/>
        <v>1.7066666666666668</v>
      </c>
      <c r="AS109" s="495">
        <f t="shared" si="140"/>
        <v>2.2588888888888889</v>
      </c>
      <c r="AT109" s="495">
        <f t="shared" si="141"/>
        <v>4.4716666666666667</v>
      </c>
      <c r="AU109" s="495">
        <f t="shared" si="142"/>
        <v>5.0238888888888891</v>
      </c>
      <c r="AV109" s="495">
        <f t="shared" si="143"/>
        <v>5.5026736111111116</v>
      </c>
      <c r="AW109" s="495">
        <f t="shared" si="144"/>
        <v>6.054895833333334</v>
      </c>
      <c r="AX109" s="495">
        <f t="shared" si="145"/>
        <v>8.2676736111111122</v>
      </c>
      <c r="AY109" s="495">
        <f t="shared" si="146"/>
        <v>8.8198958333333337</v>
      </c>
      <c r="AZ109" s="495">
        <f t="shared" si="147"/>
        <v>1.7311458333333334</v>
      </c>
      <c r="BA109" s="495">
        <f t="shared" si="148"/>
        <v>2.2833680555555556</v>
      </c>
      <c r="BB109" s="495">
        <f t="shared" si="149"/>
        <v>4.4961458333333333</v>
      </c>
      <c r="BC109" s="495">
        <f t="shared" si="150"/>
        <v>5.0483680555555557</v>
      </c>
      <c r="BD109" s="495">
        <f t="shared" si="151"/>
        <v>5.5271527777777782</v>
      </c>
      <c r="BE109" s="495">
        <f t="shared" si="152"/>
        <v>6.0793750000000006</v>
      </c>
      <c r="BF109" s="495">
        <f t="shared" si="153"/>
        <v>8.2921527777777779</v>
      </c>
      <c r="BG109" s="495">
        <f t="shared" si="154"/>
        <v>8.8443749999999994</v>
      </c>
    </row>
    <row r="110" spans="1:81">
      <c r="A110" s="465" t="s">
        <v>8445</v>
      </c>
      <c r="B110" s="483">
        <v>644924998</v>
      </c>
      <c r="C110" s="462" t="s">
        <v>12</v>
      </c>
      <c r="D110" s="462">
        <v>360</v>
      </c>
      <c r="F110" s="491" t="str" cm="1">
        <f t="array" aca="1" ref="F110" ca="1">MID(met2utc(PEPSSI_Commanding[[#This Row],[MET]]),3,15)</f>
        <v>26-179/03:58:03</v>
      </c>
      <c r="G110" s="465" t="str">
        <f t="shared" ref="G110:G122" si="155">_xlfn.TEXTJOIN("+",TRUE,$C110:$D110)</f>
        <v>N1+360</v>
      </c>
      <c r="H110" s="466">
        <f t="shared" ref="H110:H122" si="156">IF($C110="ON",$B110,IF(RIGHT($H109,9)="MET Start","",IF(AND($K110&lt;&gt;0,$K109=1),$B110,$H109)))</f>
        <v>644924995</v>
      </c>
      <c r="I110" s="466">
        <f t="shared" ref="I110:I122" si="157">IF($C110="OFF",$B110,IF($B111="",$B110+31500000,IF($K110=1,$B111,I111)))</f>
        <v>646883515</v>
      </c>
      <c r="J110" s="465">
        <f t="shared" ref="J110:J122" si="158">IF($G110="ON",0,IF(OR(J109="",LEFT(J109,6)="Offset"),"",J109+1))</f>
        <v>11</v>
      </c>
      <c r="K110" s="465">
        <f t="shared" ref="K110:K122" si="159">IF($G110="OFF",0,IF(AND($J111&lt;&gt;0,$J110&lt;&gt;9,$G111&lt;&gt;"MAC+111",($B111-$B110)&lt;7200),K111+1,1))</f>
        <v>6</v>
      </c>
      <c r="M110" s="462">
        <f t="shared" ref="M110:M122" si="160">IF($C110="ON","",IF($C110="N1",$D110,IF(M109="N1","",M109)))</f>
        <v>360</v>
      </c>
      <c r="N110" s="462">
        <f t="shared" ref="N110:N122" si="161">IF($C110="ON","",IF($C110="N2",$D110,IF($G110="MAC+103",3,IF($G110="MAC+104",2,IF(N109="N2","",N109)))))</f>
        <v>360</v>
      </c>
      <c r="O110" s="462">
        <f t="shared" ref="O110:O122" si="162">IF($C110="ON","",IF($C110="N3",$D110,IF(O109="N3","",O109)))</f>
        <v>7200</v>
      </c>
      <c r="P110" s="462">
        <f t="shared" ref="P110:P122" si="163">IF($C110="ON","",IF($C110="STAT",$D110,IF(P109="STAT","",P109)))</f>
        <v>300</v>
      </c>
      <c r="Q110" s="462" t="str">
        <f t="shared" ref="Q110:Q122" si="164">IF($C110="ON","",IF(AND($C110="MAC",105&lt;=$D110,$D110&lt;=110),"",IF(AND($C110="MAC",103&lt;=$D110,$D110&lt;=104),"disabled",IF(Q109="N2 disabled","",Q109))))</f>
        <v/>
      </c>
      <c r="R110" s="462" t="str">
        <f t="shared" ref="R110:R122" si="165">IF(OR($G110="ON",$G110="MAC+111"),"",IF($G110="MAC+105",300,IF($G110="MAC+106",600,IF($G110="MAC+107",840,IF($G110="MAC+108",1200,IF($G110="MAC+109",1800,IF($G110="MAC+110",43200,IF(LEFT(R109,4)="105-","",R109))))))))</f>
        <v/>
      </c>
      <c r="S110" s="462" t="str">
        <f t="shared" ref="S110:S122" si="166">IF($C110="ON","",IF($G110="MAC+102","102",IF(RIGHT(S109,1)="?","",S109)))</f>
        <v/>
      </c>
      <c r="U110" s="495">
        <f t="shared" ref="U110:U122" si="167">IF($N110="",0,U$1/64/$N110)</f>
        <v>2.4479166666666666E-2</v>
      </c>
      <c r="V110" s="495">
        <f t="shared" ref="V110:V122" si="168">IF($N110="",0,V$1/64/$N110)</f>
        <v>0.1015625</v>
      </c>
      <c r="W110" s="495">
        <f t="shared" ref="W110:W122" si="169">IF($P110="",0,W$1/$P110)</f>
        <v>1.7066666666666668</v>
      </c>
      <c r="X110" s="495">
        <f t="shared" ref="X110:X122" si="170">IF($M110="",0,X$1/$M110)</f>
        <v>5.5222222222222221</v>
      </c>
      <c r="Y110" s="495">
        <f t="shared" ref="Y110:Y122" si="171">IF(OR($N110="",$Q110&lt;&gt;""),0,Y$1/$N110)</f>
        <v>3.6944444444444446</v>
      </c>
      <c r="Z110" s="495">
        <f t="shared" ref="Z110:Z122" si="172">IF($N110="",0,IF($R110="",1,R110/43200)*Y110)</f>
        <v>3.6944444444444446</v>
      </c>
      <c r="AA110" s="495">
        <f t="shared" ref="AA110:AA122" si="173">IF($O110="",0,AA$1/$O110)</f>
        <v>2.7650000000000001</v>
      </c>
      <c r="AB110" s="496"/>
      <c r="AC110" s="495">
        <f t="shared" ref="AC110:AC122" si="174">IF(AC$3&lt;&gt;"",$W110,0)+IF(AC$4&lt;&gt;"",$U110,0)+IF(AC$5&lt;&gt;"",$Z110+IF($S110&lt;&gt;"102",$V110,0),0)+IF(AC$6&lt;&gt;"",$AA110+IF($S110="102",$V110,0),0)+IF(AC$7&lt;&gt;"",$X110,0)</f>
        <v>5.5222222222222221</v>
      </c>
      <c r="AD110" s="495">
        <f t="shared" ref="AD110:AD122" si="175">IF(AD$3&lt;&gt;"",$W110,0)+IF(AD$4&lt;&gt;"",$U110,0)+IF(AD$5&lt;&gt;"",$Z110+IF($S110&lt;&gt;"102",$V110,0),0)+IF(AD$6&lt;&gt;"",$AA110+IF($S110="102",$V110,0),0)+IF(AD$7&lt;&gt;"",$X110,0)</f>
        <v>2.7650000000000001</v>
      </c>
      <c r="AE110" s="495">
        <f t="shared" ref="AE110:AE122" si="176">IF(AE$3&lt;&gt;"",$W110,0)+IF(AE$4&lt;&gt;"",$U110,0)+IF(AE$5&lt;&gt;"",$Z110+IF($S110&lt;&gt;"102",$V110,0),0)+IF(AE$6&lt;&gt;"",$AA110+IF($S110="102",$V110,0),0)+IF(AE$7&lt;&gt;"",$X110,0)</f>
        <v>8.2872222222222227</v>
      </c>
      <c r="AF110" s="495">
        <f t="shared" ref="AF110:AF122" si="177">IF(AF$3&lt;&gt;"",$W110,0)+IF(AF$4&lt;&gt;"",$U110,0)+IF(AF$5&lt;&gt;"",$Z110+IF($S110&lt;&gt;"102",$V110,0),0)+IF(AF$6&lt;&gt;"",$AA110+IF($S110="102",$V110,0),0)+IF(AF$7&lt;&gt;"",$X110,0)</f>
        <v>3.7960069444444446</v>
      </c>
      <c r="AG110" s="495">
        <f t="shared" ref="AG110:AG122" si="178">IF(AG$3&lt;&gt;"",$W110,0)+IF(AG$4&lt;&gt;"",$U110,0)+IF(AG$5&lt;&gt;"",$Z110+IF($S110&lt;&gt;"102",$V110,0),0)+IF(AG$6&lt;&gt;"",$AA110+IF($S110="102",$V110,0),0)+IF(AG$7&lt;&gt;"",$X110,0)</f>
        <v>9.3182291666666668</v>
      </c>
      <c r="AH110" s="495">
        <f t="shared" ref="AH110:AH122" si="179">IF(AH$3&lt;&gt;"",$W110,0)+IF(AH$4&lt;&gt;"",$U110,0)+IF(AH$5&lt;&gt;"",$Z110+IF($S110&lt;&gt;"102",$V110,0),0)+IF(AH$6&lt;&gt;"",$AA110+IF($S110="102",$V110,0),0)+IF(AH$7&lt;&gt;"",$X110,0)</f>
        <v>6.5610069444444452</v>
      </c>
      <c r="AI110" s="495">
        <f t="shared" ref="AI110:AI122" si="180">IF(AI$3&lt;&gt;"",$W110,0)+IF(AI$4&lt;&gt;"",$U110,0)+IF(AI$5&lt;&gt;"",$Z110+IF($S110&lt;&gt;"102",$V110,0),0)+IF(AI$6&lt;&gt;"",$AA110+IF($S110="102",$V110,0),0)+IF(AI$7&lt;&gt;"",$X110,0)</f>
        <v>12.083229166666667</v>
      </c>
      <c r="AJ110" s="495">
        <f t="shared" ref="AJ110:AJ122" si="181">IF(AJ$3&lt;&gt;"",$W110,0)+IF(AJ$4&lt;&gt;"",$U110,0)+IF(AJ$5&lt;&gt;"",$Z110+IF($S110&lt;&gt;"102",$V110,0),0)+IF(AJ$6&lt;&gt;"",$AA110+IF($S110="102",$V110,0),0)+IF(AJ$7&lt;&gt;"",$X110,0)</f>
        <v>2.4479166666666666E-2</v>
      </c>
      <c r="AK110" s="495">
        <f t="shared" ref="AK110:AK122" si="182">IF(AK$3&lt;&gt;"",$W110,0)+IF(AK$4&lt;&gt;"",$U110,0)+IF(AK$5&lt;&gt;"",$Z110+IF($S110&lt;&gt;"102",$V110,0),0)+IF(AK$6&lt;&gt;"",$AA110+IF($S110="102",$V110,0),0)+IF(AK$7&lt;&gt;"",$X110,0)</f>
        <v>5.5467013888888888</v>
      </c>
      <c r="AL110" s="495">
        <f t="shared" ref="AL110:AL122" si="183">IF(AL$3&lt;&gt;"",$W110,0)+IF(AL$4&lt;&gt;"",$U110,0)+IF(AL$5&lt;&gt;"",$Z110+IF($S110&lt;&gt;"102",$V110,0),0)+IF(AL$6&lt;&gt;"",$AA110+IF($S110="102",$V110,0),0)+IF(AL$7&lt;&gt;"",$X110,0)</f>
        <v>2.7894791666666667</v>
      </c>
      <c r="AM110" s="495">
        <f t="shared" ref="AM110:AM122" si="184">IF(AM$3&lt;&gt;"",$W110,0)+IF(AM$4&lt;&gt;"",$U110,0)+IF(AM$5&lt;&gt;"",$Z110+IF($S110&lt;&gt;"102",$V110,0),0)+IF(AM$6&lt;&gt;"",$AA110+IF($S110="102",$V110,0),0)+IF(AM$7&lt;&gt;"",$X110,0)</f>
        <v>8.3117013888888884</v>
      </c>
      <c r="AN110" s="495">
        <f t="shared" ref="AN110:AN122" si="185">IF(AN$3&lt;&gt;"",$W110,0)+IF(AN$4&lt;&gt;"",$U110,0)+IF(AN$5&lt;&gt;"",$Z110+IF($S110&lt;&gt;"102",$V110,0),0)+IF(AN$6&lt;&gt;"",$AA110+IF($S110="102",$V110,0),0)+IF(AN$7&lt;&gt;"",$X110,0)</f>
        <v>3.8204861111111112</v>
      </c>
      <c r="AO110" s="495">
        <f t="shared" ref="AO110:AO122" si="186">IF(AO$3&lt;&gt;"",$W110,0)+IF(AO$4&lt;&gt;"",$U110,0)+IF(AO$5&lt;&gt;"",$Z110+IF($S110&lt;&gt;"102",$V110,0),0)+IF(AO$6&lt;&gt;"",$AA110+IF($S110="102",$V110,0),0)+IF(AO$7&lt;&gt;"",$X110,0)</f>
        <v>9.3427083333333343</v>
      </c>
      <c r="AP110" s="495">
        <f t="shared" ref="AP110:AP122" si="187">IF(AP$3&lt;&gt;"",$W110,0)+IF(AP$4&lt;&gt;"",$U110,0)+IF(AP$5&lt;&gt;"",$Z110+IF($S110&lt;&gt;"102",$V110,0),0)+IF(AP$6&lt;&gt;"",$AA110+IF($S110="102",$V110,0),0)+IF(AP$7&lt;&gt;"",$X110,0)</f>
        <v>6.5854861111111109</v>
      </c>
      <c r="AQ110" s="495">
        <f t="shared" ref="AQ110:AQ122" si="188">IF(AQ$3&lt;&gt;"",$W110,0)+IF(AQ$4&lt;&gt;"",$U110,0)+IF(AQ$5&lt;&gt;"",$Z110+IF($S110&lt;&gt;"102",$V110,0),0)+IF(AQ$6&lt;&gt;"",$AA110+IF($S110="102",$V110,0),0)+IF(AQ$7&lt;&gt;"",$X110,0)</f>
        <v>12.107708333333333</v>
      </c>
      <c r="AR110" s="495">
        <f t="shared" ref="AR110:AR122" si="189">IF(AR$3&lt;&gt;"",$W110,0)+IF(AR$4&lt;&gt;"",$U110,0)+IF(AR$5&lt;&gt;"",$Z110+IF($S110&lt;&gt;"102",$V110,0),0)+IF(AR$6&lt;&gt;"",$AA110+IF($S110="102",$V110,0),0)+IF(AR$7&lt;&gt;"",$X110,0)</f>
        <v>1.7066666666666668</v>
      </c>
      <c r="AS110" s="495">
        <f t="shared" ref="AS110:AS122" si="190">IF(AS$3&lt;&gt;"",$W110,0)+IF(AS$4&lt;&gt;"",$U110,0)+IF(AS$5&lt;&gt;"",$Z110+IF($S110&lt;&gt;"102",$V110,0),0)+IF(AS$6&lt;&gt;"",$AA110+IF($S110="102",$V110,0),0)+IF(AS$7&lt;&gt;"",$X110,0)</f>
        <v>7.2288888888888891</v>
      </c>
      <c r="AT110" s="495">
        <f t="shared" ref="AT110:AT122" si="191">IF(AT$3&lt;&gt;"",$W110,0)+IF(AT$4&lt;&gt;"",$U110,0)+IF(AT$5&lt;&gt;"",$Z110+IF($S110&lt;&gt;"102",$V110,0),0)+IF(AT$6&lt;&gt;"",$AA110+IF($S110="102",$V110,0),0)+IF(AT$7&lt;&gt;"",$X110,0)</f>
        <v>4.4716666666666667</v>
      </c>
      <c r="AU110" s="495">
        <f t="shared" ref="AU110:AU122" si="192">IF(AU$3&lt;&gt;"",$W110,0)+IF(AU$4&lt;&gt;"",$U110,0)+IF(AU$5&lt;&gt;"",$Z110+IF($S110&lt;&gt;"102",$V110,0),0)+IF(AU$6&lt;&gt;"",$AA110+IF($S110="102",$V110,0),0)+IF(AU$7&lt;&gt;"",$X110,0)</f>
        <v>9.9938888888888897</v>
      </c>
      <c r="AV110" s="495">
        <f t="shared" ref="AV110:AV122" si="193">IF(AV$3&lt;&gt;"",$W110,0)+IF(AV$4&lt;&gt;"",$U110,0)+IF(AV$5&lt;&gt;"",$Z110+IF($S110&lt;&gt;"102",$V110,0),0)+IF(AV$6&lt;&gt;"",$AA110+IF($S110="102",$V110,0),0)+IF(AV$7&lt;&gt;"",$X110,0)</f>
        <v>5.5026736111111116</v>
      </c>
      <c r="AW110" s="495">
        <f t="shared" ref="AW110:AW122" si="194">IF(AW$3&lt;&gt;"",$W110,0)+IF(AW$4&lt;&gt;"",$U110,0)+IF(AW$5&lt;&gt;"",$Z110+IF($S110&lt;&gt;"102",$V110,0),0)+IF(AW$6&lt;&gt;"",$AA110+IF($S110="102",$V110,0),0)+IF(AW$7&lt;&gt;"",$X110,0)</f>
        <v>11.024895833333334</v>
      </c>
      <c r="AX110" s="495">
        <f t="shared" ref="AX110:AX122" si="195">IF(AX$3&lt;&gt;"",$W110,0)+IF(AX$4&lt;&gt;"",$U110,0)+IF(AX$5&lt;&gt;"",$Z110+IF($S110&lt;&gt;"102",$V110,0),0)+IF(AX$6&lt;&gt;"",$AA110+IF($S110="102",$V110,0),0)+IF(AX$7&lt;&gt;"",$X110,0)</f>
        <v>8.2676736111111122</v>
      </c>
      <c r="AY110" s="495">
        <f t="shared" ref="AY110:AY122" si="196">IF(AY$3&lt;&gt;"",$W110,0)+IF(AY$4&lt;&gt;"",$U110,0)+IF(AY$5&lt;&gt;"",$Z110+IF($S110&lt;&gt;"102",$V110,0),0)+IF(AY$6&lt;&gt;"",$AA110+IF($S110="102",$V110,0),0)+IF(AY$7&lt;&gt;"",$X110,0)</f>
        <v>13.789895833333334</v>
      </c>
      <c r="AZ110" s="495">
        <f t="shared" ref="AZ110:AZ122" si="197">IF(AZ$3&lt;&gt;"",$W110,0)+IF(AZ$4&lt;&gt;"",$U110,0)+IF(AZ$5&lt;&gt;"",$Z110+IF($S110&lt;&gt;"102",$V110,0),0)+IF(AZ$6&lt;&gt;"",$AA110+IF($S110="102",$V110,0),0)+IF(AZ$7&lt;&gt;"",$X110,0)</f>
        <v>1.7311458333333334</v>
      </c>
      <c r="BA110" s="495">
        <f t="shared" ref="BA110:BA122" si="198">IF(BA$3&lt;&gt;"",$W110,0)+IF(BA$4&lt;&gt;"",$U110,0)+IF(BA$5&lt;&gt;"",$Z110+IF($S110&lt;&gt;"102",$V110,0),0)+IF(BA$6&lt;&gt;"",$AA110+IF($S110="102",$V110,0),0)+IF(BA$7&lt;&gt;"",$X110,0)</f>
        <v>7.2533680555555557</v>
      </c>
      <c r="BB110" s="495">
        <f t="shared" ref="BB110:BB122" si="199">IF(BB$3&lt;&gt;"",$W110,0)+IF(BB$4&lt;&gt;"",$U110,0)+IF(BB$5&lt;&gt;"",$Z110+IF($S110&lt;&gt;"102",$V110,0),0)+IF(BB$6&lt;&gt;"",$AA110+IF($S110="102",$V110,0),0)+IF(BB$7&lt;&gt;"",$X110,0)</f>
        <v>4.4961458333333333</v>
      </c>
      <c r="BC110" s="495">
        <f t="shared" ref="BC110:BC122" si="200">IF(BC$3&lt;&gt;"",$W110,0)+IF(BC$4&lt;&gt;"",$U110,0)+IF(BC$5&lt;&gt;"",$Z110+IF($S110&lt;&gt;"102",$V110,0),0)+IF(BC$6&lt;&gt;"",$AA110+IF($S110="102",$V110,0),0)+IF(BC$7&lt;&gt;"",$X110,0)</f>
        <v>10.018368055555555</v>
      </c>
      <c r="BD110" s="495">
        <f t="shared" ref="BD110:BD122" si="201">IF(BD$3&lt;&gt;"",$W110,0)+IF(BD$4&lt;&gt;"",$U110,0)+IF(BD$5&lt;&gt;"",$Z110+IF($S110&lt;&gt;"102",$V110,0),0)+IF(BD$6&lt;&gt;"",$AA110+IF($S110="102",$V110,0),0)+IF(BD$7&lt;&gt;"",$X110,0)</f>
        <v>5.5271527777777782</v>
      </c>
      <c r="BE110" s="495">
        <f t="shared" ref="BE110:BE122" si="202">IF(BE$3&lt;&gt;"",$W110,0)+IF(BE$4&lt;&gt;"",$U110,0)+IF(BE$5&lt;&gt;"",$Z110+IF($S110&lt;&gt;"102",$V110,0),0)+IF(BE$6&lt;&gt;"",$AA110+IF($S110="102",$V110,0),0)+IF(BE$7&lt;&gt;"",$X110,0)</f>
        <v>11.049375000000001</v>
      </c>
      <c r="BF110" s="495">
        <f t="shared" ref="BF110:BF122" si="203">IF(BF$3&lt;&gt;"",$W110,0)+IF(BF$4&lt;&gt;"",$U110,0)+IF(BF$5&lt;&gt;"",$Z110+IF($S110&lt;&gt;"102",$V110,0),0)+IF(BF$6&lt;&gt;"",$AA110+IF($S110="102",$V110,0),0)+IF(BF$7&lt;&gt;"",$X110,0)</f>
        <v>8.2921527777777779</v>
      </c>
      <c r="BG110" s="495">
        <f t="shared" ref="BG110:BG122" si="204">IF(BG$3&lt;&gt;"",$W110,0)+IF(BG$4&lt;&gt;"",$U110,0)+IF(BG$5&lt;&gt;"",$Z110+IF($S110&lt;&gt;"102",$V110,0),0)+IF(BG$6&lt;&gt;"",$AA110+IF($S110="102",$V110,0),0)+IF(BG$7&lt;&gt;"",$X110,0)</f>
        <v>13.814375</v>
      </c>
    </row>
    <row r="111" spans="1:81">
      <c r="A111" s="465" t="s">
        <v>8445</v>
      </c>
      <c r="B111" s="483">
        <v>644925001</v>
      </c>
      <c r="C111" s="462" t="s">
        <v>773</v>
      </c>
      <c r="D111" s="462">
        <v>900</v>
      </c>
      <c r="F111" s="491" t="str" cm="1">
        <f t="array" aca="1" ref="F111" ca="1">MID(met2utc(PEPSSI_Commanding[[#This Row],[MET]]),3,15)</f>
        <v>26-179/03:58:06</v>
      </c>
      <c r="G111" s="465" t="str">
        <f t="shared" si="155"/>
        <v>N3+900</v>
      </c>
      <c r="H111" s="466">
        <f t="shared" si="156"/>
        <v>644924995</v>
      </c>
      <c r="I111" s="466">
        <f t="shared" si="157"/>
        <v>646883515</v>
      </c>
      <c r="J111" s="465">
        <f t="shared" si="158"/>
        <v>12</v>
      </c>
      <c r="K111" s="465">
        <f t="shared" si="159"/>
        <v>5</v>
      </c>
      <c r="M111" s="462">
        <f t="shared" si="160"/>
        <v>360</v>
      </c>
      <c r="N111" s="462">
        <f t="shared" si="161"/>
        <v>360</v>
      </c>
      <c r="O111" s="462">
        <f t="shared" si="162"/>
        <v>900</v>
      </c>
      <c r="P111" s="462">
        <f t="shared" si="163"/>
        <v>300</v>
      </c>
      <c r="Q111" s="462" t="str">
        <f t="shared" si="164"/>
        <v/>
      </c>
      <c r="R111" s="462" t="str">
        <f t="shared" si="165"/>
        <v/>
      </c>
      <c r="S111" s="462" t="str">
        <f t="shared" si="166"/>
        <v/>
      </c>
      <c r="U111" s="495">
        <f t="shared" si="167"/>
        <v>2.4479166666666666E-2</v>
      </c>
      <c r="V111" s="495">
        <f t="shared" si="168"/>
        <v>0.1015625</v>
      </c>
      <c r="W111" s="495">
        <f t="shared" si="169"/>
        <v>1.7066666666666668</v>
      </c>
      <c r="X111" s="495">
        <f t="shared" si="170"/>
        <v>5.5222222222222221</v>
      </c>
      <c r="Y111" s="495">
        <f t="shared" si="171"/>
        <v>3.6944444444444446</v>
      </c>
      <c r="Z111" s="495">
        <f t="shared" si="172"/>
        <v>3.6944444444444446</v>
      </c>
      <c r="AA111" s="495">
        <f t="shared" si="173"/>
        <v>22.12</v>
      </c>
      <c r="AB111" s="496"/>
      <c r="AC111" s="495">
        <f t="shared" si="174"/>
        <v>5.5222222222222221</v>
      </c>
      <c r="AD111" s="495">
        <f t="shared" si="175"/>
        <v>22.12</v>
      </c>
      <c r="AE111" s="495">
        <f t="shared" si="176"/>
        <v>27.642222222222223</v>
      </c>
      <c r="AF111" s="495">
        <f t="shared" si="177"/>
        <v>3.7960069444444446</v>
      </c>
      <c r="AG111" s="495">
        <f t="shared" si="178"/>
        <v>9.3182291666666668</v>
      </c>
      <c r="AH111" s="495">
        <f t="shared" si="179"/>
        <v>25.916006944444447</v>
      </c>
      <c r="AI111" s="495">
        <f t="shared" si="180"/>
        <v>31.43822916666667</v>
      </c>
      <c r="AJ111" s="495">
        <f t="shared" si="181"/>
        <v>2.4479166666666666E-2</v>
      </c>
      <c r="AK111" s="495">
        <f t="shared" si="182"/>
        <v>5.5467013888888888</v>
      </c>
      <c r="AL111" s="495">
        <f t="shared" si="183"/>
        <v>22.144479166666667</v>
      </c>
      <c r="AM111" s="495">
        <f t="shared" si="184"/>
        <v>27.666701388888889</v>
      </c>
      <c r="AN111" s="495">
        <f t="shared" si="185"/>
        <v>3.8204861111111112</v>
      </c>
      <c r="AO111" s="495">
        <f t="shared" si="186"/>
        <v>9.3427083333333343</v>
      </c>
      <c r="AP111" s="495">
        <f t="shared" si="187"/>
        <v>25.940486111111113</v>
      </c>
      <c r="AQ111" s="495">
        <f t="shared" si="188"/>
        <v>31.462708333333335</v>
      </c>
      <c r="AR111" s="495">
        <f t="shared" si="189"/>
        <v>1.7066666666666668</v>
      </c>
      <c r="AS111" s="495">
        <f t="shared" si="190"/>
        <v>7.2288888888888891</v>
      </c>
      <c r="AT111" s="495">
        <f t="shared" si="191"/>
        <v>23.826666666666668</v>
      </c>
      <c r="AU111" s="495">
        <f t="shared" si="192"/>
        <v>29.34888888888889</v>
      </c>
      <c r="AV111" s="495">
        <f t="shared" si="193"/>
        <v>5.5026736111111116</v>
      </c>
      <c r="AW111" s="495">
        <f t="shared" si="194"/>
        <v>11.024895833333334</v>
      </c>
      <c r="AX111" s="495">
        <f t="shared" si="195"/>
        <v>27.622673611111111</v>
      </c>
      <c r="AY111" s="495">
        <f t="shared" si="196"/>
        <v>33.144895833333337</v>
      </c>
      <c r="AZ111" s="495">
        <f t="shared" si="197"/>
        <v>1.7311458333333334</v>
      </c>
      <c r="BA111" s="495">
        <f t="shared" si="198"/>
        <v>7.2533680555555557</v>
      </c>
      <c r="BB111" s="495">
        <f t="shared" si="199"/>
        <v>23.851145833333334</v>
      </c>
      <c r="BC111" s="495">
        <f t="shared" si="200"/>
        <v>29.373368055555556</v>
      </c>
      <c r="BD111" s="495">
        <f t="shared" si="201"/>
        <v>5.5271527777777782</v>
      </c>
      <c r="BE111" s="495">
        <f t="shared" si="202"/>
        <v>11.049375000000001</v>
      </c>
      <c r="BF111" s="495">
        <f t="shared" si="203"/>
        <v>27.64715277777778</v>
      </c>
      <c r="BG111" s="495">
        <f t="shared" si="204"/>
        <v>33.169375000000002</v>
      </c>
    </row>
    <row r="112" spans="1:81">
      <c r="A112" s="465" t="s">
        <v>8447</v>
      </c>
      <c r="B112" s="483">
        <v>644925004</v>
      </c>
      <c r="C112" s="462" t="s">
        <v>8403</v>
      </c>
      <c r="D112" s="462">
        <v>1800</v>
      </c>
      <c r="F112" s="491" t="str" cm="1">
        <f t="array" aca="1" ref="F112" ca="1">MID(met2utc(PEPSSI_Commanding[[#This Row],[MET]]),3,15)</f>
        <v>26-179/03:58:09</v>
      </c>
      <c r="G112" s="465" t="str">
        <f t="shared" si="155"/>
        <v>STAT+1800</v>
      </c>
      <c r="H112" s="466">
        <f t="shared" si="156"/>
        <v>644924995</v>
      </c>
      <c r="I112" s="466">
        <f t="shared" si="157"/>
        <v>646883515</v>
      </c>
      <c r="J112" s="465">
        <f t="shared" si="158"/>
        <v>13</v>
      </c>
      <c r="K112" s="465">
        <f t="shared" si="159"/>
        <v>4</v>
      </c>
      <c r="M112" s="462">
        <f t="shared" si="160"/>
        <v>360</v>
      </c>
      <c r="N112" s="462">
        <f t="shared" si="161"/>
        <v>360</v>
      </c>
      <c r="O112" s="462">
        <f t="shared" si="162"/>
        <v>900</v>
      </c>
      <c r="P112" s="462">
        <f t="shared" si="163"/>
        <v>1800</v>
      </c>
      <c r="Q112" s="462" t="str">
        <f t="shared" si="164"/>
        <v/>
      </c>
      <c r="R112" s="462" t="str">
        <f t="shared" si="165"/>
        <v/>
      </c>
      <c r="S112" s="462" t="str">
        <f t="shared" si="166"/>
        <v/>
      </c>
      <c r="U112" s="495">
        <f t="shared" si="167"/>
        <v>2.4479166666666666E-2</v>
      </c>
      <c r="V112" s="495">
        <f t="shared" si="168"/>
        <v>0.1015625</v>
      </c>
      <c r="W112" s="495">
        <f t="shared" si="169"/>
        <v>0.28444444444444444</v>
      </c>
      <c r="X112" s="495">
        <f t="shared" si="170"/>
        <v>5.5222222222222221</v>
      </c>
      <c r="Y112" s="495">
        <f t="shared" si="171"/>
        <v>3.6944444444444446</v>
      </c>
      <c r="Z112" s="495">
        <f t="shared" si="172"/>
        <v>3.6944444444444446</v>
      </c>
      <c r="AA112" s="495">
        <f t="shared" si="173"/>
        <v>22.12</v>
      </c>
      <c r="AB112" s="496"/>
      <c r="AC112" s="495">
        <f t="shared" si="174"/>
        <v>5.5222222222222221</v>
      </c>
      <c r="AD112" s="495">
        <f t="shared" si="175"/>
        <v>22.12</v>
      </c>
      <c r="AE112" s="495">
        <f t="shared" si="176"/>
        <v>27.642222222222223</v>
      </c>
      <c r="AF112" s="495">
        <f t="shared" si="177"/>
        <v>3.7960069444444446</v>
      </c>
      <c r="AG112" s="495">
        <f t="shared" si="178"/>
        <v>9.3182291666666668</v>
      </c>
      <c r="AH112" s="495">
        <f t="shared" si="179"/>
        <v>25.916006944444447</v>
      </c>
      <c r="AI112" s="495">
        <f t="shared" si="180"/>
        <v>31.43822916666667</v>
      </c>
      <c r="AJ112" s="495">
        <f t="shared" si="181"/>
        <v>2.4479166666666666E-2</v>
      </c>
      <c r="AK112" s="495">
        <f t="shared" si="182"/>
        <v>5.5467013888888888</v>
      </c>
      <c r="AL112" s="495">
        <f t="shared" si="183"/>
        <v>22.144479166666667</v>
      </c>
      <c r="AM112" s="495">
        <f t="shared" si="184"/>
        <v>27.666701388888889</v>
      </c>
      <c r="AN112" s="495">
        <f t="shared" si="185"/>
        <v>3.8204861111111112</v>
      </c>
      <c r="AO112" s="495">
        <f t="shared" si="186"/>
        <v>9.3427083333333343</v>
      </c>
      <c r="AP112" s="495">
        <f t="shared" si="187"/>
        <v>25.940486111111113</v>
      </c>
      <c r="AQ112" s="495">
        <f t="shared" si="188"/>
        <v>31.462708333333335</v>
      </c>
      <c r="AR112" s="495">
        <f t="shared" si="189"/>
        <v>0.28444444444444444</v>
      </c>
      <c r="AS112" s="495">
        <f t="shared" si="190"/>
        <v>5.8066666666666666</v>
      </c>
      <c r="AT112" s="495">
        <f t="shared" si="191"/>
        <v>22.404444444444444</v>
      </c>
      <c r="AU112" s="495">
        <f t="shared" si="192"/>
        <v>27.926666666666666</v>
      </c>
      <c r="AV112" s="495">
        <f t="shared" si="193"/>
        <v>4.0804513888888891</v>
      </c>
      <c r="AW112" s="495">
        <f t="shared" si="194"/>
        <v>9.6026736111111113</v>
      </c>
      <c r="AX112" s="495">
        <f t="shared" si="195"/>
        <v>26.20045138888889</v>
      </c>
      <c r="AY112" s="495">
        <f t="shared" si="196"/>
        <v>31.722673611111112</v>
      </c>
      <c r="AZ112" s="495">
        <f t="shared" si="197"/>
        <v>0.30892361111111111</v>
      </c>
      <c r="BA112" s="495">
        <f t="shared" si="198"/>
        <v>5.8311458333333333</v>
      </c>
      <c r="BB112" s="495">
        <f t="shared" si="199"/>
        <v>22.428923611111113</v>
      </c>
      <c r="BC112" s="495">
        <f t="shared" si="200"/>
        <v>27.951145833333335</v>
      </c>
      <c r="BD112" s="495">
        <f t="shared" si="201"/>
        <v>4.1049305555555557</v>
      </c>
      <c r="BE112" s="495">
        <f t="shared" si="202"/>
        <v>9.627152777777777</v>
      </c>
      <c r="BF112" s="495">
        <f t="shared" si="203"/>
        <v>26.224930555555556</v>
      </c>
      <c r="BG112" s="495">
        <f t="shared" si="204"/>
        <v>31.747152777777778</v>
      </c>
    </row>
    <row r="113" spans="1:59">
      <c r="A113" s="465" t="s">
        <v>8443</v>
      </c>
      <c r="B113" s="483">
        <v>644925055</v>
      </c>
      <c r="C113" s="462" t="s">
        <v>8404</v>
      </c>
      <c r="D113" s="462">
        <v>102</v>
      </c>
      <c r="F113" s="491" t="str" cm="1">
        <f t="array" aca="1" ref="F113" ca="1">MID(met2utc(PEPSSI_Commanding[[#This Row],[MET]]),3,15)</f>
        <v>26-179/03:59:00</v>
      </c>
      <c r="G113" s="465" t="str">
        <f t="shared" si="155"/>
        <v>MAC+102</v>
      </c>
      <c r="H113" s="466">
        <f t="shared" si="156"/>
        <v>644924995</v>
      </c>
      <c r="I113" s="466">
        <f t="shared" si="157"/>
        <v>646883515</v>
      </c>
      <c r="J113" s="465">
        <f t="shared" si="158"/>
        <v>14</v>
      </c>
      <c r="K113" s="465">
        <f t="shared" si="159"/>
        <v>3</v>
      </c>
      <c r="M113" s="462">
        <f t="shared" si="160"/>
        <v>360</v>
      </c>
      <c r="N113" s="462">
        <f t="shared" si="161"/>
        <v>360</v>
      </c>
      <c r="O113" s="462">
        <f t="shared" si="162"/>
        <v>900</v>
      </c>
      <c r="P113" s="462">
        <f t="shared" si="163"/>
        <v>1800</v>
      </c>
      <c r="Q113" s="462" t="str">
        <f t="shared" si="164"/>
        <v/>
      </c>
      <c r="R113" s="462" t="str">
        <f t="shared" si="165"/>
        <v/>
      </c>
      <c r="S113" s="462" t="str">
        <f t="shared" si="166"/>
        <v>102</v>
      </c>
      <c r="U113" s="495">
        <f t="shared" si="167"/>
        <v>2.4479166666666666E-2</v>
      </c>
      <c r="V113" s="495">
        <f t="shared" si="168"/>
        <v>0.1015625</v>
      </c>
      <c r="W113" s="495">
        <f t="shared" si="169"/>
        <v>0.28444444444444444</v>
      </c>
      <c r="X113" s="495">
        <f t="shared" si="170"/>
        <v>5.5222222222222221</v>
      </c>
      <c r="Y113" s="495">
        <f t="shared" si="171"/>
        <v>3.6944444444444446</v>
      </c>
      <c r="Z113" s="495">
        <f t="shared" si="172"/>
        <v>3.6944444444444446</v>
      </c>
      <c r="AA113" s="495">
        <f t="shared" si="173"/>
        <v>22.12</v>
      </c>
      <c r="AB113" s="496"/>
      <c r="AC113" s="495">
        <f t="shared" si="174"/>
        <v>5.5222222222222221</v>
      </c>
      <c r="AD113" s="495">
        <f t="shared" si="175"/>
        <v>22.221562500000001</v>
      </c>
      <c r="AE113" s="495">
        <f t="shared" si="176"/>
        <v>27.743784722222223</v>
      </c>
      <c r="AF113" s="495">
        <f t="shared" si="177"/>
        <v>3.6944444444444446</v>
      </c>
      <c r="AG113" s="495">
        <f t="shared" si="178"/>
        <v>9.2166666666666668</v>
      </c>
      <c r="AH113" s="495">
        <f t="shared" si="179"/>
        <v>25.916006944444447</v>
      </c>
      <c r="AI113" s="495">
        <f t="shared" si="180"/>
        <v>31.43822916666667</v>
      </c>
      <c r="AJ113" s="495">
        <f t="shared" si="181"/>
        <v>2.4479166666666666E-2</v>
      </c>
      <c r="AK113" s="495">
        <f t="shared" si="182"/>
        <v>5.5467013888888888</v>
      </c>
      <c r="AL113" s="495">
        <f t="shared" si="183"/>
        <v>22.246041666666667</v>
      </c>
      <c r="AM113" s="495">
        <f t="shared" si="184"/>
        <v>27.768263888888889</v>
      </c>
      <c r="AN113" s="495">
        <f t="shared" si="185"/>
        <v>3.7189236111111112</v>
      </c>
      <c r="AO113" s="495">
        <f t="shared" si="186"/>
        <v>9.2411458333333343</v>
      </c>
      <c r="AP113" s="495">
        <f t="shared" si="187"/>
        <v>25.940486111111113</v>
      </c>
      <c r="AQ113" s="495">
        <f t="shared" si="188"/>
        <v>31.462708333333335</v>
      </c>
      <c r="AR113" s="495">
        <f t="shared" si="189"/>
        <v>0.28444444444444444</v>
      </c>
      <c r="AS113" s="495">
        <f t="shared" si="190"/>
        <v>5.8066666666666666</v>
      </c>
      <c r="AT113" s="495">
        <f t="shared" si="191"/>
        <v>22.506006944444444</v>
      </c>
      <c r="AU113" s="495">
        <f t="shared" si="192"/>
        <v>28.028229166666666</v>
      </c>
      <c r="AV113" s="495">
        <f t="shared" si="193"/>
        <v>3.9788888888888891</v>
      </c>
      <c r="AW113" s="495">
        <f t="shared" si="194"/>
        <v>9.5011111111111113</v>
      </c>
      <c r="AX113" s="495">
        <f t="shared" si="195"/>
        <v>26.20045138888889</v>
      </c>
      <c r="AY113" s="495">
        <f t="shared" si="196"/>
        <v>31.722673611111112</v>
      </c>
      <c r="AZ113" s="495">
        <f t="shared" si="197"/>
        <v>0.30892361111111111</v>
      </c>
      <c r="BA113" s="495">
        <f t="shared" si="198"/>
        <v>5.8311458333333333</v>
      </c>
      <c r="BB113" s="495">
        <f t="shared" si="199"/>
        <v>22.530486111111113</v>
      </c>
      <c r="BC113" s="495">
        <f t="shared" si="200"/>
        <v>28.052708333333335</v>
      </c>
      <c r="BD113" s="495">
        <f t="shared" si="201"/>
        <v>4.0033680555555557</v>
      </c>
      <c r="BE113" s="495">
        <f t="shared" si="202"/>
        <v>9.525590277777777</v>
      </c>
      <c r="BF113" s="495">
        <f t="shared" si="203"/>
        <v>26.224930555555556</v>
      </c>
      <c r="BG113" s="495">
        <f t="shared" si="204"/>
        <v>31.747152777777778</v>
      </c>
    </row>
    <row r="114" spans="1:59">
      <c r="A114" s="465" t="s">
        <v>8443</v>
      </c>
      <c r="B114" s="483">
        <v>644925655</v>
      </c>
      <c r="C114" s="462" t="s">
        <v>8404</v>
      </c>
      <c r="D114" s="462">
        <v>104</v>
      </c>
      <c r="F114" s="491" t="str" cm="1">
        <f t="array" aca="1" ref="F114" ca="1">MID(met2utc(PEPSSI_Commanding[[#This Row],[MET]]),3,15)</f>
        <v>26-179/04:09:00</v>
      </c>
      <c r="G114" s="465" t="str">
        <f t="shared" si="155"/>
        <v>MAC+104</v>
      </c>
      <c r="H114" s="466">
        <f t="shared" si="156"/>
        <v>644924995</v>
      </c>
      <c r="I114" s="466">
        <f t="shared" si="157"/>
        <v>646883515</v>
      </c>
      <c r="J114" s="465">
        <f t="shared" si="158"/>
        <v>15</v>
      </c>
      <c r="K114" s="465">
        <f t="shared" si="159"/>
        <v>2</v>
      </c>
      <c r="M114" s="462">
        <f t="shared" si="160"/>
        <v>360</v>
      </c>
      <c r="N114" s="462">
        <f t="shared" si="161"/>
        <v>2</v>
      </c>
      <c r="O114" s="462">
        <f t="shared" si="162"/>
        <v>900</v>
      </c>
      <c r="P114" s="462">
        <f t="shared" si="163"/>
        <v>1800</v>
      </c>
      <c r="Q114" s="462" t="str">
        <f t="shared" si="164"/>
        <v>disabled</v>
      </c>
      <c r="R114" s="462" t="str">
        <f t="shared" si="165"/>
        <v/>
      </c>
      <c r="S114" s="462" t="str">
        <f t="shared" si="166"/>
        <v>102</v>
      </c>
      <c r="U114" s="495">
        <f t="shared" si="167"/>
        <v>4.40625</v>
      </c>
      <c r="V114" s="495">
        <f t="shared" si="168"/>
        <v>18.28125</v>
      </c>
      <c r="W114" s="495">
        <f t="shared" si="169"/>
        <v>0.28444444444444444</v>
      </c>
      <c r="X114" s="495">
        <f t="shared" si="170"/>
        <v>5.5222222222222221</v>
      </c>
      <c r="Y114" s="495">
        <f t="shared" si="171"/>
        <v>0</v>
      </c>
      <c r="Z114" s="495">
        <f t="shared" si="172"/>
        <v>0</v>
      </c>
      <c r="AA114" s="495">
        <f t="shared" si="173"/>
        <v>22.12</v>
      </c>
      <c r="AB114" s="496"/>
      <c r="AC114" s="495">
        <f t="shared" si="174"/>
        <v>5.5222222222222221</v>
      </c>
      <c r="AD114" s="495">
        <f t="shared" si="175"/>
        <v>40.401250000000005</v>
      </c>
      <c r="AE114" s="495">
        <f t="shared" si="176"/>
        <v>45.92347222222223</v>
      </c>
      <c r="AF114" s="495">
        <f t="shared" si="177"/>
        <v>0</v>
      </c>
      <c r="AG114" s="495">
        <f t="shared" si="178"/>
        <v>5.5222222222222221</v>
      </c>
      <c r="AH114" s="495">
        <f t="shared" si="179"/>
        <v>40.401250000000005</v>
      </c>
      <c r="AI114" s="495">
        <f t="shared" si="180"/>
        <v>45.92347222222223</v>
      </c>
      <c r="AJ114" s="495">
        <f t="shared" si="181"/>
        <v>4.40625</v>
      </c>
      <c r="AK114" s="495">
        <f t="shared" si="182"/>
        <v>9.9284722222222221</v>
      </c>
      <c r="AL114" s="495">
        <f t="shared" si="183"/>
        <v>44.807500000000005</v>
      </c>
      <c r="AM114" s="495">
        <f t="shared" si="184"/>
        <v>50.32972222222223</v>
      </c>
      <c r="AN114" s="495">
        <f t="shared" si="185"/>
        <v>4.40625</v>
      </c>
      <c r="AO114" s="495">
        <f t="shared" si="186"/>
        <v>9.9284722222222221</v>
      </c>
      <c r="AP114" s="495">
        <f t="shared" si="187"/>
        <v>44.807500000000005</v>
      </c>
      <c r="AQ114" s="495">
        <f t="shared" si="188"/>
        <v>50.32972222222223</v>
      </c>
      <c r="AR114" s="495">
        <f t="shared" si="189"/>
        <v>0.28444444444444444</v>
      </c>
      <c r="AS114" s="495">
        <f t="shared" si="190"/>
        <v>5.8066666666666666</v>
      </c>
      <c r="AT114" s="495">
        <f t="shared" si="191"/>
        <v>40.685694444444451</v>
      </c>
      <c r="AU114" s="495">
        <f t="shared" si="192"/>
        <v>46.207916666666677</v>
      </c>
      <c r="AV114" s="495">
        <f t="shared" si="193"/>
        <v>0.28444444444444444</v>
      </c>
      <c r="AW114" s="495">
        <f t="shared" si="194"/>
        <v>5.8066666666666666</v>
      </c>
      <c r="AX114" s="495">
        <f t="shared" si="195"/>
        <v>40.685694444444451</v>
      </c>
      <c r="AY114" s="495">
        <f t="shared" si="196"/>
        <v>46.207916666666677</v>
      </c>
      <c r="AZ114" s="495">
        <f t="shared" si="197"/>
        <v>4.6906944444444445</v>
      </c>
      <c r="BA114" s="495">
        <f t="shared" si="198"/>
        <v>10.212916666666667</v>
      </c>
      <c r="BB114" s="495">
        <f t="shared" si="199"/>
        <v>45.091944444444451</v>
      </c>
      <c r="BC114" s="495">
        <f t="shared" si="200"/>
        <v>50.614166666666677</v>
      </c>
      <c r="BD114" s="495">
        <f t="shared" si="201"/>
        <v>4.6906944444444445</v>
      </c>
      <c r="BE114" s="495">
        <f t="shared" si="202"/>
        <v>10.212916666666667</v>
      </c>
      <c r="BF114" s="495">
        <f t="shared" si="203"/>
        <v>45.091944444444451</v>
      </c>
      <c r="BG114" s="495">
        <f t="shared" si="204"/>
        <v>50.614166666666677</v>
      </c>
    </row>
    <row r="115" spans="1:59">
      <c r="A115" s="465" t="s">
        <v>8443</v>
      </c>
      <c r="B115" s="483">
        <v>644926255</v>
      </c>
      <c r="C115" s="462" t="s">
        <v>8404</v>
      </c>
      <c r="D115" s="462">
        <v>105</v>
      </c>
      <c r="F115" s="491" t="str" cm="1">
        <f t="array" aca="1" ref="F115" ca="1">MID(met2utc(PEPSSI_Commanding[[#This Row],[MET]]),3,15)</f>
        <v>26-179/04:19:00</v>
      </c>
      <c r="G115" s="465" t="str">
        <f t="shared" si="155"/>
        <v>MAC+105</v>
      </c>
      <c r="H115" s="466">
        <f t="shared" si="156"/>
        <v>644924995</v>
      </c>
      <c r="I115" s="466">
        <f t="shared" si="157"/>
        <v>646883515</v>
      </c>
      <c r="J115" s="465">
        <f t="shared" si="158"/>
        <v>16</v>
      </c>
      <c r="K115" s="465">
        <f t="shared" si="159"/>
        <v>1</v>
      </c>
      <c r="M115" s="462">
        <f t="shared" si="160"/>
        <v>360</v>
      </c>
      <c r="N115" s="462">
        <f t="shared" si="161"/>
        <v>2</v>
      </c>
      <c r="O115" s="462">
        <f t="shared" si="162"/>
        <v>900</v>
      </c>
      <c r="P115" s="462">
        <f t="shared" si="163"/>
        <v>1800</v>
      </c>
      <c r="Q115" s="462" t="str">
        <f t="shared" si="164"/>
        <v/>
      </c>
      <c r="R115" s="462">
        <f t="shared" si="165"/>
        <v>300</v>
      </c>
      <c r="S115" s="462" t="str">
        <f t="shared" si="166"/>
        <v>102</v>
      </c>
      <c r="U115" s="495">
        <f t="shared" si="167"/>
        <v>4.40625</v>
      </c>
      <c r="V115" s="495">
        <f t="shared" si="168"/>
        <v>18.28125</v>
      </c>
      <c r="W115" s="495">
        <f t="shared" si="169"/>
        <v>0.28444444444444444</v>
      </c>
      <c r="X115" s="495">
        <f t="shared" si="170"/>
        <v>5.5222222222222221</v>
      </c>
      <c r="Y115" s="495">
        <f t="shared" si="171"/>
        <v>665</v>
      </c>
      <c r="Z115" s="495">
        <f t="shared" si="172"/>
        <v>4.6180555555555554</v>
      </c>
      <c r="AA115" s="495">
        <f t="shared" si="173"/>
        <v>22.12</v>
      </c>
      <c r="AB115" s="496"/>
      <c r="AC115" s="495">
        <f t="shared" si="174"/>
        <v>5.5222222222222221</v>
      </c>
      <c r="AD115" s="495">
        <f t="shared" si="175"/>
        <v>40.401250000000005</v>
      </c>
      <c r="AE115" s="495">
        <f t="shared" si="176"/>
        <v>45.92347222222223</v>
      </c>
      <c r="AF115" s="495">
        <f t="shared" si="177"/>
        <v>4.6180555555555554</v>
      </c>
      <c r="AG115" s="495">
        <f t="shared" si="178"/>
        <v>10.140277777777778</v>
      </c>
      <c r="AH115" s="495">
        <f t="shared" si="179"/>
        <v>45.019305555555562</v>
      </c>
      <c r="AI115" s="495">
        <f t="shared" si="180"/>
        <v>50.541527777777787</v>
      </c>
      <c r="AJ115" s="495">
        <f t="shared" si="181"/>
        <v>4.40625</v>
      </c>
      <c r="AK115" s="495">
        <f t="shared" si="182"/>
        <v>9.9284722222222221</v>
      </c>
      <c r="AL115" s="495">
        <f t="shared" si="183"/>
        <v>44.807500000000005</v>
      </c>
      <c r="AM115" s="495">
        <f t="shared" si="184"/>
        <v>50.32972222222223</v>
      </c>
      <c r="AN115" s="495">
        <f t="shared" si="185"/>
        <v>9.0243055555555554</v>
      </c>
      <c r="AO115" s="495">
        <f t="shared" si="186"/>
        <v>14.546527777777778</v>
      </c>
      <c r="AP115" s="495">
        <f t="shared" si="187"/>
        <v>49.425555555555562</v>
      </c>
      <c r="AQ115" s="495">
        <f t="shared" si="188"/>
        <v>54.947777777777787</v>
      </c>
      <c r="AR115" s="495">
        <f t="shared" si="189"/>
        <v>0.28444444444444444</v>
      </c>
      <c r="AS115" s="495">
        <f t="shared" si="190"/>
        <v>5.8066666666666666</v>
      </c>
      <c r="AT115" s="495">
        <f t="shared" si="191"/>
        <v>40.685694444444451</v>
      </c>
      <c r="AU115" s="495">
        <f t="shared" si="192"/>
        <v>46.207916666666677</v>
      </c>
      <c r="AV115" s="495">
        <f t="shared" si="193"/>
        <v>4.9024999999999999</v>
      </c>
      <c r="AW115" s="495">
        <f t="shared" si="194"/>
        <v>10.424722222222222</v>
      </c>
      <c r="AX115" s="495">
        <f t="shared" si="195"/>
        <v>45.303750000000008</v>
      </c>
      <c r="AY115" s="495">
        <f t="shared" si="196"/>
        <v>50.825972222222234</v>
      </c>
      <c r="AZ115" s="495">
        <f t="shared" si="197"/>
        <v>4.6906944444444445</v>
      </c>
      <c r="BA115" s="495">
        <f t="shared" si="198"/>
        <v>10.212916666666667</v>
      </c>
      <c r="BB115" s="495">
        <f t="shared" si="199"/>
        <v>45.091944444444451</v>
      </c>
      <c r="BC115" s="495">
        <f t="shared" si="200"/>
        <v>50.614166666666677</v>
      </c>
      <c r="BD115" s="495">
        <f t="shared" si="201"/>
        <v>9.3087499999999999</v>
      </c>
      <c r="BE115" s="495">
        <f t="shared" si="202"/>
        <v>14.830972222222222</v>
      </c>
      <c r="BF115" s="495">
        <f t="shared" si="203"/>
        <v>49.710000000000008</v>
      </c>
      <c r="BG115" s="495">
        <f t="shared" si="204"/>
        <v>55.232222222222234</v>
      </c>
    </row>
    <row r="116" spans="1:59">
      <c r="A116" s="465" t="s">
        <v>8443</v>
      </c>
      <c r="B116" s="483">
        <v>646883515</v>
      </c>
      <c r="C116" s="462" t="s">
        <v>8404</v>
      </c>
      <c r="D116" s="462">
        <v>111</v>
      </c>
      <c r="F116" s="491" t="str" cm="1">
        <f t="array" aca="1" ref="F116" ca="1">MID(met2utc(PEPSSI_Commanding[[#This Row],[MET]]),3,15)</f>
        <v>26-201/20:00:00</v>
      </c>
      <c r="G116" s="465" t="str">
        <f t="shared" si="155"/>
        <v>MAC+111</v>
      </c>
      <c r="H116" s="466">
        <f t="shared" si="156"/>
        <v>646883515</v>
      </c>
      <c r="I116" s="466">
        <f t="shared" si="157"/>
        <v>678385315</v>
      </c>
      <c r="J116" s="465">
        <f t="shared" si="158"/>
        <v>17</v>
      </c>
      <c r="K116" s="465">
        <f t="shared" si="159"/>
        <v>7</v>
      </c>
      <c r="M116" s="462">
        <f t="shared" si="160"/>
        <v>360</v>
      </c>
      <c r="N116" s="462">
        <f t="shared" si="161"/>
        <v>2</v>
      </c>
      <c r="O116" s="462">
        <f t="shared" si="162"/>
        <v>900</v>
      </c>
      <c r="P116" s="462">
        <f t="shared" si="163"/>
        <v>1800</v>
      </c>
      <c r="Q116" s="462" t="str">
        <f t="shared" si="164"/>
        <v/>
      </c>
      <c r="R116" s="462" t="str">
        <f t="shared" si="165"/>
        <v/>
      </c>
      <c r="S116" s="462" t="str">
        <f t="shared" si="166"/>
        <v>102</v>
      </c>
      <c r="U116" s="495">
        <f t="shared" si="167"/>
        <v>4.40625</v>
      </c>
      <c r="V116" s="495">
        <f t="shared" si="168"/>
        <v>18.28125</v>
      </c>
      <c r="W116" s="495">
        <f t="shared" si="169"/>
        <v>0.28444444444444444</v>
      </c>
      <c r="X116" s="495">
        <f t="shared" si="170"/>
        <v>5.5222222222222221</v>
      </c>
      <c r="Y116" s="495">
        <f t="shared" si="171"/>
        <v>665</v>
      </c>
      <c r="Z116" s="495">
        <f t="shared" si="172"/>
        <v>665</v>
      </c>
      <c r="AA116" s="495">
        <f t="shared" si="173"/>
        <v>22.12</v>
      </c>
      <c r="AB116" s="496"/>
      <c r="AC116" s="495">
        <f t="shared" si="174"/>
        <v>5.5222222222222221</v>
      </c>
      <c r="AD116" s="495">
        <f t="shared" si="175"/>
        <v>40.401250000000005</v>
      </c>
      <c r="AE116" s="495">
        <f t="shared" si="176"/>
        <v>45.92347222222223</v>
      </c>
      <c r="AF116" s="495">
        <f t="shared" si="177"/>
        <v>665</v>
      </c>
      <c r="AG116" s="495">
        <f t="shared" si="178"/>
        <v>670.52222222222224</v>
      </c>
      <c r="AH116" s="495">
        <f t="shared" si="179"/>
        <v>705.40125</v>
      </c>
      <c r="AI116" s="495">
        <f t="shared" si="180"/>
        <v>710.92347222222224</v>
      </c>
      <c r="AJ116" s="495">
        <f t="shared" si="181"/>
        <v>4.40625</v>
      </c>
      <c r="AK116" s="495">
        <f t="shared" si="182"/>
        <v>9.9284722222222221</v>
      </c>
      <c r="AL116" s="495">
        <f t="shared" si="183"/>
        <v>44.807500000000005</v>
      </c>
      <c r="AM116" s="495">
        <f t="shared" si="184"/>
        <v>50.32972222222223</v>
      </c>
      <c r="AN116" s="495">
        <f t="shared" si="185"/>
        <v>669.40625</v>
      </c>
      <c r="AO116" s="495">
        <f t="shared" si="186"/>
        <v>674.92847222222224</v>
      </c>
      <c r="AP116" s="495">
        <f t="shared" si="187"/>
        <v>709.8075</v>
      </c>
      <c r="AQ116" s="495">
        <f t="shared" si="188"/>
        <v>715.32972222222224</v>
      </c>
      <c r="AR116" s="495">
        <f t="shared" si="189"/>
        <v>0.28444444444444444</v>
      </c>
      <c r="AS116" s="495">
        <f t="shared" si="190"/>
        <v>5.8066666666666666</v>
      </c>
      <c r="AT116" s="495">
        <f t="shared" si="191"/>
        <v>40.685694444444451</v>
      </c>
      <c r="AU116" s="495">
        <f t="shared" si="192"/>
        <v>46.207916666666677</v>
      </c>
      <c r="AV116" s="495">
        <f t="shared" si="193"/>
        <v>665.28444444444449</v>
      </c>
      <c r="AW116" s="495">
        <f t="shared" si="194"/>
        <v>670.80666666666673</v>
      </c>
      <c r="AX116" s="495">
        <f t="shared" si="195"/>
        <v>705.68569444444449</v>
      </c>
      <c r="AY116" s="495">
        <f t="shared" si="196"/>
        <v>711.20791666666673</v>
      </c>
      <c r="AZ116" s="495">
        <f t="shared" si="197"/>
        <v>4.6906944444444445</v>
      </c>
      <c r="BA116" s="495">
        <f t="shared" si="198"/>
        <v>10.212916666666667</v>
      </c>
      <c r="BB116" s="495">
        <f t="shared" si="199"/>
        <v>45.091944444444451</v>
      </c>
      <c r="BC116" s="495">
        <f t="shared" si="200"/>
        <v>50.614166666666677</v>
      </c>
      <c r="BD116" s="495">
        <f t="shared" si="201"/>
        <v>669.69069444444449</v>
      </c>
      <c r="BE116" s="495">
        <f t="shared" si="202"/>
        <v>675.21291666666673</v>
      </c>
      <c r="BF116" s="495">
        <f t="shared" si="203"/>
        <v>710.09194444444449</v>
      </c>
      <c r="BG116" s="495">
        <f t="shared" si="204"/>
        <v>715.61416666666673</v>
      </c>
    </row>
    <row r="117" spans="1:59">
      <c r="A117" s="465" t="s">
        <v>8445</v>
      </c>
      <c r="B117" s="483">
        <v>646884115</v>
      </c>
      <c r="C117" s="462" t="s">
        <v>776</v>
      </c>
      <c r="D117" s="462">
        <v>360</v>
      </c>
      <c r="F117" s="491" t="str" cm="1">
        <f t="array" aca="1" ref="F117" ca="1">MID(met2utc(PEPSSI_Commanding[[#This Row],[MET]]),3,15)</f>
        <v>26-201/20:10:00</v>
      </c>
      <c r="G117" s="465" t="str">
        <f t="shared" si="155"/>
        <v>N2+360</v>
      </c>
      <c r="H117" s="466">
        <f t="shared" si="156"/>
        <v>646883515</v>
      </c>
      <c r="I117" s="466">
        <f t="shared" si="157"/>
        <v>678385315</v>
      </c>
      <c r="J117" s="465">
        <f t="shared" si="158"/>
        <v>18</v>
      </c>
      <c r="K117" s="465">
        <f t="shared" si="159"/>
        <v>6</v>
      </c>
      <c r="M117" s="462">
        <f t="shared" si="160"/>
        <v>360</v>
      </c>
      <c r="N117" s="462">
        <f t="shared" si="161"/>
        <v>360</v>
      </c>
      <c r="O117" s="462">
        <f t="shared" si="162"/>
        <v>900</v>
      </c>
      <c r="P117" s="462">
        <f t="shared" si="163"/>
        <v>1800</v>
      </c>
      <c r="Q117" s="462" t="str">
        <f t="shared" si="164"/>
        <v/>
      </c>
      <c r="R117" s="462" t="str">
        <f t="shared" si="165"/>
        <v/>
      </c>
      <c r="S117" s="462" t="str">
        <f t="shared" si="166"/>
        <v>102</v>
      </c>
      <c r="U117" s="495">
        <f t="shared" si="167"/>
        <v>2.4479166666666666E-2</v>
      </c>
      <c r="V117" s="495">
        <f t="shared" si="168"/>
        <v>0.1015625</v>
      </c>
      <c r="W117" s="495">
        <f t="shared" si="169"/>
        <v>0.28444444444444444</v>
      </c>
      <c r="X117" s="495">
        <f t="shared" si="170"/>
        <v>5.5222222222222221</v>
      </c>
      <c r="Y117" s="495">
        <f t="shared" si="171"/>
        <v>3.6944444444444446</v>
      </c>
      <c r="Z117" s="495">
        <f t="shared" si="172"/>
        <v>3.6944444444444446</v>
      </c>
      <c r="AA117" s="495">
        <f t="shared" si="173"/>
        <v>22.12</v>
      </c>
      <c r="AB117" s="496"/>
      <c r="AC117" s="495">
        <f t="shared" si="174"/>
        <v>5.5222222222222221</v>
      </c>
      <c r="AD117" s="495">
        <f t="shared" si="175"/>
        <v>22.221562500000001</v>
      </c>
      <c r="AE117" s="495">
        <f t="shared" si="176"/>
        <v>27.743784722222223</v>
      </c>
      <c r="AF117" s="495">
        <f t="shared" si="177"/>
        <v>3.6944444444444446</v>
      </c>
      <c r="AG117" s="495">
        <f t="shared" si="178"/>
        <v>9.2166666666666668</v>
      </c>
      <c r="AH117" s="495">
        <f t="shared" si="179"/>
        <v>25.916006944444447</v>
      </c>
      <c r="AI117" s="495">
        <f t="shared" si="180"/>
        <v>31.43822916666667</v>
      </c>
      <c r="AJ117" s="495">
        <f t="shared" si="181"/>
        <v>2.4479166666666666E-2</v>
      </c>
      <c r="AK117" s="495">
        <f t="shared" si="182"/>
        <v>5.5467013888888888</v>
      </c>
      <c r="AL117" s="495">
        <f t="shared" si="183"/>
        <v>22.246041666666667</v>
      </c>
      <c r="AM117" s="495">
        <f t="shared" si="184"/>
        <v>27.768263888888889</v>
      </c>
      <c r="AN117" s="495">
        <f t="shared" si="185"/>
        <v>3.7189236111111112</v>
      </c>
      <c r="AO117" s="495">
        <f t="shared" si="186"/>
        <v>9.2411458333333343</v>
      </c>
      <c r="AP117" s="495">
        <f t="shared" si="187"/>
        <v>25.940486111111113</v>
      </c>
      <c r="AQ117" s="495">
        <f t="shared" si="188"/>
        <v>31.462708333333335</v>
      </c>
      <c r="AR117" s="495">
        <f t="shared" si="189"/>
        <v>0.28444444444444444</v>
      </c>
      <c r="AS117" s="495">
        <f t="shared" si="190"/>
        <v>5.8066666666666666</v>
      </c>
      <c r="AT117" s="495">
        <f t="shared" si="191"/>
        <v>22.506006944444444</v>
      </c>
      <c r="AU117" s="495">
        <f t="shared" si="192"/>
        <v>28.028229166666666</v>
      </c>
      <c r="AV117" s="495">
        <f t="shared" si="193"/>
        <v>3.9788888888888891</v>
      </c>
      <c r="AW117" s="495">
        <f t="shared" si="194"/>
        <v>9.5011111111111113</v>
      </c>
      <c r="AX117" s="495">
        <f t="shared" si="195"/>
        <v>26.20045138888889</v>
      </c>
      <c r="AY117" s="495">
        <f t="shared" si="196"/>
        <v>31.722673611111112</v>
      </c>
      <c r="AZ117" s="495">
        <f t="shared" si="197"/>
        <v>0.30892361111111111</v>
      </c>
      <c r="BA117" s="495">
        <f t="shared" si="198"/>
        <v>5.8311458333333333</v>
      </c>
      <c r="BB117" s="495">
        <f t="shared" si="199"/>
        <v>22.530486111111113</v>
      </c>
      <c r="BC117" s="495">
        <f t="shared" si="200"/>
        <v>28.052708333333335</v>
      </c>
      <c r="BD117" s="495">
        <f t="shared" si="201"/>
        <v>4.0033680555555557</v>
      </c>
      <c r="BE117" s="495">
        <f t="shared" si="202"/>
        <v>9.525590277777777</v>
      </c>
      <c r="BF117" s="495">
        <f t="shared" si="203"/>
        <v>26.224930555555556</v>
      </c>
      <c r="BG117" s="495">
        <f t="shared" si="204"/>
        <v>31.747152777777778</v>
      </c>
    </row>
    <row r="118" spans="1:59">
      <c r="A118" s="465" t="s">
        <v>8445</v>
      </c>
      <c r="B118" s="483">
        <v>646884118</v>
      </c>
      <c r="C118" s="462" t="s">
        <v>12</v>
      </c>
      <c r="D118" s="462">
        <v>360</v>
      </c>
      <c r="F118" s="491" t="str" cm="1">
        <f t="array" aca="1" ref="F118" ca="1">MID(met2utc(PEPSSI_Commanding[[#This Row],[MET]]),3,15)</f>
        <v>26-201/20:10:03</v>
      </c>
      <c r="G118" s="465" t="str">
        <f t="shared" si="155"/>
        <v>N1+360</v>
      </c>
      <c r="H118" s="466">
        <f t="shared" si="156"/>
        <v>646883515</v>
      </c>
      <c r="I118" s="466">
        <f t="shared" si="157"/>
        <v>678385315</v>
      </c>
      <c r="J118" s="465">
        <f t="shared" si="158"/>
        <v>19</v>
      </c>
      <c r="K118" s="465">
        <f t="shared" si="159"/>
        <v>5</v>
      </c>
      <c r="M118" s="462">
        <f t="shared" si="160"/>
        <v>360</v>
      </c>
      <c r="N118" s="462">
        <f t="shared" si="161"/>
        <v>360</v>
      </c>
      <c r="O118" s="462">
        <f t="shared" si="162"/>
        <v>900</v>
      </c>
      <c r="P118" s="462">
        <f t="shared" si="163"/>
        <v>1800</v>
      </c>
      <c r="Q118" s="462" t="str">
        <f t="shared" si="164"/>
        <v/>
      </c>
      <c r="R118" s="462" t="str">
        <f t="shared" si="165"/>
        <v/>
      </c>
      <c r="S118" s="462" t="str">
        <f t="shared" si="166"/>
        <v>102</v>
      </c>
      <c r="U118" s="495">
        <f t="shared" si="167"/>
        <v>2.4479166666666666E-2</v>
      </c>
      <c r="V118" s="495">
        <f t="shared" si="168"/>
        <v>0.1015625</v>
      </c>
      <c r="W118" s="495">
        <f t="shared" si="169"/>
        <v>0.28444444444444444</v>
      </c>
      <c r="X118" s="495">
        <f t="shared" si="170"/>
        <v>5.5222222222222221</v>
      </c>
      <c r="Y118" s="495">
        <f t="shared" si="171"/>
        <v>3.6944444444444446</v>
      </c>
      <c r="Z118" s="495">
        <f t="shared" si="172"/>
        <v>3.6944444444444446</v>
      </c>
      <c r="AA118" s="495">
        <f t="shared" si="173"/>
        <v>22.12</v>
      </c>
      <c r="AB118" s="496"/>
      <c r="AC118" s="495">
        <f t="shared" si="174"/>
        <v>5.5222222222222221</v>
      </c>
      <c r="AD118" s="495">
        <f t="shared" si="175"/>
        <v>22.221562500000001</v>
      </c>
      <c r="AE118" s="495">
        <f t="shared" si="176"/>
        <v>27.743784722222223</v>
      </c>
      <c r="AF118" s="495">
        <f t="shared" si="177"/>
        <v>3.6944444444444446</v>
      </c>
      <c r="AG118" s="495">
        <f t="shared" si="178"/>
        <v>9.2166666666666668</v>
      </c>
      <c r="AH118" s="495">
        <f t="shared" si="179"/>
        <v>25.916006944444447</v>
      </c>
      <c r="AI118" s="495">
        <f t="shared" si="180"/>
        <v>31.43822916666667</v>
      </c>
      <c r="AJ118" s="495">
        <f t="shared" si="181"/>
        <v>2.4479166666666666E-2</v>
      </c>
      <c r="AK118" s="495">
        <f t="shared" si="182"/>
        <v>5.5467013888888888</v>
      </c>
      <c r="AL118" s="495">
        <f t="shared" si="183"/>
        <v>22.246041666666667</v>
      </c>
      <c r="AM118" s="495">
        <f t="shared" si="184"/>
        <v>27.768263888888889</v>
      </c>
      <c r="AN118" s="495">
        <f t="shared" si="185"/>
        <v>3.7189236111111112</v>
      </c>
      <c r="AO118" s="495">
        <f t="shared" si="186"/>
        <v>9.2411458333333343</v>
      </c>
      <c r="AP118" s="495">
        <f t="shared" si="187"/>
        <v>25.940486111111113</v>
      </c>
      <c r="AQ118" s="495">
        <f t="shared" si="188"/>
        <v>31.462708333333335</v>
      </c>
      <c r="AR118" s="495">
        <f t="shared" si="189"/>
        <v>0.28444444444444444</v>
      </c>
      <c r="AS118" s="495">
        <f t="shared" si="190"/>
        <v>5.8066666666666666</v>
      </c>
      <c r="AT118" s="495">
        <f t="shared" si="191"/>
        <v>22.506006944444444</v>
      </c>
      <c r="AU118" s="495">
        <f t="shared" si="192"/>
        <v>28.028229166666666</v>
      </c>
      <c r="AV118" s="495">
        <f t="shared" si="193"/>
        <v>3.9788888888888891</v>
      </c>
      <c r="AW118" s="495">
        <f t="shared" si="194"/>
        <v>9.5011111111111113</v>
      </c>
      <c r="AX118" s="495">
        <f t="shared" si="195"/>
        <v>26.20045138888889</v>
      </c>
      <c r="AY118" s="495">
        <f t="shared" si="196"/>
        <v>31.722673611111112</v>
      </c>
      <c r="AZ118" s="495">
        <f t="shared" si="197"/>
        <v>0.30892361111111111</v>
      </c>
      <c r="BA118" s="495">
        <f t="shared" si="198"/>
        <v>5.8311458333333333</v>
      </c>
      <c r="BB118" s="495">
        <f t="shared" si="199"/>
        <v>22.530486111111113</v>
      </c>
      <c r="BC118" s="495">
        <f t="shared" si="200"/>
        <v>28.052708333333335</v>
      </c>
      <c r="BD118" s="495">
        <f t="shared" si="201"/>
        <v>4.0033680555555557</v>
      </c>
      <c r="BE118" s="495">
        <f t="shared" si="202"/>
        <v>9.525590277777777</v>
      </c>
      <c r="BF118" s="495">
        <f t="shared" si="203"/>
        <v>26.224930555555556</v>
      </c>
      <c r="BG118" s="495">
        <f t="shared" si="204"/>
        <v>31.747152777777778</v>
      </c>
    </row>
    <row r="119" spans="1:59">
      <c r="A119" s="465" t="s">
        <v>8445</v>
      </c>
      <c r="B119" s="483">
        <v>646884121</v>
      </c>
      <c r="C119" s="462" t="s">
        <v>773</v>
      </c>
      <c r="D119" s="462">
        <v>7200</v>
      </c>
      <c r="F119" s="491" t="str" cm="1">
        <f t="array" aca="1" ref="F119" ca="1">MID(met2utc(PEPSSI_Commanding[[#This Row],[MET]]),3,15)</f>
        <v>26-201/20:10:06</v>
      </c>
      <c r="G119" s="465" t="str">
        <f t="shared" si="155"/>
        <v>N3+7200</v>
      </c>
      <c r="H119" s="466">
        <f t="shared" si="156"/>
        <v>646883515</v>
      </c>
      <c r="I119" s="466">
        <f t="shared" si="157"/>
        <v>678385315</v>
      </c>
      <c r="J119" s="465">
        <f t="shared" si="158"/>
        <v>20</v>
      </c>
      <c r="K119" s="465">
        <f t="shared" si="159"/>
        <v>4</v>
      </c>
      <c r="M119" s="462">
        <f t="shared" si="160"/>
        <v>360</v>
      </c>
      <c r="N119" s="462">
        <f t="shared" si="161"/>
        <v>360</v>
      </c>
      <c r="O119" s="462">
        <f t="shared" si="162"/>
        <v>7200</v>
      </c>
      <c r="P119" s="462">
        <f t="shared" si="163"/>
        <v>1800</v>
      </c>
      <c r="Q119" s="462" t="str">
        <f t="shared" si="164"/>
        <v/>
      </c>
      <c r="R119" s="462" t="str">
        <f t="shared" si="165"/>
        <v/>
      </c>
      <c r="S119" s="462" t="str">
        <f t="shared" si="166"/>
        <v>102</v>
      </c>
      <c r="U119" s="495">
        <f t="shared" si="167"/>
        <v>2.4479166666666666E-2</v>
      </c>
      <c r="V119" s="495">
        <f t="shared" si="168"/>
        <v>0.1015625</v>
      </c>
      <c r="W119" s="495">
        <f t="shared" si="169"/>
        <v>0.28444444444444444</v>
      </c>
      <c r="X119" s="495">
        <f t="shared" si="170"/>
        <v>5.5222222222222221</v>
      </c>
      <c r="Y119" s="495">
        <f t="shared" si="171"/>
        <v>3.6944444444444446</v>
      </c>
      <c r="Z119" s="495">
        <f t="shared" si="172"/>
        <v>3.6944444444444446</v>
      </c>
      <c r="AA119" s="495">
        <f t="shared" si="173"/>
        <v>2.7650000000000001</v>
      </c>
      <c r="AB119" s="496"/>
      <c r="AC119" s="495">
        <f t="shared" si="174"/>
        <v>5.5222222222222221</v>
      </c>
      <c r="AD119" s="495">
        <f t="shared" si="175"/>
        <v>2.8665625000000001</v>
      </c>
      <c r="AE119" s="495">
        <f t="shared" si="176"/>
        <v>8.3887847222222227</v>
      </c>
      <c r="AF119" s="495">
        <f t="shared" si="177"/>
        <v>3.6944444444444446</v>
      </c>
      <c r="AG119" s="495">
        <f t="shared" si="178"/>
        <v>9.2166666666666668</v>
      </c>
      <c r="AH119" s="495">
        <f t="shared" si="179"/>
        <v>6.5610069444444452</v>
      </c>
      <c r="AI119" s="495">
        <f t="shared" si="180"/>
        <v>12.083229166666667</v>
      </c>
      <c r="AJ119" s="495">
        <f t="shared" si="181"/>
        <v>2.4479166666666666E-2</v>
      </c>
      <c r="AK119" s="495">
        <f t="shared" si="182"/>
        <v>5.5467013888888888</v>
      </c>
      <c r="AL119" s="495">
        <f t="shared" si="183"/>
        <v>2.8910416666666667</v>
      </c>
      <c r="AM119" s="495">
        <f t="shared" si="184"/>
        <v>8.4132638888888884</v>
      </c>
      <c r="AN119" s="495">
        <f t="shared" si="185"/>
        <v>3.7189236111111112</v>
      </c>
      <c r="AO119" s="495">
        <f t="shared" si="186"/>
        <v>9.2411458333333343</v>
      </c>
      <c r="AP119" s="495">
        <f t="shared" si="187"/>
        <v>6.5854861111111109</v>
      </c>
      <c r="AQ119" s="495">
        <f t="shared" si="188"/>
        <v>12.107708333333333</v>
      </c>
      <c r="AR119" s="495">
        <f t="shared" si="189"/>
        <v>0.28444444444444444</v>
      </c>
      <c r="AS119" s="495">
        <f t="shared" si="190"/>
        <v>5.8066666666666666</v>
      </c>
      <c r="AT119" s="495">
        <f t="shared" si="191"/>
        <v>3.1510069444444446</v>
      </c>
      <c r="AU119" s="495">
        <f t="shared" si="192"/>
        <v>8.6732291666666672</v>
      </c>
      <c r="AV119" s="495">
        <f t="shared" si="193"/>
        <v>3.9788888888888891</v>
      </c>
      <c r="AW119" s="495">
        <f t="shared" si="194"/>
        <v>9.5011111111111113</v>
      </c>
      <c r="AX119" s="495">
        <f t="shared" si="195"/>
        <v>6.8454513888888897</v>
      </c>
      <c r="AY119" s="495">
        <f t="shared" si="196"/>
        <v>12.367673611111112</v>
      </c>
      <c r="AZ119" s="495">
        <f t="shared" si="197"/>
        <v>0.30892361111111111</v>
      </c>
      <c r="BA119" s="495">
        <f t="shared" si="198"/>
        <v>5.8311458333333333</v>
      </c>
      <c r="BB119" s="495">
        <f t="shared" si="199"/>
        <v>3.1754861111111112</v>
      </c>
      <c r="BC119" s="495">
        <f t="shared" si="200"/>
        <v>8.6977083333333329</v>
      </c>
      <c r="BD119" s="495">
        <f t="shared" si="201"/>
        <v>4.0033680555555557</v>
      </c>
      <c r="BE119" s="495">
        <f t="shared" si="202"/>
        <v>9.525590277777777</v>
      </c>
      <c r="BF119" s="495">
        <f t="shared" si="203"/>
        <v>6.8699305555555554</v>
      </c>
      <c r="BG119" s="495">
        <f t="shared" si="204"/>
        <v>12.392152777777778</v>
      </c>
    </row>
    <row r="120" spans="1:59">
      <c r="A120" s="465" t="s">
        <v>8447</v>
      </c>
      <c r="B120" s="483">
        <v>646884124</v>
      </c>
      <c r="C120" s="462" t="s">
        <v>8403</v>
      </c>
      <c r="D120" s="462">
        <v>1800</v>
      </c>
      <c r="F120" s="491" t="str" cm="1">
        <f t="array" aca="1" ref="F120" ca="1">MID(met2utc(PEPSSI_Commanding[[#This Row],[MET]]),3,15)</f>
        <v>26-201/20:10:09</v>
      </c>
      <c r="G120" s="465" t="str">
        <f t="shared" si="155"/>
        <v>STAT+1800</v>
      </c>
      <c r="H120" s="466">
        <f t="shared" si="156"/>
        <v>646883515</v>
      </c>
      <c r="I120" s="466">
        <f t="shared" si="157"/>
        <v>678385315</v>
      </c>
      <c r="J120" s="465">
        <f t="shared" si="158"/>
        <v>21</v>
      </c>
      <c r="K120" s="465">
        <f t="shared" si="159"/>
        <v>3</v>
      </c>
      <c r="M120" s="462">
        <f t="shared" si="160"/>
        <v>360</v>
      </c>
      <c r="N120" s="462">
        <f t="shared" si="161"/>
        <v>360</v>
      </c>
      <c r="O120" s="462">
        <f t="shared" si="162"/>
        <v>7200</v>
      </c>
      <c r="P120" s="462">
        <f t="shared" si="163"/>
        <v>1800</v>
      </c>
      <c r="Q120" s="462" t="str">
        <f t="shared" si="164"/>
        <v/>
      </c>
      <c r="R120" s="462" t="str">
        <f t="shared" si="165"/>
        <v/>
      </c>
      <c r="S120" s="462" t="str">
        <f t="shared" si="166"/>
        <v>102</v>
      </c>
      <c r="U120" s="495">
        <f t="shared" si="167"/>
        <v>2.4479166666666666E-2</v>
      </c>
      <c r="V120" s="495">
        <f t="shared" si="168"/>
        <v>0.1015625</v>
      </c>
      <c r="W120" s="495">
        <f t="shared" si="169"/>
        <v>0.28444444444444444</v>
      </c>
      <c r="X120" s="495">
        <f t="shared" si="170"/>
        <v>5.5222222222222221</v>
      </c>
      <c r="Y120" s="495">
        <f t="shared" si="171"/>
        <v>3.6944444444444446</v>
      </c>
      <c r="Z120" s="495">
        <f t="shared" si="172"/>
        <v>3.6944444444444446</v>
      </c>
      <c r="AA120" s="495">
        <f t="shared" si="173"/>
        <v>2.7650000000000001</v>
      </c>
      <c r="AB120" s="496"/>
      <c r="AC120" s="495">
        <f t="shared" si="174"/>
        <v>5.5222222222222221</v>
      </c>
      <c r="AD120" s="495">
        <f t="shared" si="175"/>
        <v>2.8665625000000001</v>
      </c>
      <c r="AE120" s="495">
        <f t="shared" si="176"/>
        <v>8.3887847222222227</v>
      </c>
      <c r="AF120" s="495">
        <f t="shared" si="177"/>
        <v>3.6944444444444446</v>
      </c>
      <c r="AG120" s="495">
        <f t="shared" si="178"/>
        <v>9.2166666666666668</v>
      </c>
      <c r="AH120" s="495">
        <f t="shared" si="179"/>
        <v>6.5610069444444452</v>
      </c>
      <c r="AI120" s="495">
        <f t="shared" si="180"/>
        <v>12.083229166666667</v>
      </c>
      <c r="AJ120" s="495">
        <f t="shared" si="181"/>
        <v>2.4479166666666666E-2</v>
      </c>
      <c r="AK120" s="495">
        <f t="shared" si="182"/>
        <v>5.5467013888888888</v>
      </c>
      <c r="AL120" s="495">
        <f t="shared" si="183"/>
        <v>2.8910416666666667</v>
      </c>
      <c r="AM120" s="495">
        <f t="shared" si="184"/>
        <v>8.4132638888888884</v>
      </c>
      <c r="AN120" s="495">
        <f t="shared" si="185"/>
        <v>3.7189236111111112</v>
      </c>
      <c r="AO120" s="495">
        <f t="shared" si="186"/>
        <v>9.2411458333333343</v>
      </c>
      <c r="AP120" s="495">
        <f t="shared" si="187"/>
        <v>6.5854861111111109</v>
      </c>
      <c r="AQ120" s="495">
        <f t="shared" si="188"/>
        <v>12.107708333333333</v>
      </c>
      <c r="AR120" s="495">
        <f t="shared" si="189"/>
        <v>0.28444444444444444</v>
      </c>
      <c r="AS120" s="495">
        <f t="shared" si="190"/>
        <v>5.8066666666666666</v>
      </c>
      <c r="AT120" s="495">
        <f t="shared" si="191"/>
        <v>3.1510069444444446</v>
      </c>
      <c r="AU120" s="495">
        <f t="shared" si="192"/>
        <v>8.6732291666666672</v>
      </c>
      <c r="AV120" s="495">
        <f t="shared" si="193"/>
        <v>3.9788888888888891</v>
      </c>
      <c r="AW120" s="495">
        <f t="shared" si="194"/>
        <v>9.5011111111111113</v>
      </c>
      <c r="AX120" s="495">
        <f t="shared" si="195"/>
        <v>6.8454513888888897</v>
      </c>
      <c r="AY120" s="495">
        <f t="shared" si="196"/>
        <v>12.367673611111112</v>
      </c>
      <c r="AZ120" s="495">
        <f t="shared" si="197"/>
        <v>0.30892361111111111</v>
      </c>
      <c r="BA120" s="495">
        <f t="shared" si="198"/>
        <v>5.8311458333333333</v>
      </c>
      <c r="BB120" s="495">
        <f t="shared" si="199"/>
        <v>3.1754861111111112</v>
      </c>
      <c r="BC120" s="495">
        <f t="shared" si="200"/>
        <v>8.6977083333333329</v>
      </c>
      <c r="BD120" s="495">
        <f t="shared" si="201"/>
        <v>4.0033680555555557</v>
      </c>
      <c r="BE120" s="495">
        <f t="shared" si="202"/>
        <v>9.525590277777777</v>
      </c>
      <c r="BF120" s="495">
        <f t="shared" si="203"/>
        <v>6.8699305555555554</v>
      </c>
      <c r="BG120" s="495">
        <f t="shared" si="204"/>
        <v>12.392152777777778</v>
      </c>
    </row>
    <row r="121" spans="1:59">
      <c r="A121" s="465" t="s">
        <v>8443</v>
      </c>
      <c r="B121" s="483">
        <v>646884715</v>
      </c>
      <c r="C121" s="462" t="s">
        <v>8404</v>
      </c>
      <c r="D121" s="462">
        <v>103</v>
      </c>
      <c r="F121" s="491" t="str" cm="1">
        <f t="array" aca="1" ref="F121" ca="1">MID(met2utc(PEPSSI_Commanding[[#This Row],[MET]]),3,15)</f>
        <v>26-201/20:20:00</v>
      </c>
      <c r="G121" s="465" t="str">
        <f t="shared" si="155"/>
        <v>MAC+103</v>
      </c>
      <c r="H121" s="466">
        <f t="shared" si="156"/>
        <v>646883515</v>
      </c>
      <c r="I121" s="466">
        <f t="shared" si="157"/>
        <v>678385315</v>
      </c>
      <c r="J121" s="465">
        <f t="shared" si="158"/>
        <v>22</v>
      </c>
      <c r="K121" s="465">
        <f t="shared" si="159"/>
        <v>2</v>
      </c>
      <c r="M121" s="462">
        <f t="shared" si="160"/>
        <v>360</v>
      </c>
      <c r="N121" s="462">
        <f t="shared" si="161"/>
        <v>3</v>
      </c>
      <c r="O121" s="462">
        <f t="shared" si="162"/>
        <v>7200</v>
      </c>
      <c r="P121" s="462">
        <f t="shared" si="163"/>
        <v>1800</v>
      </c>
      <c r="Q121" s="462" t="str">
        <f t="shared" si="164"/>
        <v>disabled</v>
      </c>
      <c r="R121" s="462" t="str">
        <f t="shared" si="165"/>
        <v/>
      </c>
      <c r="S121" s="462" t="str">
        <f t="shared" si="166"/>
        <v>102</v>
      </c>
      <c r="U121" s="495">
        <f t="shared" si="167"/>
        <v>2.9375</v>
      </c>
      <c r="V121" s="495">
        <f t="shared" si="168"/>
        <v>12.1875</v>
      </c>
      <c r="W121" s="495">
        <f t="shared" si="169"/>
        <v>0.28444444444444444</v>
      </c>
      <c r="X121" s="495">
        <f t="shared" si="170"/>
        <v>5.5222222222222221</v>
      </c>
      <c r="Y121" s="495">
        <f t="shared" si="171"/>
        <v>0</v>
      </c>
      <c r="Z121" s="495">
        <f t="shared" si="172"/>
        <v>0</v>
      </c>
      <c r="AA121" s="495">
        <f t="shared" si="173"/>
        <v>2.7650000000000001</v>
      </c>
      <c r="AB121" s="496"/>
      <c r="AC121" s="495">
        <f t="shared" si="174"/>
        <v>5.5222222222222221</v>
      </c>
      <c r="AD121" s="495">
        <f t="shared" si="175"/>
        <v>14.952500000000001</v>
      </c>
      <c r="AE121" s="495">
        <f t="shared" si="176"/>
        <v>20.474722222222223</v>
      </c>
      <c r="AF121" s="495">
        <f t="shared" si="177"/>
        <v>0</v>
      </c>
      <c r="AG121" s="495">
        <f t="shared" si="178"/>
        <v>5.5222222222222221</v>
      </c>
      <c r="AH121" s="495">
        <f t="shared" si="179"/>
        <v>14.952500000000001</v>
      </c>
      <c r="AI121" s="495">
        <f t="shared" si="180"/>
        <v>20.474722222222223</v>
      </c>
      <c r="AJ121" s="495">
        <f t="shared" si="181"/>
        <v>2.9375</v>
      </c>
      <c r="AK121" s="495">
        <f t="shared" si="182"/>
        <v>8.4597222222222221</v>
      </c>
      <c r="AL121" s="495">
        <f t="shared" si="183"/>
        <v>17.89</v>
      </c>
      <c r="AM121" s="495">
        <f t="shared" si="184"/>
        <v>23.412222222222223</v>
      </c>
      <c r="AN121" s="495">
        <f t="shared" si="185"/>
        <v>2.9375</v>
      </c>
      <c r="AO121" s="495">
        <f t="shared" si="186"/>
        <v>8.4597222222222221</v>
      </c>
      <c r="AP121" s="495">
        <f t="shared" si="187"/>
        <v>17.89</v>
      </c>
      <c r="AQ121" s="495">
        <f t="shared" si="188"/>
        <v>23.412222222222223</v>
      </c>
      <c r="AR121" s="495">
        <f t="shared" si="189"/>
        <v>0.28444444444444444</v>
      </c>
      <c r="AS121" s="495">
        <f t="shared" si="190"/>
        <v>5.8066666666666666</v>
      </c>
      <c r="AT121" s="495">
        <f t="shared" si="191"/>
        <v>15.236944444444445</v>
      </c>
      <c r="AU121" s="495">
        <f t="shared" si="192"/>
        <v>20.759166666666665</v>
      </c>
      <c r="AV121" s="495">
        <f t="shared" si="193"/>
        <v>0.28444444444444444</v>
      </c>
      <c r="AW121" s="495">
        <f t="shared" si="194"/>
        <v>5.8066666666666666</v>
      </c>
      <c r="AX121" s="495">
        <f t="shared" si="195"/>
        <v>15.236944444444445</v>
      </c>
      <c r="AY121" s="495">
        <f t="shared" si="196"/>
        <v>20.759166666666665</v>
      </c>
      <c r="AZ121" s="495">
        <f t="shared" si="197"/>
        <v>3.2219444444444445</v>
      </c>
      <c r="BA121" s="495">
        <f t="shared" si="198"/>
        <v>8.7441666666666666</v>
      </c>
      <c r="BB121" s="495">
        <f t="shared" si="199"/>
        <v>18.174444444444447</v>
      </c>
      <c r="BC121" s="495">
        <f t="shared" si="200"/>
        <v>23.696666666666669</v>
      </c>
      <c r="BD121" s="495">
        <f t="shared" si="201"/>
        <v>3.2219444444444445</v>
      </c>
      <c r="BE121" s="495">
        <f t="shared" si="202"/>
        <v>8.7441666666666666</v>
      </c>
      <c r="BF121" s="495">
        <f t="shared" si="203"/>
        <v>18.174444444444447</v>
      </c>
      <c r="BG121" s="495">
        <f t="shared" si="204"/>
        <v>23.696666666666669</v>
      </c>
    </row>
    <row r="122" spans="1:59">
      <c r="A122" s="465" t="s">
        <v>8443</v>
      </c>
      <c r="B122" s="483">
        <v>646885315</v>
      </c>
      <c r="C122" s="462" t="s">
        <v>8404</v>
      </c>
      <c r="D122" s="462">
        <v>109</v>
      </c>
      <c r="F122" s="491" t="str" cm="1">
        <f t="array" aca="1" ref="F122" ca="1">MID(met2utc(PEPSSI_Commanding[[#This Row],[MET]]),3,15)</f>
        <v>26-201/20:30:00</v>
      </c>
      <c r="G122" s="465" t="str">
        <f t="shared" si="155"/>
        <v>MAC+109</v>
      </c>
      <c r="H122" s="466">
        <f t="shared" si="156"/>
        <v>646883515</v>
      </c>
      <c r="I122" s="466">
        <f t="shared" si="157"/>
        <v>678385315</v>
      </c>
      <c r="J122" s="465">
        <f t="shared" si="158"/>
        <v>23</v>
      </c>
      <c r="K122" s="465">
        <f t="shared" si="159"/>
        <v>1</v>
      </c>
      <c r="M122" s="462">
        <f t="shared" si="160"/>
        <v>360</v>
      </c>
      <c r="N122" s="462">
        <f t="shared" si="161"/>
        <v>3</v>
      </c>
      <c r="O122" s="462">
        <f t="shared" si="162"/>
        <v>7200</v>
      </c>
      <c r="P122" s="462">
        <f t="shared" si="163"/>
        <v>1800</v>
      </c>
      <c r="Q122" s="462" t="str">
        <f t="shared" si="164"/>
        <v/>
      </c>
      <c r="R122" s="462">
        <f t="shared" si="165"/>
        <v>1800</v>
      </c>
      <c r="S122" s="462" t="str">
        <f t="shared" si="166"/>
        <v>102</v>
      </c>
      <c r="U122" s="495">
        <f t="shared" si="167"/>
        <v>2.9375</v>
      </c>
      <c r="V122" s="495">
        <f t="shared" si="168"/>
        <v>12.1875</v>
      </c>
      <c r="W122" s="495">
        <f t="shared" si="169"/>
        <v>0.28444444444444444</v>
      </c>
      <c r="X122" s="495">
        <f t="shared" si="170"/>
        <v>5.5222222222222221</v>
      </c>
      <c r="Y122" s="495">
        <f t="shared" si="171"/>
        <v>443.33333333333331</v>
      </c>
      <c r="Z122" s="495">
        <f t="shared" si="172"/>
        <v>18.472222222222221</v>
      </c>
      <c r="AA122" s="495">
        <f t="shared" si="173"/>
        <v>2.7650000000000001</v>
      </c>
      <c r="AB122" s="496"/>
      <c r="AC122" s="495">
        <f t="shared" si="174"/>
        <v>5.5222222222222221</v>
      </c>
      <c r="AD122" s="495">
        <f t="shared" si="175"/>
        <v>14.952500000000001</v>
      </c>
      <c r="AE122" s="495">
        <f t="shared" si="176"/>
        <v>20.474722222222223</v>
      </c>
      <c r="AF122" s="495">
        <f t="shared" si="177"/>
        <v>18.472222222222221</v>
      </c>
      <c r="AG122" s="495">
        <f t="shared" si="178"/>
        <v>23.994444444444444</v>
      </c>
      <c r="AH122" s="495">
        <f t="shared" si="179"/>
        <v>33.424722222222222</v>
      </c>
      <c r="AI122" s="495">
        <f t="shared" si="180"/>
        <v>38.946944444444441</v>
      </c>
      <c r="AJ122" s="495">
        <f t="shared" si="181"/>
        <v>2.9375</v>
      </c>
      <c r="AK122" s="495">
        <f t="shared" si="182"/>
        <v>8.4597222222222221</v>
      </c>
      <c r="AL122" s="495">
        <f t="shared" si="183"/>
        <v>17.89</v>
      </c>
      <c r="AM122" s="495">
        <f t="shared" si="184"/>
        <v>23.412222222222223</v>
      </c>
      <c r="AN122" s="495">
        <f t="shared" si="185"/>
        <v>21.409722222222221</v>
      </c>
      <c r="AO122" s="495">
        <f t="shared" si="186"/>
        <v>26.931944444444444</v>
      </c>
      <c r="AP122" s="495">
        <f t="shared" si="187"/>
        <v>36.362222222222222</v>
      </c>
      <c r="AQ122" s="495">
        <f t="shared" si="188"/>
        <v>41.884444444444441</v>
      </c>
      <c r="AR122" s="495">
        <f t="shared" si="189"/>
        <v>0.28444444444444444</v>
      </c>
      <c r="AS122" s="495">
        <f t="shared" si="190"/>
        <v>5.8066666666666666</v>
      </c>
      <c r="AT122" s="495">
        <f t="shared" si="191"/>
        <v>15.236944444444445</v>
      </c>
      <c r="AU122" s="495">
        <f t="shared" si="192"/>
        <v>20.759166666666665</v>
      </c>
      <c r="AV122" s="495">
        <f t="shared" si="193"/>
        <v>18.756666666666664</v>
      </c>
      <c r="AW122" s="495">
        <f t="shared" si="194"/>
        <v>24.278888888888886</v>
      </c>
      <c r="AX122" s="495">
        <f t="shared" si="195"/>
        <v>33.709166666666661</v>
      </c>
      <c r="AY122" s="495">
        <f t="shared" si="196"/>
        <v>39.231388888888887</v>
      </c>
      <c r="AZ122" s="495">
        <f t="shared" si="197"/>
        <v>3.2219444444444445</v>
      </c>
      <c r="BA122" s="495">
        <f t="shared" si="198"/>
        <v>8.7441666666666666</v>
      </c>
      <c r="BB122" s="495">
        <f t="shared" si="199"/>
        <v>18.174444444444447</v>
      </c>
      <c r="BC122" s="495">
        <f t="shared" si="200"/>
        <v>23.696666666666669</v>
      </c>
      <c r="BD122" s="495">
        <f t="shared" si="201"/>
        <v>21.694166666666668</v>
      </c>
      <c r="BE122" s="495">
        <f t="shared" si="202"/>
        <v>27.21638888888889</v>
      </c>
      <c r="BF122" s="495">
        <f t="shared" si="203"/>
        <v>36.646666666666668</v>
      </c>
      <c r="BG122" s="495">
        <f t="shared" si="204"/>
        <v>42.168888888888887</v>
      </c>
    </row>
  </sheetData>
  <conditionalFormatting sqref="AC1:BG1048576">
    <cfRule type="expression" dxfId="47" priority="4">
      <formula>AC$12&lt;&gt;""</formula>
    </cfRule>
  </conditionalFormatting>
  <conditionalFormatting sqref="AD8:BG8">
    <cfRule type="expression" dxfId="46" priority="5">
      <formula>AD8&lt;&gt;(AC8+1)</formula>
    </cfRule>
  </conditionalFormatting>
  <conditionalFormatting sqref="A14:BG1048576">
    <cfRule type="expression" dxfId="45" priority="6">
      <formula>OR($C14="ON",FALSE)</formula>
    </cfRule>
  </conditionalFormatting>
  <conditionalFormatting sqref="A14:BG1048476">
    <cfRule type="expression" dxfId="44" priority="3">
      <formula>OR($G14="OFF",AND($G15&lt;&gt;"OFF",$K14=1))</formula>
    </cfRule>
  </conditionalFormatting>
  <conditionalFormatting sqref="A14:D1048576">
    <cfRule type="expression" dxfId="43"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13" customWidth="1"/>
    <col min="2" max="2" width="19.42578125" style="413" customWidth="1"/>
    <col min="3" max="3" width="20.28515625" style="413" customWidth="1"/>
    <col min="4" max="4" width="30.5703125" style="413" customWidth="1"/>
    <col min="5" max="5" width="28.42578125" style="413" customWidth="1"/>
    <col min="6" max="6" width="35.42578125" style="413" customWidth="1"/>
    <col min="7" max="7" width="17.7109375" style="413" customWidth="1"/>
    <col min="8" max="16384" width="11.5703125" style="413"/>
  </cols>
  <sheetData>
    <row r="1" spans="1:7">
      <c r="A1" s="413" t="s">
        <v>4410</v>
      </c>
      <c r="B1" s="413" t="s">
        <v>4411</v>
      </c>
      <c r="C1" s="413" t="s">
        <v>4412</v>
      </c>
      <c r="D1" s="413" t="s">
        <v>4413</v>
      </c>
      <c r="E1" s="413" t="s">
        <v>4414</v>
      </c>
      <c r="F1" s="413" t="s">
        <v>4415</v>
      </c>
      <c r="G1" s="413" t="s">
        <v>4416</v>
      </c>
    </row>
    <row r="2" spans="1:7">
      <c r="A2" s="413" t="s">
        <v>4417</v>
      </c>
      <c r="B2" s="413" t="s">
        <v>4418</v>
      </c>
      <c r="C2" s="413" t="s">
        <v>4419</v>
      </c>
    </row>
    <row r="3" spans="1:7">
      <c r="A3" s="413">
        <v>346118620</v>
      </c>
      <c r="B3" s="413">
        <v>537084701.42623997</v>
      </c>
      <c r="C3" s="414">
        <v>36526.5</v>
      </c>
      <c r="D3" s="413" t="s">
        <v>4420</v>
      </c>
      <c r="E3" s="413" t="s">
        <v>4421</v>
      </c>
      <c r="F3" s="413" t="str">
        <f ca="1">met2utc(A3)</f>
        <v>2017-007/18:11:41.426240</v>
      </c>
    </row>
    <row r="4" spans="1:7">
      <c r="A4" s="413">
        <v>346291416</v>
      </c>
      <c r="B4" s="413">
        <v>537257497.42819095</v>
      </c>
      <c r="C4" s="413">
        <v>86400</v>
      </c>
      <c r="D4" s="413" t="s">
        <v>4422</v>
      </c>
      <c r="E4" s="413" t="s">
        <v>4423</v>
      </c>
      <c r="F4" s="413" t="str" cm="1">
        <f t="array" aca="1" ref="F4" ca="1">MID(met2utc(A4),3,12)</f>
        <v>17-009/18:11</v>
      </c>
    </row>
    <row r="5" spans="1:7">
      <c r="A5" s="413">
        <v>346428190</v>
      </c>
      <c r="B5" s="413">
        <v>537394271.42971897</v>
      </c>
      <c r="D5" s="413" t="s">
        <v>4424</v>
      </c>
      <c r="E5" s="413" t="s">
        <v>4425</v>
      </c>
    </row>
    <row r="6" spans="1:7">
      <c r="A6" s="413">
        <v>346604594</v>
      </c>
      <c r="B6" s="413">
        <v>537570675.43171895</v>
      </c>
      <c r="D6" s="413" t="s">
        <v>4426</v>
      </c>
      <c r="E6" s="413" t="s">
        <v>4427</v>
      </c>
    </row>
    <row r="7" spans="1:7">
      <c r="A7" s="413">
        <v>346860176</v>
      </c>
      <c r="B7" s="413">
        <v>537826257.43458998</v>
      </c>
      <c r="D7" s="413" t="s">
        <v>4428</v>
      </c>
      <c r="E7" s="413" t="s">
        <v>4429</v>
      </c>
    </row>
    <row r="8" spans="1:7">
      <c r="A8" s="413">
        <v>347022168</v>
      </c>
      <c r="B8" s="413">
        <v>537988249.43640804</v>
      </c>
      <c r="D8" s="413" t="s">
        <v>4430</v>
      </c>
      <c r="E8" s="413" t="s">
        <v>4431</v>
      </c>
    </row>
    <row r="9" spans="1:7">
      <c r="A9" s="413">
        <v>347151788</v>
      </c>
      <c r="B9" s="413">
        <v>538117869.43789995</v>
      </c>
      <c r="D9" s="413" t="s">
        <v>4432</v>
      </c>
      <c r="E9" s="413" t="s">
        <v>4433</v>
      </c>
    </row>
    <row r="10" spans="1:7">
      <c r="A10" s="413">
        <v>347202166</v>
      </c>
      <c r="B10" s="413">
        <v>538168247.43844998</v>
      </c>
      <c r="D10" s="413" t="s">
        <v>4434</v>
      </c>
      <c r="E10" s="413" t="s">
        <v>4435</v>
      </c>
    </row>
    <row r="11" spans="1:7">
      <c r="A11" s="413">
        <v>347464967</v>
      </c>
      <c r="B11" s="413">
        <v>538431048.44142306</v>
      </c>
      <c r="D11" s="413" t="s">
        <v>4436</v>
      </c>
      <c r="E11" s="413" t="s">
        <v>4437</v>
      </c>
    </row>
    <row r="12" spans="1:7">
      <c r="A12" s="413">
        <v>347612597</v>
      </c>
      <c r="B12" s="413">
        <v>538578678.44311404</v>
      </c>
      <c r="D12" s="413" t="s">
        <v>4438</v>
      </c>
      <c r="E12" s="413" t="s">
        <v>4439</v>
      </c>
    </row>
    <row r="13" spans="1:7">
      <c r="A13" s="413">
        <v>347698989</v>
      </c>
      <c r="B13" s="413">
        <v>538665070.44409597</v>
      </c>
      <c r="D13" s="413" t="s">
        <v>4440</v>
      </c>
      <c r="E13" s="413" t="s">
        <v>4441</v>
      </c>
    </row>
    <row r="14" spans="1:7">
      <c r="A14" s="413">
        <v>347828574</v>
      </c>
      <c r="B14" s="413">
        <v>538794655.445521</v>
      </c>
      <c r="D14" s="413" t="s">
        <v>4442</v>
      </c>
      <c r="E14" s="413" t="s">
        <v>4443</v>
      </c>
    </row>
    <row r="15" spans="1:7">
      <c r="A15" s="413">
        <v>348019376</v>
      </c>
      <c r="B15" s="413">
        <v>538985457.44769204</v>
      </c>
      <c r="D15" s="413" t="s">
        <v>4444</v>
      </c>
      <c r="E15" s="413" t="s">
        <v>4445</v>
      </c>
    </row>
    <row r="16" spans="1:7">
      <c r="A16" s="413">
        <v>348091416</v>
      </c>
      <c r="B16" s="413">
        <v>539057497.448506</v>
      </c>
      <c r="D16" s="413" t="s">
        <v>4446</v>
      </c>
      <c r="E16" s="413" t="s">
        <v>4447</v>
      </c>
    </row>
    <row r="17" spans="1:5">
      <c r="A17" s="413">
        <v>348192174</v>
      </c>
      <c r="B17" s="413">
        <v>539158255.44964194</v>
      </c>
      <c r="D17" s="413" t="s">
        <v>4448</v>
      </c>
      <c r="E17" s="413" t="s">
        <v>4449</v>
      </c>
    </row>
    <row r="18" spans="1:5">
      <c r="A18" s="413">
        <v>348278575</v>
      </c>
      <c r="B18" s="413">
        <v>539244656.45060098</v>
      </c>
      <c r="D18" s="413" t="s">
        <v>4450</v>
      </c>
      <c r="E18" s="413" t="s">
        <v>4451</v>
      </c>
    </row>
    <row r="19" spans="1:5">
      <c r="A19" s="413">
        <v>348328957</v>
      </c>
      <c r="B19" s="413">
        <v>539295038.45118701</v>
      </c>
      <c r="D19" s="413" t="s">
        <v>4452</v>
      </c>
      <c r="E19" s="413" t="s">
        <v>4453</v>
      </c>
    </row>
    <row r="20" spans="1:5">
      <c r="A20" s="413">
        <v>348624221</v>
      </c>
      <c r="B20" s="413">
        <v>539590302.45451498</v>
      </c>
      <c r="D20" s="413" t="s">
        <v>4454</v>
      </c>
      <c r="E20" s="413" t="s">
        <v>4455</v>
      </c>
    </row>
    <row r="21" spans="1:5">
      <c r="A21" s="413">
        <v>348703375</v>
      </c>
      <c r="B21" s="413">
        <v>539669456.45543504</v>
      </c>
      <c r="D21" s="413" t="s">
        <v>4456</v>
      </c>
      <c r="E21" s="413" t="s">
        <v>4457</v>
      </c>
    </row>
    <row r="22" spans="1:5">
      <c r="A22" s="413">
        <v>348959883</v>
      </c>
      <c r="B22" s="413">
        <v>539925964.458318</v>
      </c>
      <c r="D22" s="413" t="s">
        <v>4458</v>
      </c>
      <c r="E22" s="413" t="s">
        <v>4459</v>
      </c>
    </row>
    <row r="23" spans="1:5">
      <c r="A23" s="413">
        <v>349056219</v>
      </c>
      <c r="B23" s="413">
        <v>540022300.45943296</v>
      </c>
      <c r="D23" s="413" t="s">
        <v>4460</v>
      </c>
      <c r="E23" s="413" t="s">
        <v>4461</v>
      </c>
    </row>
    <row r="24" spans="1:5">
      <c r="A24" s="413">
        <v>349142624</v>
      </c>
      <c r="B24" s="413">
        <v>540108705.46040595</v>
      </c>
      <c r="D24" s="413" t="s">
        <v>4462</v>
      </c>
      <c r="E24" s="413" t="s">
        <v>4463</v>
      </c>
    </row>
    <row r="25" spans="1:5">
      <c r="A25" s="413">
        <v>349228966</v>
      </c>
      <c r="B25" s="413">
        <v>540195047.46139205</v>
      </c>
      <c r="D25" s="413" t="s">
        <v>4464</v>
      </c>
      <c r="E25" s="413" t="s">
        <v>4465</v>
      </c>
    </row>
    <row r="26" spans="1:5">
      <c r="A26" s="413">
        <v>349275763</v>
      </c>
      <c r="B26" s="413">
        <v>540241844.46192002</v>
      </c>
      <c r="D26" s="413" t="s">
        <v>4466</v>
      </c>
      <c r="E26" s="413" t="s">
        <v>4467</v>
      </c>
    </row>
    <row r="27" spans="1:5">
      <c r="A27" s="413">
        <v>349488170</v>
      </c>
      <c r="B27" s="413">
        <v>540454251.46434104</v>
      </c>
      <c r="D27" s="413" t="s">
        <v>4468</v>
      </c>
      <c r="E27" s="413" t="s">
        <v>4469</v>
      </c>
    </row>
    <row r="28" spans="1:5">
      <c r="A28" s="413">
        <v>349506157</v>
      </c>
      <c r="B28" s="413">
        <v>540472238.46455395</v>
      </c>
      <c r="D28" s="413" t="s">
        <v>4470</v>
      </c>
      <c r="E28" s="413" t="s">
        <v>4471</v>
      </c>
    </row>
    <row r="29" spans="1:5">
      <c r="A29" s="413">
        <v>349610561</v>
      </c>
      <c r="B29" s="413">
        <v>540576642.46572006</v>
      </c>
      <c r="D29" s="413" t="s">
        <v>4472</v>
      </c>
      <c r="E29" s="413" t="s">
        <v>4473</v>
      </c>
    </row>
    <row r="30" spans="1:5">
      <c r="A30" s="413">
        <v>349707771</v>
      </c>
      <c r="B30" s="413">
        <v>540673852.46684396</v>
      </c>
      <c r="D30" s="413" t="s">
        <v>4474</v>
      </c>
      <c r="E30" s="413" t="s">
        <v>4475</v>
      </c>
    </row>
    <row r="31" spans="1:5">
      <c r="A31" s="413">
        <v>349909442</v>
      </c>
      <c r="B31" s="413">
        <v>540875523.46914601</v>
      </c>
      <c r="D31" s="413" t="s">
        <v>4476</v>
      </c>
      <c r="E31" s="413" t="s">
        <v>4477</v>
      </c>
    </row>
    <row r="32" spans="1:5">
      <c r="A32" s="413">
        <v>349995791</v>
      </c>
      <c r="B32" s="413">
        <v>540961872.47012401</v>
      </c>
      <c r="D32" s="413" t="s">
        <v>4478</v>
      </c>
      <c r="E32" s="413" t="s">
        <v>4479</v>
      </c>
    </row>
    <row r="33" spans="1:5">
      <c r="A33" s="413">
        <v>350021024</v>
      </c>
      <c r="B33" s="413">
        <v>540987105.47040701</v>
      </c>
      <c r="D33" s="413" t="s">
        <v>4480</v>
      </c>
      <c r="E33" s="413" t="s">
        <v>4481</v>
      </c>
    </row>
    <row r="34" spans="1:5">
      <c r="A34" s="413">
        <v>350312595</v>
      </c>
      <c r="B34" s="413">
        <v>541278676.47372794</v>
      </c>
      <c r="D34" s="413" t="s">
        <v>4482</v>
      </c>
      <c r="E34" s="413" t="s">
        <v>4483</v>
      </c>
    </row>
    <row r="35" spans="1:5">
      <c r="A35" s="413">
        <v>350384581</v>
      </c>
      <c r="B35" s="413">
        <v>541350662.47454</v>
      </c>
      <c r="D35" s="413" t="s">
        <v>4484</v>
      </c>
      <c r="E35" s="413" t="s">
        <v>4485</v>
      </c>
    </row>
    <row r="36" spans="1:5">
      <c r="A36" s="413">
        <v>350557387</v>
      </c>
      <c r="B36" s="413">
        <v>541523468.47650695</v>
      </c>
      <c r="D36" s="413" t="s">
        <v>4486</v>
      </c>
      <c r="E36" s="413" t="s">
        <v>4487</v>
      </c>
    </row>
    <row r="37" spans="1:5">
      <c r="A37" s="413">
        <v>350683460</v>
      </c>
      <c r="B37" s="413">
        <v>541649541.47796404</v>
      </c>
      <c r="D37" s="413" t="s">
        <v>4488</v>
      </c>
      <c r="E37" s="413" t="s">
        <v>4489</v>
      </c>
    </row>
    <row r="38" spans="1:5">
      <c r="A38" s="413">
        <v>350870608</v>
      </c>
      <c r="B38" s="413">
        <v>541836689.48008704</v>
      </c>
      <c r="D38" s="413" t="s">
        <v>4490</v>
      </c>
      <c r="E38" s="413" t="s">
        <v>4491</v>
      </c>
    </row>
    <row r="39" spans="1:5">
      <c r="A39" s="413">
        <v>350942618</v>
      </c>
      <c r="B39" s="413">
        <v>541908699.48093796</v>
      </c>
      <c r="D39" s="413" t="s">
        <v>4492</v>
      </c>
      <c r="E39" s="413" t="s">
        <v>4493</v>
      </c>
    </row>
    <row r="40" spans="1:5">
      <c r="A40" s="413">
        <v>351029023</v>
      </c>
      <c r="B40" s="413">
        <v>541995104.481884</v>
      </c>
      <c r="D40" s="413" t="s">
        <v>4494</v>
      </c>
      <c r="E40" s="413" t="s">
        <v>4495</v>
      </c>
    </row>
    <row r="41" spans="1:5">
      <c r="A41" s="413">
        <v>351115470</v>
      </c>
      <c r="B41" s="413">
        <v>542081551.48288703</v>
      </c>
      <c r="D41" s="413" t="s">
        <v>4496</v>
      </c>
      <c r="E41" s="413" t="s">
        <v>4497</v>
      </c>
    </row>
    <row r="42" spans="1:5">
      <c r="A42" s="413">
        <v>351338616</v>
      </c>
      <c r="B42" s="413">
        <v>542304697.48546302</v>
      </c>
      <c r="D42" s="413" t="s">
        <v>4498</v>
      </c>
      <c r="E42" s="413" t="s">
        <v>4499</v>
      </c>
    </row>
    <row r="43" spans="1:5">
      <c r="A43" s="413">
        <v>351475430</v>
      </c>
      <c r="B43" s="413">
        <v>542441511.48701894</v>
      </c>
      <c r="D43" s="413" t="s">
        <v>4500</v>
      </c>
      <c r="E43" s="413" t="s">
        <v>4501</v>
      </c>
    </row>
    <row r="44" spans="1:5">
      <c r="A44" s="413">
        <v>351518636</v>
      </c>
      <c r="B44" s="413">
        <v>542484717.48751795</v>
      </c>
      <c r="D44" s="413" t="s">
        <v>4502</v>
      </c>
      <c r="E44" s="413" t="s">
        <v>4503</v>
      </c>
    </row>
    <row r="45" spans="1:5">
      <c r="A45" s="413">
        <v>351601428</v>
      </c>
      <c r="B45" s="413">
        <v>542567509.488469</v>
      </c>
      <c r="D45" s="413" t="s">
        <v>4504</v>
      </c>
      <c r="E45" s="413" t="s">
        <v>4505</v>
      </c>
    </row>
    <row r="46" spans="1:5">
      <c r="A46" s="413">
        <v>351734699</v>
      </c>
      <c r="B46" s="413">
        <v>542700780.49001002</v>
      </c>
      <c r="D46" s="413" t="s">
        <v>4506</v>
      </c>
      <c r="E46" s="413" t="s">
        <v>4507</v>
      </c>
    </row>
    <row r="47" spans="1:5">
      <c r="A47" s="413">
        <v>351777849</v>
      </c>
      <c r="B47" s="413">
        <v>542743930.49049795</v>
      </c>
      <c r="D47" s="413" t="s">
        <v>4508</v>
      </c>
      <c r="E47" s="413" t="s">
        <v>4509</v>
      </c>
    </row>
    <row r="48" spans="1:5">
      <c r="A48" s="413">
        <v>351972272</v>
      </c>
      <c r="B48" s="413">
        <v>542938353.49273098</v>
      </c>
      <c r="D48" s="413" t="s">
        <v>4510</v>
      </c>
      <c r="E48" s="413" t="s">
        <v>4511</v>
      </c>
    </row>
    <row r="49" spans="1:5">
      <c r="A49" s="413">
        <v>352148701</v>
      </c>
      <c r="B49" s="413">
        <v>543114782.494766</v>
      </c>
      <c r="D49" s="413" t="s">
        <v>4512</v>
      </c>
      <c r="E49" s="413" t="s">
        <v>4513</v>
      </c>
    </row>
    <row r="50" spans="1:5">
      <c r="A50" s="413">
        <v>352242261</v>
      </c>
      <c r="B50" s="413">
        <v>543208342.49583304</v>
      </c>
      <c r="D50" s="413" t="s">
        <v>4514</v>
      </c>
      <c r="E50" s="413" t="s">
        <v>4515</v>
      </c>
    </row>
    <row r="51" spans="1:5">
      <c r="A51" s="413">
        <v>352339469</v>
      </c>
      <c r="B51" s="413">
        <v>543305550.49697304</v>
      </c>
      <c r="D51" s="413" t="s">
        <v>4516</v>
      </c>
      <c r="E51" s="413" t="s">
        <v>4517</v>
      </c>
    </row>
    <row r="52" spans="1:5">
      <c r="A52" s="413">
        <v>352379073</v>
      </c>
      <c r="B52" s="413">
        <v>543345154.49742401</v>
      </c>
      <c r="D52" s="413" t="s">
        <v>4518</v>
      </c>
      <c r="E52" s="413" t="s">
        <v>4519</v>
      </c>
    </row>
    <row r="53" spans="1:5">
      <c r="A53" s="413">
        <v>352566289</v>
      </c>
      <c r="B53" s="413">
        <v>543532370.49956298</v>
      </c>
      <c r="D53" s="413" t="s">
        <v>4520</v>
      </c>
      <c r="E53" s="413" t="s">
        <v>4521</v>
      </c>
    </row>
    <row r="54" spans="1:5">
      <c r="A54" s="413">
        <v>352638286</v>
      </c>
      <c r="B54" s="413">
        <v>543604367.50041902</v>
      </c>
      <c r="D54" s="413" t="s">
        <v>4522</v>
      </c>
      <c r="E54" s="413" t="s">
        <v>4523</v>
      </c>
    </row>
    <row r="55" spans="1:5">
      <c r="A55" s="413">
        <v>352854308</v>
      </c>
      <c r="B55" s="413">
        <v>543820389.50290406</v>
      </c>
      <c r="D55" s="413" t="s">
        <v>4524</v>
      </c>
      <c r="E55" s="413" t="s">
        <v>4525</v>
      </c>
    </row>
    <row r="56" spans="1:5">
      <c r="A56" s="413">
        <v>353009109</v>
      </c>
      <c r="B56" s="413">
        <v>543975190.50470996</v>
      </c>
      <c r="D56" s="413" t="s">
        <v>4526</v>
      </c>
      <c r="E56" s="413" t="s">
        <v>4527</v>
      </c>
    </row>
    <row r="57" spans="1:5">
      <c r="A57" s="413">
        <v>353174705</v>
      </c>
      <c r="B57" s="413">
        <v>544140786.50660396</v>
      </c>
      <c r="D57" s="413" t="s">
        <v>4528</v>
      </c>
      <c r="E57" s="413" t="s">
        <v>4529</v>
      </c>
    </row>
    <row r="58" spans="1:5">
      <c r="A58" s="413">
        <v>353318723</v>
      </c>
      <c r="B58" s="413">
        <v>544284804.50827098</v>
      </c>
      <c r="D58" s="413" t="s">
        <v>4530</v>
      </c>
      <c r="E58" s="413" t="s">
        <v>4531</v>
      </c>
    </row>
    <row r="59" spans="1:5">
      <c r="A59" s="413">
        <v>353441135</v>
      </c>
      <c r="B59" s="413">
        <v>544407216.50971401</v>
      </c>
      <c r="D59" s="413" t="s">
        <v>4532</v>
      </c>
      <c r="E59" s="413" t="s">
        <v>4533</v>
      </c>
    </row>
    <row r="60" spans="1:5">
      <c r="A60" s="413">
        <v>353545529</v>
      </c>
      <c r="B60" s="413">
        <v>544511610.51091099</v>
      </c>
      <c r="D60" s="413" t="s">
        <v>4534</v>
      </c>
      <c r="E60" s="413" t="s">
        <v>4535</v>
      </c>
    </row>
    <row r="61" spans="1:5">
      <c r="A61" s="413">
        <v>353592344</v>
      </c>
      <c r="B61" s="413">
        <v>544558425.51143098</v>
      </c>
      <c r="D61" s="413" t="s">
        <v>4536</v>
      </c>
      <c r="E61" s="413" t="s">
        <v>4537</v>
      </c>
    </row>
    <row r="62" spans="1:5">
      <c r="A62" s="413">
        <v>367449320</v>
      </c>
      <c r="B62" s="413">
        <v>558415401.67506397</v>
      </c>
      <c r="D62" s="413" t="s">
        <v>4538</v>
      </c>
      <c r="E62" s="413" t="s">
        <v>4539</v>
      </c>
    </row>
    <row r="63" spans="1:5">
      <c r="A63" s="413">
        <v>367485357</v>
      </c>
      <c r="B63" s="413">
        <v>558451438.67549503</v>
      </c>
      <c r="D63" s="413" t="s">
        <v>4540</v>
      </c>
      <c r="E63" s="413" t="s">
        <v>4541</v>
      </c>
    </row>
    <row r="64" spans="1:5">
      <c r="A64" s="413">
        <v>367617536</v>
      </c>
      <c r="B64" s="413">
        <v>558583617.67714906</v>
      </c>
      <c r="D64" s="413" t="s">
        <v>4542</v>
      </c>
      <c r="E64" s="413" t="s">
        <v>4543</v>
      </c>
    </row>
    <row r="65" spans="1:5">
      <c r="A65" s="413">
        <v>367685926</v>
      </c>
      <c r="B65" s="413">
        <v>558652007.67796099</v>
      </c>
      <c r="D65" s="413" t="s">
        <v>4544</v>
      </c>
      <c r="E65" s="413" t="s">
        <v>4545</v>
      </c>
    </row>
    <row r="66" spans="1:5">
      <c r="A66" s="413">
        <v>367801101</v>
      </c>
      <c r="B66" s="413">
        <v>558767182.67929399</v>
      </c>
      <c r="D66" s="413" t="s">
        <v>4546</v>
      </c>
      <c r="E66" s="413" t="s">
        <v>4547</v>
      </c>
    </row>
    <row r="67" spans="1:5">
      <c r="A67" s="413">
        <v>367887462</v>
      </c>
      <c r="B67" s="413">
        <v>558853543.68031204</v>
      </c>
      <c r="D67" s="413" t="s">
        <v>4548</v>
      </c>
      <c r="E67" s="413" t="s">
        <v>4549</v>
      </c>
    </row>
    <row r="68" spans="1:5">
      <c r="A68" s="413">
        <v>367941432</v>
      </c>
      <c r="B68" s="413">
        <v>558907513.68094802</v>
      </c>
      <c r="D68" s="413" t="s">
        <v>4550</v>
      </c>
      <c r="E68" s="413" t="s">
        <v>4551</v>
      </c>
    </row>
    <row r="69" spans="1:5">
      <c r="A69" s="413">
        <v>368031453</v>
      </c>
      <c r="B69" s="413">
        <v>558997534.68199301</v>
      </c>
      <c r="D69" s="413" t="s">
        <v>4552</v>
      </c>
      <c r="E69" s="413" t="s">
        <v>4553</v>
      </c>
    </row>
    <row r="70" spans="1:5">
      <c r="A70" s="413">
        <v>368204229</v>
      </c>
      <c r="B70" s="413">
        <v>559170310.684008</v>
      </c>
      <c r="D70" s="413" t="s">
        <v>4554</v>
      </c>
      <c r="E70" s="413" t="s">
        <v>4555</v>
      </c>
    </row>
    <row r="71" spans="1:5">
      <c r="A71" s="413">
        <v>368398602</v>
      </c>
      <c r="B71" s="413">
        <v>559364683.68624604</v>
      </c>
      <c r="D71" s="413" t="s">
        <v>4556</v>
      </c>
      <c r="E71" s="413" t="s">
        <v>4557</v>
      </c>
    </row>
    <row r="72" spans="1:5">
      <c r="A72" s="413">
        <v>368582157</v>
      </c>
      <c r="B72" s="413">
        <v>559548238.68836904</v>
      </c>
      <c r="D72" s="413" t="s">
        <v>4558</v>
      </c>
      <c r="E72" s="413" t="s">
        <v>4559</v>
      </c>
    </row>
    <row r="73" spans="1:5">
      <c r="A73" s="413">
        <v>368657795</v>
      </c>
      <c r="B73" s="413">
        <v>559623876.68929398</v>
      </c>
      <c r="D73" s="413" t="s">
        <v>4560</v>
      </c>
      <c r="E73" s="413" t="s">
        <v>4561</v>
      </c>
    </row>
    <row r="74" spans="1:5">
      <c r="A74" s="413">
        <v>368722539</v>
      </c>
      <c r="B74" s="413">
        <v>559688620.69004405</v>
      </c>
      <c r="D74" s="413" t="s">
        <v>4562</v>
      </c>
      <c r="E74" s="413" t="s">
        <v>4563</v>
      </c>
    </row>
    <row r="75" spans="1:5">
      <c r="A75" s="413">
        <v>369100480</v>
      </c>
      <c r="B75" s="413">
        <v>560066561.69440103</v>
      </c>
      <c r="D75" s="413" t="s">
        <v>4564</v>
      </c>
      <c r="E75" s="413" t="s">
        <v>4565</v>
      </c>
    </row>
    <row r="76" spans="1:5">
      <c r="A76" s="413">
        <v>369150863</v>
      </c>
      <c r="B76" s="413">
        <v>560116944.695014</v>
      </c>
      <c r="D76" s="413" t="s">
        <v>4566</v>
      </c>
      <c r="E76" s="413" t="s">
        <v>4567</v>
      </c>
    </row>
    <row r="77" spans="1:5">
      <c r="A77" s="413">
        <v>369266056</v>
      </c>
      <c r="B77" s="413">
        <v>560232137.69634199</v>
      </c>
      <c r="D77" s="413" t="s">
        <v>4568</v>
      </c>
      <c r="E77" s="413" t="s">
        <v>4569</v>
      </c>
    </row>
    <row r="78" spans="1:5">
      <c r="A78" s="413">
        <v>369359662</v>
      </c>
      <c r="B78" s="413">
        <v>560325743.69740403</v>
      </c>
      <c r="D78" s="413" t="s">
        <v>4570</v>
      </c>
      <c r="E78" s="413" t="s">
        <v>4571</v>
      </c>
    </row>
    <row r="79" spans="1:5">
      <c r="A79" s="413">
        <v>369431672</v>
      </c>
      <c r="B79" s="413">
        <v>560397753.69825006</v>
      </c>
      <c r="D79" s="413" t="s">
        <v>4572</v>
      </c>
      <c r="E79" s="413" t="s">
        <v>4573</v>
      </c>
    </row>
    <row r="80" spans="1:5">
      <c r="A80" s="413">
        <v>369518034</v>
      </c>
      <c r="B80" s="413">
        <v>560484115.69923902</v>
      </c>
      <c r="D80" s="413" t="s">
        <v>4574</v>
      </c>
      <c r="E80" s="413" t="s">
        <v>4575</v>
      </c>
    </row>
    <row r="81" spans="1:5">
      <c r="A81" s="413">
        <v>369611616</v>
      </c>
      <c r="B81" s="413">
        <v>560577697.70033801</v>
      </c>
      <c r="D81" s="413" t="s">
        <v>4576</v>
      </c>
      <c r="E81" s="413" t="s">
        <v>4577</v>
      </c>
    </row>
    <row r="82" spans="1:5">
      <c r="A82" s="413">
        <v>369698000</v>
      </c>
      <c r="B82" s="413">
        <v>560664081.70133698</v>
      </c>
      <c r="D82" s="413" t="s">
        <v>4578</v>
      </c>
      <c r="E82" s="413" t="s">
        <v>4579</v>
      </c>
    </row>
    <row r="83" spans="1:5">
      <c r="A83" s="413">
        <v>369784388</v>
      </c>
      <c r="B83" s="413">
        <v>560750469.70234704</v>
      </c>
      <c r="D83" s="413" t="s">
        <v>4580</v>
      </c>
      <c r="E83" s="413" t="s">
        <v>4581</v>
      </c>
    </row>
    <row r="84" spans="1:5">
      <c r="A84" s="413">
        <v>369870780</v>
      </c>
      <c r="B84" s="413">
        <v>560836861.70334303</v>
      </c>
      <c r="D84" s="413" t="s">
        <v>4582</v>
      </c>
      <c r="E84" s="413" t="s">
        <v>4583</v>
      </c>
    </row>
    <row r="85" spans="1:5">
      <c r="A85" s="413">
        <v>369957165</v>
      </c>
      <c r="B85" s="413">
        <v>560923246.70433295</v>
      </c>
      <c r="D85" s="413" t="s">
        <v>4584</v>
      </c>
      <c r="E85" s="413" t="s">
        <v>4585</v>
      </c>
    </row>
    <row r="86" spans="1:5">
      <c r="A86" s="413">
        <v>370043550</v>
      </c>
      <c r="B86" s="413">
        <v>561009631.70532894</v>
      </c>
      <c r="D86" s="413" t="s">
        <v>4586</v>
      </c>
      <c r="E86" s="413" t="s">
        <v>4587</v>
      </c>
    </row>
    <row r="87" spans="1:5">
      <c r="A87" s="413">
        <v>370129942</v>
      </c>
      <c r="B87" s="413">
        <v>561096023.70632899</v>
      </c>
      <c r="D87" s="413" t="s">
        <v>4588</v>
      </c>
      <c r="E87" s="413" t="s">
        <v>4589</v>
      </c>
    </row>
    <row r="88" spans="1:5">
      <c r="A88" s="413">
        <v>370212719</v>
      </c>
      <c r="B88" s="413">
        <v>561178800.70728302</v>
      </c>
      <c r="D88" s="413" t="s">
        <v>4590</v>
      </c>
      <c r="E88" s="413" t="s">
        <v>4591</v>
      </c>
    </row>
    <row r="89" spans="1:5">
      <c r="A89" s="413">
        <v>370311002</v>
      </c>
      <c r="B89" s="413">
        <v>561277083.70838404</v>
      </c>
      <c r="D89" s="413" t="s">
        <v>4592</v>
      </c>
      <c r="E89" s="413" t="s">
        <v>4593</v>
      </c>
    </row>
    <row r="90" spans="1:5">
      <c r="A90" s="413">
        <v>370385494</v>
      </c>
      <c r="B90" s="413">
        <v>561351575.70926094</v>
      </c>
      <c r="D90" s="413" t="s">
        <v>4594</v>
      </c>
      <c r="E90" s="413" t="s">
        <v>4595</v>
      </c>
    </row>
    <row r="91" spans="1:5">
      <c r="A91" s="413">
        <v>370471885</v>
      </c>
      <c r="B91" s="413">
        <v>561437966.71026504</v>
      </c>
      <c r="D91" s="413" t="s">
        <v>4596</v>
      </c>
      <c r="E91" s="413" t="s">
        <v>4597</v>
      </c>
    </row>
    <row r="92" spans="1:5">
      <c r="A92" s="413">
        <v>370558271</v>
      </c>
      <c r="B92" s="413">
        <v>561524352.71125901</v>
      </c>
      <c r="D92" s="413" t="s">
        <v>4598</v>
      </c>
      <c r="E92" s="413" t="s">
        <v>4599</v>
      </c>
    </row>
    <row r="93" spans="1:5">
      <c r="A93" s="413">
        <v>370657140</v>
      </c>
      <c r="B93" s="413">
        <v>561623221.71238196</v>
      </c>
      <c r="D93" s="413" t="s">
        <v>4600</v>
      </c>
      <c r="E93" s="413" t="s">
        <v>4601</v>
      </c>
    </row>
    <row r="94" spans="1:5">
      <c r="A94" s="413">
        <v>370731093</v>
      </c>
      <c r="B94" s="413">
        <v>561697174.71324503</v>
      </c>
      <c r="D94" s="413" t="s">
        <v>4602</v>
      </c>
      <c r="E94" s="413" t="s">
        <v>4603</v>
      </c>
    </row>
    <row r="95" spans="1:5">
      <c r="A95" s="413">
        <v>370829735</v>
      </c>
      <c r="B95" s="413">
        <v>561795816.71435106</v>
      </c>
      <c r="D95" s="413" t="s">
        <v>4604</v>
      </c>
      <c r="E95" s="413" t="s">
        <v>4605</v>
      </c>
    </row>
    <row r="96" spans="1:5">
      <c r="A96" s="413">
        <v>370903827</v>
      </c>
      <c r="B96" s="413">
        <v>561869908.71522295</v>
      </c>
      <c r="D96" s="413" t="s">
        <v>4606</v>
      </c>
      <c r="E96" s="413" t="s">
        <v>4607</v>
      </c>
    </row>
    <row r="97" spans="1:5">
      <c r="A97" s="413">
        <v>371001003</v>
      </c>
      <c r="B97" s="413">
        <v>561967084.71631205</v>
      </c>
      <c r="D97" s="413" t="s">
        <v>4608</v>
      </c>
      <c r="E97" s="413" t="s">
        <v>4609</v>
      </c>
    </row>
    <row r="98" spans="1:5">
      <c r="A98" s="413">
        <v>371076601</v>
      </c>
      <c r="B98" s="413">
        <v>562042682.71721005</v>
      </c>
      <c r="D98" s="413" t="s">
        <v>4610</v>
      </c>
      <c r="E98" s="413" t="s">
        <v>4611</v>
      </c>
    </row>
    <row r="99" spans="1:5">
      <c r="A99" s="413">
        <v>371162990</v>
      </c>
      <c r="B99" s="413">
        <v>562129071.718189</v>
      </c>
      <c r="D99" s="413" t="s">
        <v>4612</v>
      </c>
      <c r="E99" s="413" t="s">
        <v>4613</v>
      </c>
    </row>
    <row r="100" spans="1:5">
      <c r="A100" s="413">
        <v>371249376</v>
      </c>
      <c r="B100" s="413">
        <v>562215457.71918905</v>
      </c>
      <c r="D100" s="413" t="s">
        <v>4614</v>
      </c>
      <c r="E100" s="413" t="s">
        <v>4615</v>
      </c>
    </row>
    <row r="101" spans="1:5">
      <c r="A101" s="413">
        <v>371335766</v>
      </c>
      <c r="B101" s="413">
        <v>562301847.72016394</v>
      </c>
      <c r="D101" s="413" t="s">
        <v>4616</v>
      </c>
      <c r="E101" s="413" t="s">
        <v>4617</v>
      </c>
    </row>
    <row r="102" spans="1:5">
      <c r="A102" s="413">
        <v>371411340</v>
      </c>
      <c r="B102" s="413">
        <v>562377421.72102702</v>
      </c>
      <c r="D102" s="413" t="s">
        <v>4618</v>
      </c>
      <c r="E102" s="413" t="s">
        <v>4619</v>
      </c>
    </row>
    <row r="103" spans="1:5">
      <c r="A103" s="413">
        <v>371504933</v>
      </c>
      <c r="B103" s="413">
        <v>562471014.72211397</v>
      </c>
      <c r="D103" s="413" t="s">
        <v>4620</v>
      </c>
      <c r="E103" s="413" t="s">
        <v>4621</v>
      </c>
    </row>
    <row r="104" spans="1:5">
      <c r="A104" s="413">
        <v>371591326</v>
      </c>
      <c r="B104" s="413">
        <v>562557407.72309899</v>
      </c>
      <c r="D104" s="413" t="s">
        <v>4622</v>
      </c>
      <c r="E104" s="413" t="s">
        <v>4623</v>
      </c>
    </row>
    <row r="105" spans="1:5">
      <c r="A105" s="413">
        <v>371670568</v>
      </c>
      <c r="B105" s="413">
        <v>562636649.72399604</v>
      </c>
      <c r="D105" s="413" t="s">
        <v>4624</v>
      </c>
      <c r="E105" s="413" t="s">
        <v>4625</v>
      </c>
    </row>
    <row r="106" spans="1:5">
      <c r="A106" s="413">
        <v>371864895</v>
      </c>
      <c r="B106" s="413">
        <v>562830976.726192</v>
      </c>
      <c r="D106" s="413" t="s">
        <v>4626</v>
      </c>
      <c r="E106" s="413" t="s">
        <v>4627</v>
      </c>
    </row>
    <row r="107" spans="1:5">
      <c r="A107" s="413">
        <v>371879310</v>
      </c>
      <c r="B107" s="413">
        <v>562845391.72638702</v>
      </c>
      <c r="D107" s="413" t="s">
        <v>4628</v>
      </c>
      <c r="E107" s="413" t="s">
        <v>4629</v>
      </c>
    </row>
    <row r="108" spans="1:5">
      <c r="A108" s="413">
        <v>372109660</v>
      </c>
      <c r="B108" s="413">
        <v>563075741.72900498</v>
      </c>
      <c r="D108" s="413" t="s">
        <v>4630</v>
      </c>
      <c r="E108" s="413" t="s">
        <v>4631</v>
      </c>
    </row>
    <row r="109" spans="1:5">
      <c r="A109" s="413">
        <v>372138440</v>
      </c>
      <c r="B109" s="413">
        <v>563104521.72934401</v>
      </c>
      <c r="D109" s="413" t="s">
        <v>4632</v>
      </c>
      <c r="E109" s="413" t="s">
        <v>4633</v>
      </c>
    </row>
    <row r="110" spans="1:5">
      <c r="A110" s="413">
        <v>372282433</v>
      </c>
      <c r="B110" s="413">
        <v>563248514.73098803</v>
      </c>
      <c r="D110" s="413" t="s">
        <v>4634</v>
      </c>
      <c r="E110" s="413" t="s">
        <v>4635</v>
      </c>
    </row>
    <row r="111" spans="1:5">
      <c r="A111" s="413">
        <v>372368822</v>
      </c>
      <c r="B111" s="413">
        <v>563334903.731969</v>
      </c>
      <c r="D111" s="413" t="s">
        <v>4636</v>
      </c>
      <c r="E111" s="413" t="s">
        <v>4637</v>
      </c>
    </row>
    <row r="112" spans="1:5">
      <c r="A112" s="413">
        <v>372469598</v>
      </c>
      <c r="B112" s="413">
        <v>563435679.73310494</v>
      </c>
      <c r="D112" s="413" t="s">
        <v>4638</v>
      </c>
      <c r="E112" s="413" t="s">
        <v>4639</v>
      </c>
    </row>
    <row r="113" spans="1:5">
      <c r="A113" s="413">
        <v>372541600</v>
      </c>
      <c r="B113" s="413">
        <v>563507681.73394001</v>
      </c>
      <c r="D113" s="413" t="s">
        <v>4640</v>
      </c>
      <c r="E113" s="413" t="s">
        <v>4641</v>
      </c>
    </row>
    <row r="114" spans="1:5">
      <c r="A114" s="413">
        <v>372656770</v>
      </c>
      <c r="B114" s="413">
        <v>563622851.73524702</v>
      </c>
      <c r="D114" s="413" t="s">
        <v>4642</v>
      </c>
      <c r="E114" s="413" t="s">
        <v>4643</v>
      </c>
    </row>
    <row r="115" spans="1:5">
      <c r="A115" s="413">
        <v>372797164</v>
      </c>
      <c r="B115" s="413">
        <v>563763245.736835</v>
      </c>
      <c r="D115" s="413" t="s">
        <v>4644</v>
      </c>
      <c r="E115" s="413" t="s">
        <v>4645</v>
      </c>
    </row>
    <row r="116" spans="1:5">
      <c r="A116" s="413">
        <v>372883548</v>
      </c>
      <c r="B116" s="413">
        <v>563849629.73782396</v>
      </c>
      <c r="D116" s="413" t="s">
        <v>4646</v>
      </c>
      <c r="E116" s="413" t="s">
        <v>4647</v>
      </c>
    </row>
    <row r="117" spans="1:5">
      <c r="A117" s="413">
        <v>372987934</v>
      </c>
      <c r="B117" s="413">
        <v>563954015.73900402</v>
      </c>
      <c r="D117" s="413" t="s">
        <v>4648</v>
      </c>
      <c r="E117" s="413" t="s">
        <v>4649</v>
      </c>
    </row>
    <row r="118" spans="1:5">
      <c r="A118" s="413">
        <v>373056325</v>
      </c>
      <c r="B118" s="413">
        <v>564022406.739779</v>
      </c>
      <c r="D118" s="413" t="s">
        <v>4650</v>
      </c>
      <c r="E118" s="413" t="s">
        <v>4651</v>
      </c>
    </row>
    <row r="119" spans="1:5">
      <c r="A119" s="413">
        <v>373085108</v>
      </c>
      <c r="B119" s="413">
        <v>564051189.74010396</v>
      </c>
      <c r="D119" s="413" t="s">
        <v>4652</v>
      </c>
      <c r="E119" s="413" t="s">
        <v>4653</v>
      </c>
    </row>
    <row r="120" spans="1:5">
      <c r="A120" s="413">
        <v>373225501</v>
      </c>
      <c r="B120" s="413">
        <v>564191582.74170005</v>
      </c>
      <c r="D120" s="413" t="s">
        <v>4654</v>
      </c>
      <c r="E120" s="413" t="s">
        <v>4655</v>
      </c>
    </row>
    <row r="121" spans="1:5">
      <c r="A121" s="413">
        <v>373333490</v>
      </c>
      <c r="B121" s="413">
        <v>564299571.74291801</v>
      </c>
      <c r="D121" s="413" t="s">
        <v>4656</v>
      </c>
      <c r="E121" s="413" t="s">
        <v>4657</v>
      </c>
    </row>
    <row r="122" spans="1:5">
      <c r="A122" s="413">
        <v>373401889</v>
      </c>
      <c r="B122" s="413">
        <v>564367970.74369395</v>
      </c>
      <c r="D122" s="413" t="s">
        <v>4658</v>
      </c>
      <c r="E122" s="413" t="s">
        <v>4659</v>
      </c>
    </row>
    <row r="123" spans="1:5">
      <c r="A123" s="413">
        <v>373488282</v>
      </c>
      <c r="B123" s="413">
        <v>564454363.74468899</v>
      </c>
      <c r="D123" s="413" t="s">
        <v>4660</v>
      </c>
      <c r="E123" s="413" t="s">
        <v>4661</v>
      </c>
    </row>
    <row r="124" spans="1:5">
      <c r="A124" s="413">
        <v>373593639</v>
      </c>
      <c r="B124" s="413">
        <v>564559720.74586499</v>
      </c>
      <c r="D124" s="413" t="s">
        <v>4662</v>
      </c>
      <c r="E124" s="413" t="s">
        <v>4663</v>
      </c>
    </row>
    <row r="125" spans="1:5">
      <c r="A125" s="413">
        <v>373661061</v>
      </c>
      <c r="B125" s="413">
        <v>564627142.74662995</v>
      </c>
      <c r="D125" s="413" t="s">
        <v>4664</v>
      </c>
      <c r="E125" s="413" t="s">
        <v>4665</v>
      </c>
    </row>
    <row r="126" spans="1:5">
      <c r="A126" s="413">
        <v>373689841</v>
      </c>
      <c r="B126" s="413">
        <v>564655922.74695802</v>
      </c>
      <c r="D126" s="413" t="s">
        <v>4666</v>
      </c>
      <c r="E126" s="413" t="s">
        <v>4667</v>
      </c>
    </row>
    <row r="127" spans="1:5">
      <c r="A127" s="413">
        <v>373938221</v>
      </c>
      <c r="B127" s="413">
        <v>564904302.74976504</v>
      </c>
      <c r="D127" s="413" t="s">
        <v>4668</v>
      </c>
      <c r="E127" s="413" t="s">
        <v>4669</v>
      </c>
    </row>
    <row r="128" spans="1:5">
      <c r="A128" s="413">
        <v>374003023</v>
      </c>
      <c r="B128" s="413">
        <v>564969104.750494</v>
      </c>
      <c r="D128" s="413" t="s">
        <v>4670</v>
      </c>
      <c r="E128" s="413" t="s">
        <v>4671</v>
      </c>
    </row>
    <row r="129" spans="1:5">
      <c r="A129" s="413">
        <v>374168592</v>
      </c>
      <c r="B129" s="413">
        <v>565134673.75236797</v>
      </c>
      <c r="D129" s="413" t="s">
        <v>4672</v>
      </c>
      <c r="E129" s="413" t="s">
        <v>4673</v>
      </c>
    </row>
    <row r="130" spans="1:5">
      <c r="A130" s="413">
        <v>374284705</v>
      </c>
      <c r="B130" s="413">
        <v>565250786.753685</v>
      </c>
      <c r="D130" s="413" t="s">
        <v>4674</v>
      </c>
      <c r="E130" s="413" t="s">
        <v>4675</v>
      </c>
    </row>
    <row r="131" spans="1:5">
      <c r="A131" s="413">
        <v>374370172</v>
      </c>
      <c r="B131" s="413">
        <v>565336253.75464296</v>
      </c>
      <c r="D131" s="413" t="s">
        <v>4676</v>
      </c>
      <c r="E131" s="413" t="s">
        <v>4677</v>
      </c>
    </row>
    <row r="132" spans="1:5">
      <c r="A132" s="413">
        <v>374434978</v>
      </c>
      <c r="B132" s="413">
        <v>565401059.75538504</v>
      </c>
      <c r="D132" s="413" t="s">
        <v>4678</v>
      </c>
      <c r="E132" s="413" t="s">
        <v>4679</v>
      </c>
    </row>
    <row r="133" spans="1:5">
      <c r="A133" s="413">
        <v>374542954</v>
      </c>
      <c r="B133" s="413">
        <v>565509035.75659001</v>
      </c>
      <c r="D133" s="413" t="s">
        <v>4680</v>
      </c>
      <c r="E133" s="413" t="s">
        <v>4681</v>
      </c>
    </row>
    <row r="134" spans="1:5">
      <c r="A134" s="413">
        <v>374546538</v>
      </c>
      <c r="B134" s="413">
        <v>565512619.75664103</v>
      </c>
      <c r="D134" s="413" t="s">
        <v>4682</v>
      </c>
      <c r="E134" s="413" t="s">
        <v>4683</v>
      </c>
    </row>
    <row r="135" spans="1:5">
      <c r="A135" s="413">
        <v>374694149</v>
      </c>
      <c r="B135" s="413">
        <v>565660230.75830805</v>
      </c>
      <c r="D135" s="413" t="s">
        <v>4684</v>
      </c>
      <c r="E135" s="413" t="s">
        <v>4685</v>
      </c>
    </row>
    <row r="136" spans="1:5">
      <c r="A136" s="413">
        <v>374780572</v>
      </c>
      <c r="B136" s="413">
        <v>565746653.75928605</v>
      </c>
      <c r="D136" s="413" t="s">
        <v>4686</v>
      </c>
      <c r="E136" s="413" t="s">
        <v>4687</v>
      </c>
    </row>
    <row r="137" spans="1:5">
      <c r="A137" s="413">
        <v>374974931</v>
      </c>
      <c r="B137" s="413">
        <v>565941012.76160097</v>
      </c>
      <c r="D137" s="413" t="s">
        <v>4688</v>
      </c>
      <c r="E137" s="413" t="s">
        <v>4689</v>
      </c>
    </row>
    <row r="138" spans="1:5">
      <c r="A138" s="413">
        <v>375050524</v>
      </c>
      <c r="B138" s="413">
        <v>566016605.76243699</v>
      </c>
      <c r="D138" s="413" t="s">
        <v>4690</v>
      </c>
      <c r="E138" s="413" t="s">
        <v>4691</v>
      </c>
    </row>
    <row r="139" spans="1:5">
      <c r="A139" s="413">
        <v>375147744</v>
      </c>
      <c r="B139" s="413">
        <v>566113825.76355803</v>
      </c>
      <c r="D139" s="413" t="s">
        <v>4692</v>
      </c>
      <c r="E139" s="413" t="s">
        <v>4693</v>
      </c>
    </row>
    <row r="140" spans="1:5">
      <c r="A140" s="413">
        <v>375234093</v>
      </c>
      <c r="B140" s="413">
        <v>566200174.76452398</v>
      </c>
      <c r="D140" s="413" t="s">
        <v>4694</v>
      </c>
      <c r="E140" s="413" t="s">
        <v>4695</v>
      </c>
    </row>
    <row r="141" spans="1:5">
      <c r="A141" s="413">
        <v>375295292</v>
      </c>
      <c r="B141" s="413">
        <v>566261373.76520503</v>
      </c>
      <c r="D141" s="413" t="s">
        <v>4696</v>
      </c>
      <c r="E141" s="413" t="s">
        <v>4697</v>
      </c>
    </row>
    <row r="142" spans="1:5">
      <c r="A142" s="413">
        <v>375381683</v>
      </c>
      <c r="B142" s="413">
        <v>566347764.76618803</v>
      </c>
      <c r="D142" s="413" t="s">
        <v>4698</v>
      </c>
      <c r="E142" s="413" t="s">
        <v>4699</v>
      </c>
    </row>
    <row r="143" spans="1:5">
      <c r="A143" s="413">
        <v>375493442</v>
      </c>
      <c r="B143" s="413">
        <v>566459523.76745796</v>
      </c>
      <c r="D143" s="413" t="s">
        <v>4700</v>
      </c>
      <c r="E143" s="413" t="s">
        <v>4701</v>
      </c>
    </row>
    <row r="144" spans="1:5">
      <c r="A144" s="413">
        <v>375543654</v>
      </c>
      <c r="B144" s="413">
        <v>566509735.76800001</v>
      </c>
      <c r="D144" s="413" t="s">
        <v>4702</v>
      </c>
      <c r="E144" s="413" t="s">
        <v>4703</v>
      </c>
    </row>
    <row r="145" spans="1:5">
      <c r="A145" s="413">
        <v>375640860</v>
      </c>
      <c r="B145" s="413">
        <v>566606941.76909995</v>
      </c>
      <c r="D145" s="413" t="s">
        <v>4704</v>
      </c>
      <c r="E145" s="413" t="s">
        <v>4705</v>
      </c>
    </row>
    <row r="146" spans="1:5">
      <c r="A146" s="413">
        <v>375752454</v>
      </c>
      <c r="B146" s="413">
        <v>566718535.77035797</v>
      </c>
      <c r="D146" s="413" t="s">
        <v>4706</v>
      </c>
      <c r="E146" s="413" t="s">
        <v>4707</v>
      </c>
    </row>
    <row r="147" spans="1:5">
      <c r="A147" s="413">
        <v>375838841</v>
      </c>
      <c r="B147" s="413">
        <v>566804922.77132499</v>
      </c>
      <c r="D147" s="413" t="s">
        <v>4708</v>
      </c>
      <c r="E147" s="413" t="s">
        <v>4709</v>
      </c>
    </row>
    <row r="148" spans="1:5">
      <c r="A148" s="413">
        <v>375925235</v>
      </c>
      <c r="B148" s="413">
        <v>566891316.77229404</v>
      </c>
      <c r="D148" s="413" t="s">
        <v>4710</v>
      </c>
      <c r="E148" s="413" t="s">
        <v>4711</v>
      </c>
    </row>
    <row r="149" spans="1:5">
      <c r="A149" s="413">
        <v>375968458</v>
      </c>
      <c r="B149" s="413">
        <v>566934539.77275002</v>
      </c>
      <c r="D149" s="413" t="s">
        <v>4712</v>
      </c>
      <c r="E149" s="413" t="s">
        <v>4713</v>
      </c>
    </row>
    <row r="150" spans="1:5">
      <c r="A150" s="413">
        <v>390520899</v>
      </c>
      <c r="B150" s="413">
        <v>581486980.93885398</v>
      </c>
      <c r="D150" s="413" t="s">
        <v>4714</v>
      </c>
      <c r="E150" s="413" t="s">
        <v>4715</v>
      </c>
    </row>
    <row r="151" spans="1:5">
      <c r="A151" s="413">
        <v>390584687</v>
      </c>
      <c r="B151" s="413">
        <v>581550768.94009304</v>
      </c>
      <c r="D151" s="413" t="s">
        <v>4716</v>
      </c>
      <c r="E151" s="413" t="s">
        <v>4717</v>
      </c>
    </row>
    <row r="152" spans="1:5">
      <c r="A152" s="413">
        <v>390656682</v>
      </c>
      <c r="B152" s="413">
        <v>581622763.94094598</v>
      </c>
      <c r="D152" s="413" t="s">
        <v>4718</v>
      </c>
      <c r="E152" s="413" t="s">
        <v>4719</v>
      </c>
    </row>
    <row r="153" spans="1:5">
      <c r="A153" s="413">
        <v>390764660</v>
      </c>
      <c r="B153" s="413">
        <v>581730741.94220996</v>
      </c>
      <c r="D153" s="413" t="s">
        <v>4720</v>
      </c>
      <c r="E153" s="413" t="s">
        <v>4721</v>
      </c>
    </row>
    <row r="154" spans="1:5">
      <c r="A154" s="413">
        <v>390865466</v>
      </c>
      <c r="B154" s="413">
        <v>581831547.94341505</v>
      </c>
      <c r="D154" s="413" t="s">
        <v>4722</v>
      </c>
      <c r="E154" s="413" t="s">
        <v>4723</v>
      </c>
    </row>
    <row r="155" spans="1:5">
      <c r="A155" s="413">
        <v>390951865</v>
      </c>
      <c r="B155" s="413">
        <v>581917946.94443703</v>
      </c>
      <c r="D155" s="413" t="s">
        <v>4724</v>
      </c>
      <c r="E155" s="413" t="s">
        <v>4725</v>
      </c>
    </row>
    <row r="156" spans="1:5">
      <c r="A156" s="413">
        <v>391028004</v>
      </c>
      <c r="B156" s="413">
        <v>581994085.94534194</v>
      </c>
      <c r="D156" s="413" t="s">
        <v>4726</v>
      </c>
      <c r="E156" s="413" t="s">
        <v>4727</v>
      </c>
    </row>
    <row r="157" spans="1:5">
      <c r="A157" s="413">
        <v>391085035</v>
      </c>
      <c r="B157" s="413">
        <v>582051116.94599295</v>
      </c>
      <c r="D157" s="413" t="s">
        <v>4728</v>
      </c>
      <c r="E157" s="413" t="s">
        <v>4729</v>
      </c>
    </row>
    <row r="158" spans="1:5">
      <c r="A158" s="413">
        <v>391211066</v>
      </c>
      <c r="B158" s="413">
        <v>582177147.94750595</v>
      </c>
      <c r="D158" s="413" t="s">
        <v>4730</v>
      </c>
      <c r="E158" s="413" t="s">
        <v>4731</v>
      </c>
    </row>
    <row r="159" spans="1:5">
      <c r="A159" s="413">
        <v>391304780</v>
      </c>
      <c r="B159" s="413">
        <v>582270861.94856501</v>
      </c>
      <c r="D159" s="413" t="s">
        <v>4732</v>
      </c>
      <c r="E159" s="413" t="s">
        <v>4733</v>
      </c>
    </row>
    <row r="160" spans="1:5">
      <c r="A160" s="413">
        <v>391380245</v>
      </c>
      <c r="B160" s="413">
        <v>582346326.94949698</v>
      </c>
      <c r="D160" s="413" t="s">
        <v>4734</v>
      </c>
      <c r="E160" s="413" t="s">
        <v>4735</v>
      </c>
    </row>
    <row r="161" spans="1:5">
      <c r="A161" s="413">
        <v>391459435</v>
      </c>
      <c r="B161" s="413">
        <v>582425516.95043898</v>
      </c>
      <c r="D161" s="413" t="s">
        <v>4736</v>
      </c>
      <c r="E161" s="413" t="s">
        <v>4737</v>
      </c>
    </row>
    <row r="162" spans="1:5">
      <c r="A162" s="413">
        <v>391553047</v>
      </c>
      <c r="B162" s="413">
        <v>582519128.95153606</v>
      </c>
      <c r="D162" s="413" t="s">
        <v>4738</v>
      </c>
      <c r="E162" s="413" t="s">
        <v>4739</v>
      </c>
    </row>
    <row r="163" spans="1:5">
      <c r="A163" s="413">
        <v>391610648</v>
      </c>
      <c r="B163" s="413">
        <v>582576729.95221198</v>
      </c>
      <c r="D163" s="413" t="s">
        <v>4740</v>
      </c>
      <c r="E163" s="413" t="s">
        <v>4741</v>
      </c>
    </row>
    <row r="164" spans="1:5">
      <c r="A164" s="413">
        <v>391715033</v>
      </c>
      <c r="B164" s="413">
        <v>582681114.95345294</v>
      </c>
      <c r="D164" s="413" t="s">
        <v>4742</v>
      </c>
      <c r="E164" s="413" t="s">
        <v>4743</v>
      </c>
    </row>
    <row r="165" spans="1:5">
      <c r="A165" s="413">
        <v>391783448</v>
      </c>
      <c r="B165" s="413">
        <v>582749529.95424795</v>
      </c>
      <c r="D165" s="413" t="s">
        <v>4744</v>
      </c>
      <c r="E165" s="413" t="s">
        <v>4745</v>
      </c>
    </row>
    <row r="166" spans="1:5">
      <c r="A166" s="413">
        <v>391910236</v>
      </c>
      <c r="B166" s="413">
        <v>582876317.955778</v>
      </c>
      <c r="D166" s="413" t="s">
        <v>4746</v>
      </c>
      <c r="E166" s="413" t="s">
        <v>4747</v>
      </c>
    </row>
    <row r="167" spans="1:5">
      <c r="A167" s="413">
        <v>391985042</v>
      </c>
      <c r="B167" s="413">
        <v>582951123.95665205</v>
      </c>
      <c r="D167" s="413" t="s">
        <v>4748</v>
      </c>
      <c r="E167" s="413" t="s">
        <v>4749</v>
      </c>
    </row>
    <row r="168" spans="1:5">
      <c r="A168" s="413">
        <v>392082400</v>
      </c>
      <c r="B168" s="413">
        <v>583048481.95776999</v>
      </c>
      <c r="D168" s="413" t="s">
        <v>4750</v>
      </c>
      <c r="E168" s="413" t="s">
        <v>4751</v>
      </c>
    </row>
    <row r="169" spans="1:5">
      <c r="A169" s="413">
        <v>392154236</v>
      </c>
      <c r="B169" s="413">
        <v>583120317.95865905</v>
      </c>
      <c r="D169" s="413" t="s">
        <v>4752</v>
      </c>
      <c r="E169" s="413" t="s">
        <v>4753</v>
      </c>
    </row>
    <row r="170" spans="1:5">
      <c r="A170" s="413">
        <v>392208237</v>
      </c>
      <c r="B170" s="413">
        <v>583174318.95927703</v>
      </c>
      <c r="D170" s="413" t="s">
        <v>4754</v>
      </c>
      <c r="E170" s="413" t="s">
        <v>4755</v>
      </c>
    </row>
    <row r="171" spans="1:5">
      <c r="A171" s="413">
        <v>392330681</v>
      </c>
      <c r="B171" s="413">
        <v>583296762.96074498</v>
      </c>
      <c r="D171" s="413" t="s">
        <v>4756</v>
      </c>
      <c r="E171" s="413" t="s">
        <v>4757</v>
      </c>
    </row>
    <row r="172" spans="1:5">
      <c r="A172" s="413">
        <v>392417075</v>
      </c>
      <c r="B172" s="413">
        <v>583383156.96176505</v>
      </c>
      <c r="D172" s="413" t="s">
        <v>4758</v>
      </c>
      <c r="E172" s="413" t="s">
        <v>4759</v>
      </c>
    </row>
    <row r="173" spans="1:5">
      <c r="A173" s="413">
        <v>392503471</v>
      </c>
      <c r="B173" s="413">
        <v>583469552.96278906</v>
      </c>
      <c r="D173" s="413" t="s">
        <v>4760</v>
      </c>
      <c r="E173" s="413" t="s">
        <v>4761</v>
      </c>
    </row>
    <row r="174" spans="1:5">
      <c r="A174" s="413">
        <v>392589881</v>
      </c>
      <c r="B174" s="413">
        <v>583555962.96379697</v>
      </c>
      <c r="D174" s="413" t="s">
        <v>4762</v>
      </c>
      <c r="E174" s="413" t="s">
        <v>4763</v>
      </c>
    </row>
    <row r="175" spans="1:5">
      <c r="A175" s="413">
        <v>392669014</v>
      </c>
      <c r="B175" s="413">
        <v>583635095.96473598</v>
      </c>
      <c r="D175" s="413" t="s">
        <v>4764</v>
      </c>
      <c r="E175" s="413" t="s">
        <v>4765</v>
      </c>
    </row>
    <row r="176" spans="1:5">
      <c r="A176" s="413">
        <v>392759013</v>
      </c>
      <c r="B176" s="413">
        <v>583725094.96580803</v>
      </c>
      <c r="D176" s="413" t="s">
        <v>4766</v>
      </c>
      <c r="E176" s="413" t="s">
        <v>4767</v>
      </c>
    </row>
    <row r="177" spans="1:5">
      <c r="A177" s="413">
        <v>392838204</v>
      </c>
      <c r="B177" s="413">
        <v>583804285.96673405</v>
      </c>
      <c r="D177" s="413" t="s">
        <v>4768</v>
      </c>
      <c r="E177" s="413" t="s">
        <v>4769</v>
      </c>
    </row>
    <row r="178" spans="1:5">
      <c r="A178" s="413">
        <v>392917399</v>
      </c>
      <c r="B178" s="413">
        <v>583883480.96767104</v>
      </c>
      <c r="D178" s="413" t="s">
        <v>4770</v>
      </c>
      <c r="E178" s="413" t="s">
        <v>4771</v>
      </c>
    </row>
    <row r="179" spans="1:5">
      <c r="A179" s="413">
        <v>393000194</v>
      </c>
      <c r="B179" s="413">
        <v>583966275.96864998</v>
      </c>
      <c r="D179" s="413" t="s">
        <v>4772</v>
      </c>
      <c r="E179" s="413" t="s">
        <v>4773</v>
      </c>
    </row>
    <row r="180" spans="1:5">
      <c r="A180" s="413">
        <v>393119468</v>
      </c>
      <c r="B180" s="413">
        <v>584085549.97006404</v>
      </c>
      <c r="D180" s="413" t="s">
        <v>4774</v>
      </c>
      <c r="E180" s="413" t="s">
        <v>4775</v>
      </c>
    </row>
    <row r="181" spans="1:5">
      <c r="A181" s="413">
        <v>393180186</v>
      </c>
      <c r="B181" s="413">
        <v>584146267.97077</v>
      </c>
      <c r="D181" s="413" t="s">
        <v>4776</v>
      </c>
      <c r="E181" s="413" t="s">
        <v>4777</v>
      </c>
    </row>
    <row r="182" spans="1:5">
      <c r="A182" s="413">
        <v>393273793</v>
      </c>
      <c r="B182" s="413">
        <v>584239874.97189498</v>
      </c>
      <c r="D182" s="413" t="s">
        <v>4778</v>
      </c>
      <c r="E182" s="413" t="s">
        <v>4779</v>
      </c>
    </row>
    <row r="183" spans="1:5">
      <c r="A183" s="413">
        <v>393360185</v>
      </c>
      <c r="B183" s="413">
        <v>584326266.97291505</v>
      </c>
      <c r="D183" s="413" t="s">
        <v>4780</v>
      </c>
      <c r="E183" s="413" t="s">
        <v>4781</v>
      </c>
    </row>
    <row r="184" spans="1:5">
      <c r="A184" s="413">
        <v>393464750</v>
      </c>
      <c r="B184" s="413">
        <v>584430831.97412097</v>
      </c>
      <c r="D184" s="413" t="s">
        <v>4782</v>
      </c>
      <c r="E184" s="413" t="s">
        <v>4783</v>
      </c>
    </row>
    <row r="185" spans="1:5">
      <c r="A185" s="413">
        <v>393522169</v>
      </c>
      <c r="B185" s="413">
        <v>584488250.97481298</v>
      </c>
      <c r="D185" s="413" t="s">
        <v>4784</v>
      </c>
      <c r="E185" s="413" t="s">
        <v>4785</v>
      </c>
    </row>
    <row r="186" spans="1:5">
      <c r="A186" s="413">
        <v>393637540</v>
      </c>
      <c r="B186" s="413">
        <v>584603621.97616005</v>
      </c>
      <c r="D186" s="413" t="s">
        <v>4786</v>
      </c>
      <c r="E186" s="413" t="s">
        <v>4787</v>
      </c>
    </row>
    <row r="187" spans="1:5">
      <c r="A187" s="413">
        <v>393691360</v>
      </c>
      <c r="B187" s="413">
        <v>584657441.976807</v>
      </c>
      <c r="D187" s="413" t="s">
        <v>4788</v>
      </c>
      <c r="E187" s="413" t="s">
        <v>4789</v>
      </c>
    </row>
    <row r="188" spans="1:5">
      <c r="A188" s="413">
        <v>393792165</v>
      </c>
      <c r="B188" s="413">
        <v>584758246.97802997</v>
      </c>
      <c r="D188" s="413" t="s">
        <v>4790</v>
      </c>
      <c r="E188" s="413" t="s">
        <v>4791</v>
      </c>
    </row>
    <row r="189" spans="1:5">
      <c r="A189" s="413">
        <v>393878561</v>
      </c>
      <c r="B189" s="413">
        <v>584844642.97904003</v>
      </c>
      <c r="D189" s="413" t="s">
        <v>4792</v>
      </c>
      <c r="E189" s="413" t="s">
        <v>4793</v>
      </c>
    </row>
    <row r="190" spans="1:5">
      <c r="A190" s="413">
        <v>393957746</v>
      </c>
      <c r="B190" s="413">
        <v>584923827.97996902</v>
      </c>
      <c r="D190" s="413" t="s">
        <v>4794</v>
      </c>
      <c r="E190" s="413" t="s">
        <v>4795</v>
      </c>
    </row>
    <row r="191" spans="1:5">
      <c r="A191" s="413">
        <v>394062335</v>
      </c>
      <c r="B191" s="413">
        <v>585028416.98119295</v>
      </c>
      <c r="D191" s="413" t="s">
        <v>4796</v>
      </c>
      <c r="E191" s="413" t="s">
        <v>4797</v>
      </c>
    </row>
    <row r="192" spans="1:5">
      <c r="A192" s="413">
        <v>394108952</v>
      </c>
      <c r="B192" s="413">
        <v>585075033.98176301</v>
      </c>
      <c r="D192" s="413" t="s">
        <v>4798</v>
      </c>
      <c r="E192" s="413" t="s">
        <v>4799</v>
      </c>
    </row>
    <row r="193" spans="1:5">
      <c r="A193" s="413">
        <v>394328692</v>
      </c>
      <c r="B193" s="413">
        <v>585294773.98432398</v>
      </c>
      <c r="D193" s="413" t="s">
        <v>4800</v>
      </c>
      <c r="E193" s="413" t="s">
        <v>4801</v>
      </c>
    </row>
    <row r="194" spans="1:5">
      <c r="A194" s="413">
        <v>394382520</v>
      </c>
      <c r="B194" s="413">
        <v>585348601.98498905</v>
      </c>
      <c r="D194" s="413" t="s">
        <v>4802</v>
      </c>
      <c r="E194" s="413" t="s">
        <v>4803</v>
      </c>
    </row>
    <row r="195" spans="1:5">
      <c r="A195" s="413">
        <v>394476118</v>
      </c>
      <c r="B195" s="413">
        <v>585442199.98610103</v>
      </c>
      <c r="D195" s="413" t="s">
        <v>4804</v>
      </c>
      <c r="E195" s="413" t="s">
        <v>4805</v>
      </c>
    </row>
    <row r="196" spans="1:5">
      <c r="A196" s="413">
        <v>394540930</v>
      </c>
      <c r="B196" s="413">
        <v>585507011.98686504</v>
      </c>
      <c r="D196" s="413" t="s">
        <v>4806</v>
      </c>
      <c r="E196" s="413" t="s">
        <v>4807</v>
      </c>
    </row>
    <row r="197" spans="1:5">
      <c r="A197" s="413">
        <v>394648903</v>
      </c>
      <c r="B197" s="413">
        <v>585614984.98814094</v>
      </c>
      <c r="D197" s="413" t="s">
        <v>4808</v>
      </c>
      <c r="E197" s="413" t="s">
        <v>4809</v>
      </c>
    </row>
    <row r="198" spans="1:5">
      <c r="A198" s="413">
        <v>394800111</v>
      </c>
      <c r="B198" s="413">
        <v>585766192.98993397</v>
      </c>
      <c r="D198" s="413" t="s">
        <v>4810</v>
      </c>
      <c r="E198" s="413" t="s">
        <v>4811</v>
      </c>
    </row>
    <row r="199" spans="1:5">
      <c r="A199" s="413">
        <v>394933457</v>
      </c>
      <c r="B199" s="413">
        <v>585899538.99149203</v>
      </c>
      <c r="D199" s="413" t="s">
        <v>4812</v>
      </c>
      <c r="E199" s="413" t="s">
        <v>4813</v>
      </c>
    </row>
    <row r="200" spans="1:5">
      <c r="A200" s="413">
        <v>394987275</v>
      </c>
      <c r="B200" s="413">
        <v>585953356.99213696</v>
      </c>
      <c r="D200" s="413" t="s">
        <v>4814</v>
      </c>
      <c r="E200" s="413" t="s">
        <v>4815</v>
      </c>
    </row>
    <row r="201" spans="1:5">
      <c r="A201" s="413">
        <v>395048465</v>
      </c>
      <c r="B201" s="413">
        <v>586014546.99284601</v>
      </c>
      <c r="D201" s="413" t="s">
        <v>4816</v>
      </c>
      <c r="E201" s="413" t="s">
        <v>4817</v>
      </c>
    </row>
    <row r="202" spans="1:5">
      <c r="A202" s="413">
        <v>395189030</v>
      </c>
      <c r="B202" s="413">
        <v>586155111.99453604</v>
      </c>
      <c r="D202" s="413" t="s">
        <v>4818</v>
      </c>
      <c r="E202" s="413" t="s">
        <v>4819</v>
      </c>
    </row>
    <row r="203" spans="1:5">
      <c r="A203" s="413">
        <v>395275422</v>
      </c>
      <c r="B203" s="413">
        <v>586241503.99549496</v>
      </c>
      <c r="D203" s="413" t="s">
        <v>4820</v>
      </c>
      <c r="E203" s="413" t="s">
        <v>4821</v>
      </c>
    </row>
    <row r="204" spans="1:5">
      <c r="A204" s="413">
        <v>395336450</v>
      </c>
      <c r="B204" s="413">
        <v>586302531.99625802</v>
      </c>
      <c r="D204" s="413" t="s">
        <v>4822</v>
      </c>
      <c r="E204" s="413" t="s">
        <v>4823</v>
      </c>
    </row>
    <row r="205" spans="1:5">
      <c r="A205" s="413">
        <v>395426441</v>
      </c>
      <c r="B205" s="413">
        <v>586392522.99732697</v>
      </c>
      <c r="D205" s="413" t="s">
        <v>4824</v>
      </c>
      <c r="E205" s="413" t="s">
        <v>4825</v>
      </c>
    </row>
    <row r="206" spans="1:5">
      <c r="A206" s="413">
        <v>395512834</v>
      </c>
      <c r="B206" s="413">
        <v>586478915.99835205</v>
      </c>
      <c r="D206" s="413" t="s">
        <v>4826</v>
      </c>
      <c r="E206" s="413" t="s">
        <v>4827</v>
      </c>
    </row>
    <row r="207" spans="1:5">
      <c r="A207" s="413">
        <v>395584821</v>
      </c>
      <c r="B207" s="413">
        <v>586550902.99919903</v>
      </c>
      <c r="D207" s="413" t="s">
        <v>4828</v>
      </c>
      <c r="E207" s="413" t="s">
        <v>4829</v>
      </c>
    </row>
    <row r="208" spans="1:5">
      <c r="A208" s="413">
        <v>395682015</v>
      </c>
      <c r="B208" s="413">
        <v>586648097.00035501</v>
      </c>
      <c r="D208" s="413" t="s">
        <v>4830</v>
      </c>
      <c r="E208" s="413" t="s">
        <v>4831</v>
      </c>
    </row>
    <row r="209" spans="1:5">
      <c r="A209" s="413">
        <v>395826001</v>
      </c>
      <c r="B209" s="413">
        <v>586792083.00204301</v>
      </c>
      <c r="D209" s="413" t="s">
        <v>4832</v>
      </c>
      <c r="E209" s="413" t="s">
        <v>4833</v>
      </c>
    </row>
    <row r="210" spans="1:5">
      <c r="A210" s="413">
        <v>395919608</v>
      </c>
      <c r="B210" s="413">
        <v>586885690.00316</v>
      </c>
      <c r="D210" s="413" t="s">
        <v>4834</v>
      </c>
      <c r="E210" s="413" t="s">
        <v>4835</v>
      </c>
    </row>
    <row r="211" spans="1:5">
      <c r="A211" s="413">
        <v>396031194</v>
      </c>
      <c r="B211" s="413">
        <v>586997276.00447202</v>
      </c>
      <c r="D211" s="413" t="s">
        <v>4836</v>
      </c>
      <c r="E211" s="413" t="s">
        <v>4837</v>
      </c>
    </row>
    <row r="212" spans="1:5">
      <c r="A212" s="413">
        <v>396099572</v>
      </c>
      <c r="B212" s="413">
        <v>587065654.00526094</v>
      </c>
      <c r="D212" s="413" t="s">
        <v>4838</v>
      </c>
      <c r="E212" s="413" t="s">
        <v>4839</v>
      </c>
    </row>
    <row r="213" spans="1:5">
      <c r="A213" s="413">
        <v>396189568</v>
      </c>
      <c r="B213" s="413">
        <v>587155650.00632405</v>
      </c>
      <c r="D213" s="413" t="s">
        <v>4840</v>
      </c>
      <c r="E213" s="413" t="s">
        <v>4841</v>
      </c>
    </row>
    <row r="214" spans="1:5">
      <c r="A214" s="413">
        <v>396312309</v>
      </c>
      <c r="B214" s="413">
        <v>587278391.00779295</v>
      </c>
      <c r="D214" s="413" t="s">
        <v>4842</v>
      </c>
      <c r="E214" s="413" t="s">
        <v>4843</v>
      </c>
    </row>
    <row r="215" spans="1:5">
      <c r="A215" s="413">
        <v>396369550</v>
      </c>
      <c r="B215" s="413">
        <v>587335632.00847304</v>
      </c>
      <c r="D215" s="413" t="s">
        <v>4844</v>
      </c>
      <c r="E215" s="413" t="s">
        <v>4845</v>
      </c>
    </row>
    <row r="216" spans="1:5">
      <c r="A216" s="413">
        <v>396452359</v>
      </c>
      <c r="B216" s="413">
        <v>587418441.00943398</v>
      </c>
      <c r="D216" s="413" t="s">
        <v>4846</v>
      </c>
      <c r="E216" s="413" t="s">
        <v>4847</v>
      </c>
    </row>
    <row r="217" spans="1:5">
      <c r="A217" s="413">
        <v>396549577</v>
      </c>
      <c r="B217" s="413">
        <v>587515659.01058996</v>
      </c>
      <c r="D217" s="413" t="s">
        <v>4848</v>
      </c>
      <c r="E217" s="413" t="s">
        <v>4849</v>
      </c>
    </row>
    <row r="218" spans="1:5">
      <c r="A218" s="413">
        <v>396718733</v>
      </c>
      <c r="B218" s="413">
        <v>587684815.01257098</v>
      </c>
      <c r="D218" s="413" t="s">
        <v>4850</v>
      </c>
      <c r="E218" s="413" t="s">
        <v>4851</v>
      </c>
    </row>
    <row r="219" spans="1:5">
      <c r="A219" s="413">
        <v>396920480</v>
      </c>
      <c r="B219" s="413">
        <v>587886562.01493001</v>
      </c>
      <c r="D219" s="413" t="s">
        <v>4852</v>
      </c>
      <c r="E219" s="413" t="s">
        <v>4853</v>
      </c>
    </row>
    <row r="220" spans="1:5">
      <c r="A220" s="413">
        <v>396941900</v>
      </c>
      <c r="B220" s="413">
        <v>587907982.01518297</v>
      </c>
      <c r="D220" s="413" t="s">
        <v>4854</v>
      </c>
      <c r="E220" s="413" t="s">
        <v>4855</v>
      </c>
    </row>
    <row r="221" spans="1:5">
      <c r="A221" s="413">
        <v>397125525</v>
      </c>
      <c r="B221" s="413">
        <v>588091607.01736701</v>
      </c>
      <c r="D221" s="413" t="s">
        <v>4856</v>
      </c>
      <c r="E221" s="413" t="s">
        <v>4857</v>
      </c>
    </row>
    <row r="222" spans="1:5">
      <c r="A222" s="413">
        <v>397323479</v>
      </c>
      <c r="B222" s="413">
        <v>588289561.01968706</v>
      </c>
      <c r="D222" s="413" t="s">
        <v>4858</v>
      </c>
      <c r="E222" s="413" t="s">
        <v>4859</v>
      </c>
    </row>
    <row r="223" spans="1:5">
      <c r="A223" s="413">
        <v>397409870</v>
      </c>
      <c r="B223" s="413">
        <v>588375952.02071202</v>
      </c>
      <c r="D223" s="413" t="s">
        <v>4860</v>
      </c>
      <c r="E223" s="413" t="s">
        <v>4861</v>
      </c>
    </row>
    <row r="224" spans="1:5">
      <c r="A224" s="413">
        <v>397525191</v>
      </c>
      <c r="B224" s="413">
        <v>588491273.02206194</v>
      </c>
      <c r="D224" s="413" t="s">
        <v>4862</v>
      </c>
      <c r="E224" s="413" t="s">
        <v>4863</v>
      </c>
    </row>
    <row r="225" spans="1:5">
      <c r="A225" s="413">
        <v>397582641</v>
      </c>
      <c r="B225" s="413">
        <v>588548723.02274597</v>
      </c>
      <c r="D225" s="413" t="s">
        <v>4864</v>
      </c>
      <c r="E225" s="413" t="s">
        <v>4865</v>
      </c>
    </row>
    <row r="226" spans="1:5">
      <c r="A226" s="413">
        <v>397647423</v>
      </c>
      <c r="B226" s="413">
        <v>588613505.02348399</v>
      </c>
      <c r="D226" s="413" t="s">
        <v>4866</v>
      </c>
      <c r="E226" s="413" t="s">
        <v>4867</v>
      </c>
    </row>
    <row r="227" spans="1:5">
      <c r="A227" s="413">
        <v>398129934</v>
      </c>
      <c r="B227" s="413">
        <v>589096016.02919602</v>
      </c>
      <c r="D227" s="413" t="s">
        <v>4868</v>
      </c>
      <c r="E227" s="413" t="s">
        <v>4869</v>
      </c>
    </row>
    <row r="228" spans="1:5">
      <c r="A228" s="413">
        <v>398187388</v>
      </c>
      <c r="B228" s="413">
        <v>589153470.02983499</v>
      </c>
      <c r="D228" s="413" t="s">
        <v>4870</v>
      </c>
      <c r="E228" s="413" t="s">
        <v>4871</v>
      </c>
    </row>
    <row r="229" spans="1:5">
      <c r="A229" s="413">
        <v>398273780</v>
      </c>
      <c r="B229" s="413">
        <v>589239862.03086102</v>
      </c>
      <c r="D229" s="413" t="s">
        <v>4872</v>
      </c>
      <c r="E229" s="413" t="s">
        <v>4873</v>
      </c>
    </row>
    <row r="230" spans="1:5">
      <c r="A230" s="413">
        <v>398360170</v>
      </c>
      <c r="B230" s="413">
        <v>589326252.03185904</v>
      </c>
      <c r="D230" s="413" t="s">
        <v>4874</v>
      </c>
      <c r="E230" s="413" t="s">
        <v>4875</v>
      </c>
    </row>
    <row r="231" spans="1:5">
      <c r="A231" s="413">
        <v>398702104</v>
      </c>
      <c r="B231" s="413">
        <v>589668186.03585899</v>
      </c>
      <c r="D231" s="413" t="s">
        <v>4876</v>
      </c>
      <c r="E231" s="413" t="s">
        <v>4877</v>
      </c>
    </row>
    <row r="232" spans="1:5">
      <c r="A232" s="413">
        <v>398763323</v>
      </c>
      <c r="B232" s="413">
        <v>589729405.03657305</v>
      </c>
      <c r="D232" s="413" t="s">
        <v>4878</v>
      </c>
      <c r="E232" s="413" t="s">
        <v>4879</v>
      </c>
    </row>
    <row r="233" spans="1:5">
      <c r="A233" s="413">
        <v>398849711</v>
      </c>
      <c r="B233" s="413">
        <v>589815793.03758001</v>
      </c>
      <c r="D233" s="413" t="s">
        <v>4880</v>
      </c>
      <c r="E233" s="413" t="s">
        <v>4881</v>
      </c>
    </row>
    <row r="234" spans="1:5">
      <c r="A234" s="413">
        <v>398932500</v>
      </c>
      <c r="B234" s="413">
        <v>589898582.03854299</v>
      </c>
      <c r="D234" s="413" t="s">
        <v>4882</v>
      </c>
      <c r="E234" s="413" t="s">
        <v>4883</v>
      </c>
    </row>
    <row r="235" spans="1:5">
      <c r="A235" s="413">
        <v>399134053</v>
      </c>
      <c r="B235" s="413">
        <v>590100135.04092097</v>
      </c>
      <c r="D235" s="413" t="s">
        <v>4884</v>
      </c>
      <c r="E235" s="413" t="s">
        <v>4885</v>
      </c>
    </row>
    <row r="236" spans="1:5">
      <c r="A236" s="413">
        <v>399224060</v>
      </c>
      <c r="B236" s="413">
        <v>590190142.04196298</v>
      </c>
      <c r="D236" s="413" t="s">
        <v>4886</v>
      </c>
      <c r="E236" s="413" t="s">
        <v>4887</v>
      </c>
    </row>
    <row r="237" spans="1:5">
      <c r="A237" s="413">
        <v>399306822</v>
      </c>
      <c r="B237" s="413">
        <v>590272904.04294205</v>
      </c>
      <c r="D237" s="413" t="s">
        <v>4888</v>
      </c>
      <c r="E237" s="413" t="s">
        <v>4889</v>
      </c>
    </row>
    <row r="238" spans="1:5">
      <c r="A238" s="413">
        <v>399479602</v>
      </c>
      <c r="B238" s="413">
        <v>590445684.04495001</v>
      </c>
      <c r="D238" s="413" t="s">
        <v>4890</v>
      </c>
      <c r="E238" s="413" t="s">
        <v>4891</v>
      </c>
    </row>
    <row r="239" spans="1:5">
      <c r="A239" s="413">
        <v>399558777</v>
      </c>
      <c r="B239" s="413">
        <v>590524859.045874</v>
      </c>
      <c r="D239" s="413" t="s">
        <v>4892</v>
      </c>
      <c r="E239" s="413" t="s">
        <v>4893</v>
      </c>
    </row>
    <row r="240" spans="1:5">
      <c r="A240" s="413">
        <v>399652390</v>
      </c>
      <c r="B240" s="413">
        <v>590618472.046978</v>
      </c>
      <c r="D240" s="413" t="s">
        <v>4894</v>
      </c>
      <c r="E240" s="413" t="s">
        <v>4895</v>
      </c>
    </row>
    <row r="241" spans="1:5">
      <c r="A241" s="413">
        <v>399767605</v>
      </c>
      <c r="B241" s="413">
        <v>590733687.04830897</v>
      </c>
      <c r="D241" s="413" t="s">
        <v>4896</v>
      </c>
      <c r="E241" s="413" t="s">
        <v>4897</v>
      </c>
    </row>
    <row r="242" spans="1:5">
      <c r="A242" s="413">
        <v>399817938</v>
      </c>
      <c r="B242" s="413">
        <v>590784020.04890895</v>
      </c>
      <c r="D242" s="413" t="s">
        <v>4898</v>
      </c>
      <c r="E242" s="413" t="s">
        <v>4899</v>
      </c>
    </row>
    <row r="243" spans="1:5">
      <c r="A243" s="413">
        <v>399943973</v>
      </c>
      <c r="B243" s="413">
        <v>590910055.05033696</v>
      </c>
      <c r="D243" s="413" t="s">
        <v>4900</v>
      </c>
      <c r="E243" s="413" t="s">
        <v>4901</v>
      </c>
    </row>
    <row r="244" spans="1:5">
      <c r="A244" s="413">
        <v>399990709</v>
      </c>
      <c r="B244" s="413">
        <v>590956791.05091703</v>
      </c>
      <c r="D244" s="413" t="s">
        <v>4902</v>
      </c>
      <c r="E244" s="413" t="s">
        <v>4903</v>
      </c>
    </row>
    <row r="245" spans="1:5">
      <c r="A245" s="413">
        <v>400055541</v>
      </c>
      <c r="B245" s="413">
        <v>591021623.051669</v>
      </c>
      <c r="D245" s="413" t="s">
        <v>4904</v>
      </c>
      <c r="E245" s="413" t="s">
        <v>4905</v>
      </c>
    </row>
    <row r="246" spans="1:5">
      <c r="A246" s="413">
        <v>400149083</v>
      </c>
      <c r="B246" s="413">
        <v>591115165.05275702</v>
      </c>
      <c r="D246" s="413" t="s">
        <v>4906</v>
      </c>
      <c r="E246" s="413" t="s">
        <v>4907</v>
      </c>
    </row>
    <row r="247" spans="1:5">
      <c r="A247" s="413">
        <v>400224719</v>
      </c>
      <c r="B247" s="413">
        <v>591190801.05364799</v>
      </c>
      <c r="D247" s="413" t="s">
        <v>4908</v>
      </c>
      <c r="E247" s="413" t="s">
        <v>4909</v>
      </c>
    </row>
    <row r="248" spans="1:5">
      <c r="A248" s="413">
        <v>400336263</v>
      </c>
      <c r="B248" s="413">
        <v>591302345.05493701</v>
      </c>
      <c r="D248" s="413" t="s">
        <v>4910</v>
      </c>
      <c r="E248" s="413" t="s">
        <v>4911</v>
      </c>
    </row>
    <row r="249" spans="1:5">
      <c r="A249" s="413">
        <v>400422654</v>
      </c>
      <c r="B249" s="413">
        <v>591388736.05595303</v>
      </c>
      <c r="D249" s="413" t="s">
        <v>4912</v>
      </c>
      <c r="E249" s="413" t="s">
        <v>4913</v>
      </c>
    </row>
    <row r="250" spans="1:5">
      <c r="A250" s="413">
        <v>400541490</v>
      </c>
      <c r="B250" s="413">
        <v>591507572.05733204</v>
      </c>
      <c r="D250" s="413" t="s">
        <v>4914</v>
      </c>
      <c r="E250" s="413" t="s">
        <v>4915</v>
      </c>
    </row>
    <row r="251" spans="1:5">
      <c r="A251" s="413">
        <v>400627880</v>
      </c>
      <c r="B251" s="413">
        <v>591593962.05832696</v>
      </c>
      <c r="D251" s="413" t="s">
        <v>4916</v>
      </c>
      <c r="E251" s="413" t="s">
        <v>4917</v>
      </c>
    </row>
    <row r="252" spans="1:5">
      <c r="A252" s="413">
        <v>400721432</v>
      </c>
      <c r="B252" s="413">
        <v>591687514.05940402</v>
      </c>
      <c r="D252" s="413" t="s">
        <v>4918</v>
      </c>
      <c r="E252" s="413" t="s">
        <v>4919</v>
      </c>
    </row>
    <row r="253" spans="1:5">
      <c r="A253" s="413">
        <v>400789815</v>
      </c>
      <c r="B253" s="413">
        <v>591755897.06001604</v>
      </c>
      <c r="D253" s="413" t="s">
        <v>4920</v>
      </c>
      <c r="E253" s="413" t="s">
        <v>4921</v>
      </c>
    </row>
    <row r="254" spans="1:5">
      <c r="A254" s="413">
        <v>400836581</v>
      </c>
      <c r="B254" s="413">
        <v>591802663.06055999</v>
      </c>
      <c r="D254" s="413" t="s">
        <v>4922</v>
      </c>
      <c r="E254" s="413" t="s">
        <v>4923</v>
      </c>
    </row>
    <row r="255" spans="1:5">
      <c r="A255" s="413">
        <v>400962592</v>
      </c>
      <c r="B255" s="413">
        <v>591928674.062011</v>
      </c>
      <c r="D255" s="413" t="s">
        <v>4924</v>
      </c>
      <c r="E255" s="413" t="s">
        <v>4925</v>
      </c>
    </row>
    <row r="256" spans="1:5">
      <c r="A256" s="413">
        <v>401012960</v>
      </c>
      <c r="B256" s="413">
        <v>591979042.06259799</v>
      </c>
      <c r="D256" s="413" t="s">
        <v>4926</v>
      </c>
      <c r="E256" s="413" t="s">
        <v>4927</v>
      </c>
    </row>
    <row r="257" spans="1:5">
      <c r="A257" s="413">
        <v>401146205</v>
      </c>
      <c r="B257" s="413">
        <v>592112287.06414902</v>
      </c>
      <c r="D257" s="413" t="s">
        <v>4928</v>
      </c>
      <c r="E257" s="413" t="s">
        <v>4929</v>
      </c>
    </row>
    <row r="258" spans="1:5">
      <c r="A258" s="413">
        <v>401239766</v>
      </c>
      <c r="B258" s="413">
        <v>592205848.065207</v>
      </c>
      <c r="D258" s="413" t="s">
        <v>4930</v>
      </c>
      <c r="E258" s="413" t="s">
        <v>4931</v>
      </c>
    </row>
    <row r="259" spans="1:5">
      <c r="A259" s="413">
        <v>401315347</v>
      </c>
      <c r="B259" s="413">
        <v>592281429.06610203</v>
      </c>
      <c r="D259" s="413" t="s">
        <v>4932</v>
      </c>
      <c r="E259" s="413" t="s">
        <v>4933</v>
      </c>
    </row>
    <row r="260" spans="1:5">
      <c r="A260" s="413">
        <v>401434134</v>
      </c>
      <c r="B260" s="413">
        <v>592400216.06747103</v>
      </c>
      <c r="D260" s="413" t="s">
        <v>4934</v>
      </c>
      <c r="E260" s="413" t="s">
        <v>4935</v>
      </c>
    </row>
    <row r="261" spans="1:5">
      <c r="A261" s="413">
        <v>401570899</v>
      </c>
      <c r="B261" s="413">
        <v>592536981.06904995</v>
      </c>
      <c r="D261" s="413" t="s">
        <v>4936</v>
      </c>
      <c r="E261" s="413" t="s">
        <v>4937</v>
      </c>
    </row>
    <row r="262" spans="1:5">
      <c r="A262" s="413">
        <v>401668099</v>
      </c>
      <c r="B262" s="413">
        <v>592634181.07015097</v>
      </c>
      <c r="D262" s="413" t="s">
        <v>4938</v>
      </c>
      <c r="E262" s="413" t="s">
        <v>4939</v>
      </c>
    </row>
    <row r="263" spans="1:5">
      <c r="A263" s="413">
        <v>401758075</v>
      </c>
      <c r="B263" s="413">
        <v>592724157.07118905</v>
      </c>
      <c r="D263" s="413" t="s">
        <v>4940</v>
      </c>
      <c r="E263" s="413" t="s">
        <v>4941</v>
      </c>
    </row>
    <row r="264" spans="1:5">
      <c r="A264" s="413">
        <v>401844464</v>
      </c>
      <c r="B264" s="413">
        <v>592810546.07218695</v>
      </c>
      <c r="D264" s="413" t="s">
        <v>4942</v>
      </c>
      <c r="E264" s="413" t="s">
        <v>4943</v>
      </c>
    </row>
    <row r="265" spans="1:5">
      <c r="A265" s="413">
        <v>401869632</v>
      </c>
      <c r="B265" s="413">
        <v>592835714.07248497</v>
      </c>
      <c r="D265" s="413" t="s">
        <v>4944</v>
      </c>
      <c r="E265" s="413" t="s">
        <v>4945</v>
      </c>
    </row>
    <row r="266" spans="1:5">
      <c r="A266" s="413">
        <v>401999244</v>
      </c>
      <c r="B266" s="413">
        <v>592965326.07397699</v>
      </c>
      <c r="D266" s="413" t="s">
        <v>4946</v>
      </c>
      <c r="E266" s="413" t="s">
        <v>4947</v>
      </c>
    </row>
    <row r="267" spans="1:5">
      <c r="A267" s="413">
        <v>402089250</v>
      </c>
      <c r="B267" s="413">
        <v>593055332.07503104</v>
      </c>
      <c r="D267" s="413" t="s">
        <v>4948</v>
      </c>
      <c r="E267" s="413" t="s">
        <v>4949</v>
      </c>
    </row>
    <row r="268" spans="1:5">
      <c r="A268" s="413">
        <v>402146805</v>
      </c>
      <c r="B268" s="413">
        <v>593112887.07570004</v>
      </c>
      <c r="D268" s="413" t="s">
        <v>4950</v>
      </c>
      <c r="E268" s="413" t="s">
        <v>4951</v>
      </c>
    </row>
    <row r="269" spans="1:5">
      <c r="A269" s="413">
        <v>402236801</v>
      </c>
      <c r="B269" s="413">
        <v>593202883.07674205</v>
      </c>
      <c r="D269" s="413" t="s">
        <v>4952</v>
      </c>
      <c r="E269" s="413" t="s">
        <v>4953</v>
      </c>
    </row>
    <row r="270" spans="1:5">
      <c r="A270" s="413">
        <v>402362784</v>
      </c>
      <c r="B270" s="413">
        <v>593328866.07815802</v>
      </c>
      <c r="D270" s="413" t="s">
        <v>4954</v>
      </c>
      <c r="E270" s="413" t="s">
        <v>4955</v>
      </c>
    </row>
    <row r="271" spans="1:5">
      <c r="A271" s="413">
        <v>402449174</v>
      </c>
      <c r="B271" s="413">
        <v>593415256.07915795</v>
      </c>
      <c r="D271" s="413" t="s">
        <v>4956</v>
      </c>
      <c r="E271" s="413" t="s">
        <v>4957</v>
      </c>
    </row>
    <row r="272" spans="1:5">
      <c r="A272" s="413">
        <v>402513967</v>
      </c>
      <c r="B272" s="413">
        <v>593480049.07990396</v>
      </c>
      <c r="D272" s="413" t="s">
        <v>4958</v>
      </c>
      <c r="E272" s="413" t="s">
        <v>4959</v>
      </c>
    </row>
    <row r="273" spans="1:5">
      <c r="A273" s="413">
        <v>402557133</v>
      </c>
      <c r="B273" s="413">
        <v>593523215.08039904</v>
      </c>
      <c r="D273" s="413" t="s">
        <v>4960</v>
      </c>
      <c r="E273" s="413" t="s">
        <v>4961</v>
      </c>
    </row>
    <row r="274" spans="1:5">
      <c r="A274" s="413">
        <v>402668780</v>
      </c>
      <c r="B274" s="413">
        <v>593634862.08170903</v>
      </c>
      <c r="D274" s="413" t="s">
        <v>4962</v>
      </c>
      <c r="E274" s="413" t="s">
        <v>4963</v>
      </c>
    </row>
    <row r="275" spans="1:5">
      <c r="A275" s="413">
        <v>402755154</v>
      </c>
      <c r="B275" s="413">
        <v>593721236.08268201</v>
      </c>
      <c r="D275" s="413" t="s">
        <v>4964</v>
      </c>
      <c r="E275" s="413" t="s">
        <v>4965</v>
      </c>
    </row>
    <row r="276" spans="1:5">
      <c r="A276" s="413">
        <v>402881109</v>
      </c>
      <c r="B276" s="413">
        <v>593847191.08409595</v>
      </c>
      <c r="D276" s="413" t="s">
        <v>4966</v>
      </c>
      <c r="E276" s="413" t="s">
        <v>4967</v>
      </c>
    </row>
    <row r="277" spans="1:5">
      <c r="A277" s="413">
        <v>402953117</v>
      </c>
      <c r="B277" s="413">
        <v>593919199.08494306</v>
      </c>
      <c r="D277" s="413" t="s">
        <v>4968</v>
      </c>
      <c r="E277" s="413" t="s">
        <v>4969</v>
      </c>
    </row>
    <row r="278" spans="1:5">
      <c r="A278" s="413">
        <v>403115073</v>
      </c>
      <c r="B278" s="413">
        <v>594081155.08678901</v>
      </c>
      <c r="D278" s="413" t="s">
        <v>4970</v>
      </c>
      <c r="E278" s="413" t="s">
        <v>4971</v>
      </c>
    </row>
    <row r="279" spans="1:5">
      <c r="A279" s="413">
        <v>403183469</v>
      </c>
      <c r="B279" s="413">
        <v>594149551.08759403</v>
      </c>
      <c r="D279" s="413" t="s">
        <v>4972</v>
      </c>
      <c r="E279" s="413" t="s">
        <v>4973</v>
      </c>
    </row>
    <row r="280" spans="1:5">
      <c r="A280" s="413">
        <v>403269869</v>
      </c>
      <c r="B280" s="413">
        <v>594235951.08858705</v>
      </c>
      <c r="D280" s="413" t="s">
        <v>4974</v>
      </c>
      <c r="E280" s="413" t="s">
        <v>4975</v>
      </c>
    </row>
    <row r="281" spans="1:5">
      <c r="A281" s="413">
        <v>403374240</v>
      </c>
      <c r="B281" s="413">
        <v>594340322.08974302</v>
      </c>
      <c r="D281" s="413" t="s">
        <v>4976</v>
      </c>
      <c r="E281" s="413" t="s">
        <v>4977</v>
      </c>
    </row>
    <row r="282" spans="1:5">
      <c r="A282" s="413">
        <v>403442633</v>
      </c>
      <c r="B282" s="413">
        <v>594408715.09054697</v>
      </c>
      <c r="D282" s="413" t="s">
        <v>4978</v>
      </c>
      <c r="E282" s="413" t="s">
        <v>4979</v>
      </c>
    </row>
    <row r="283" spans="1:5">
      <c r="A283" s="413">
        <v>403557838</v>
      </c>
      <c r="B283" s="413">
        <v>594523920.09186804</v>
      </c>
      <c r="D283" s="413" t="s">
        <v>4980</v>
      </c>
      <c r="E283" s="413" t="s">
        <v>4981</v>
      </c>
    </row>
    <row r="284" spans="1:5">
      <c r="A284" s="413">
        <v>403644237</v>
      </c>
      <c r="B284" s="413">
        <v>594610319.09285104</v>
      </c>
      <c r="D284" s="413" t="s">
        <v>4982</v>
      </c>
      <c r="E284" s="413" t="s">
        <v>4983</v>
      </c>
    </row>
    <row r="285" spans="1:5">
      <c r="A285" s="413">
        <v>403723397</v>
      </c>
      <c r="B285" s="413">
        <v>594689479.09374499</v>
      </c>
      <c r="D285" s="413" t="s">
        <v>4984</v>
      </c>
      <c r="E285" s="413" t="s">
        <v>4985</v>
      </c>
    </row>
    <row r="286" spans="1:5">
      <c r="A286" s="413">
        <v>403817021</v>
      </c>
      <c r="B286" s="413">
        <v>594783103.09481001</v>
      </c>
      <c r="D286" s="413" t="s">
        <v>4986</v>
      </c>
      <c r="E286" s="413" t="s">
        <v>4987</v>
      </c>
    </row>
    <row r="287" spans="1:5">
      <c r="A287" s="413">
        <v>403917775</v>
      </c>
      <c r="B287" s="413">
        <v>594883857.09595501</v>
      </c>
      <c r="D287" s="413" t="s">
        <v>4988</v>
      </c>
      <c r="E287" s="413" t="s">
        <v>4989</v>
      </c>
    </row>
    <row r="288" spans="1:5">
      <c r="A288" s="413">
        <v>403989804</v>
      </c>
      <c r="B288" s="413">
        <v>594955886.09678102</v>
      </c>
      <c r="D288" s="413" t="s">
        <v>4990</v>
      </c>
      <c r="E288" s="413" t="s">
        <v>4991</v>
      </c>
    </row>
    <row r="289" spans="1:5">
      <c r="A289" s="413">
        <v>404076183</v>
      </c>
      <c r="B289" s="413">
        <v>595042265.09775603</v>
      </c>
      <c r="D289" s="413" t="s">
        <v>4992</v>
      </c>
      <c r="E289" s="413" t="s">
        <v>4993</v>
      </c>
    </row>
    <row r="290" spans="1:5">
      <c r="A290" s="413">
        <v>404162574</v>
      </c>
      <c r="B290" s="413">
        <v>595128656.09873998</v>
      </c>
      <c r="D290" s="413" t="s">
        <v>4994</v>
      </c>
      <c r="E290" s="413" t="s">
        <v>4995</v>
      </c>
    </row>
    <row r="291" spans="1:5">
      <c r="A291" s="413">
        <v>404263322</v>
      </c>
      <c r="B291" s="413">
        <v>595229404.09986699</v>
      </c>
      <c r="D291" s="413" t="s">
        <v>4996</v>
      </c>
      <c r="E291" s="413" t="s">
        <v>4997</v>
      </c>
    </row>
    <row r="292" spans="1:5">
      <c r="A292" s="413">
        <v>404324514</v>
      </c>
      <c r="B292" s="413">
        <v>595290596.10057294</v>
      </c>
      <c r="D292" s="413" t="s">
        <v>4998</v>
      </c>
      <c r="E292" s="413" t="s">
        <v>4999</v>
      </c>
    </row>
    <row r="293" spans="1:5">
      <c r="A293" s="413">
        <v>404522490</v>
      </c>
      <c r="B293" s="413">
        <v>595488572.10281098</v>
      </c>
      <c r="D293" s="413" t="s">
        <v>5000</v>
      </c>
      <c r="E293" s="413" t="s">
        <v>5001</v>
      </c>
    </row>
    <row r="294" spans="1:5">
      <c r="A294" s="413">
        <v>404533292</v>
      </c>
      <c r="B294" s="413">
        <v>595499374.10294294</v>
      </c>
      <c r="D294" s="413" t="s">
        <v>5002</v>
      </c>
      <c r="E294" s="413" t="s">
        <v>5003</v>
      </c>
    </row>
    <row r="295" spans="1:5">
      <c r="A295" s="413">
        <v>404663104</v>
      </c>
      <c r="B295" s="413">
        <v>595629186.10441101</v>
      </c>
      <c r="D295" s="413" t="s">
        <v>5004</v>
      </c>
      <c r="E295" s="413" t="s">
        <v>5005</v>
      </c>
    </row>
    <row r="296" spans="1:5">
      <c r="A296" s="413">
        <v>404781656</v>
      </c>
      <c r="B296" s="413">
        <v>595747738.10576296</v>
      </c>
      <c r="D296" s="413" t="s">
        <v>5006</v>
      </c>
      <c r="E296" s="413" t="s">
        <v>5007</v>
      </c>
    </row>
    <row r="297" spans="1:5">
      <c r="A297" s="413">
        <v>404868088</v>
      </c>
      <c r="B297" s="413">
        <v>595834170.10670698</v>
      </c>
      <c r="D297" s="413" t="s">
        <v>5008</v>
      </c>
      <c r="E297" s="413" t="s">
        <v>5009</v>
      </c>
    </row>
    <row r="298" spans="1:5">
      <c r="A298" s="413">
        <v>404925639</v>
      </c>
      <c r="B298" s="413">
        <v>595891721.10739303</v>
      </c>
      <c r="D298" s="413" t="s">
        <v>5010</v>
      </c>
      <c r="E298" s="413" t="s">
        <v>5011</v>
      </c>
    </row>
    <row r="299" spans="1:5">
      <c r="A299" s="413">
        <v>405040875</v>
      </c>
      <c r="B299" s="413">
        <v>596006957.10867798</v>
      </c>
      <c r="D299" s="413" t="s">
        <v>5012</v>
      </c>
      <c r="E299" s="413" t="s">
        <v>5013</v>
      </c>
    </row>
    <row r="300" spans="1:5">
      <c r="A300" s="413">
        <v>405109251</v>
      </c>
      <c r="B300" s="413">
        <v>596075333.10947502</v>
      </c>
      <c r="D300" s="413" t="s">
        <v>5014</v>
      </c>
      <c r="E300" s="413" t="s">
        <v>5015</v>
      </c>
    </row>
    <row r="301" spans="1:5">
      <c r="A301" s="413">
        <v>405300018</v>
      </c>
      <c r="B301" s="413">
        <v>596266100.11159801</v>
      </c>
      <c r="D301" s="413" t="s">
        <v>5016</v>
      </c>
      <c r="E301" s="413" t="s">
        <v>5017</v>
      </c>
    </row>
    <row r="302" spans="1:5">
      <c r="A302" s="413">
        <v>405386405</v>
      </c>
      <c r="B302" s="413">
        <v>596352487.11258399</v>
      </c>
      <c r="D302" s="413" t="s">
        <v>5018</v>
      </c>
      <c r="E302" s="413" t="s">
        <v>5019</v>
      </c>
    </row>
    <row r="303" spans="1:5">
      <c r="A303" s="413">
        <v>405472805</v>
      </c>
      <c r="B303" s="413">
        <v>596438887.113554</v>
      </c>
      <c r="D303" s="413" t="s">
        <v>5020</v>
      </c>
      <c r="E303" s="413" t="s">
        <v>5021</v>
      </c>
    </row>
    <row r="304" spans="1:5">
      <c r="A304" s="413">
        <v>405559168</v>
      </c>
      <c r="B304" s="413">
        <v>596525250.11455703</v>
      </c>
      <c r="D304" s="413" t="s">
        <v>5022</v>
      </c>
      <c r="E304" s="413" t="s">
        <v>5023</v>
      </c>
    </row>
    <row r="305" spans="1:5">
      <c r="A305" s="413">
        <v>405616766</v>
      </c>
      <c r="B305" s="413">
        <v>596582848.11519694</v>
      </c>
      <c r="D305" s="413" t="s">
        <v>5024</v>
      </c>
      <c r="E305" s="413" t="s">
        <v>5025</v>
      </c>
    </row>
    <row r="306" spans="1:5">
      <c r="A306" s="413">
        <v>405731950</v>
      </c>
      <c r="B306" s="413">
        <v>596698032.11649597</v>
      </c>
      <c r="D306" s="413" t="s">
        <v>5026</v>
      </c>
      <c r="E306" s="413" t="s">
        <v>5027</v>
      </c>
    </row>
    <row r="307" spans="1:5">
      <c r="A307" s="413">
        <v>405818345</v>
      </c>
      <c r="B307" s="413">
        <v>596784427.11746395</v>
      </c>
      <c r="D307" s="413" t="s">
        <v>5028</v>
      </c>
      <c r="E307" s="413" t="s">
        <v>5029</v>
      </c>
    </row>
    <row r="308" spans="1:5">
      <c r="A308" s="413">
        <v>405904731</v>
      </c>
      <c r="B308" s="413">
        <v>596870813.11842406</v>
      </c>
      <c r="D308" s="413" t="s">
        <v>5030</v>
      </c>
      <c r="E308" s="413" t="s">
        <v>5031</v>
      </c>
    </row>
    <row r="309" spans="1:5">
      <c r="A309" s="413">
        <v>405991138</v>
      </c>
      <c r="B309" s="413">
        <v>596957220.11937404</v>
      </c>
      <c r="D309" s="413" t="s">
        <v>5032</v>
      </c>
      <c r="E309" s="413" t="s">
        <v>5033</v>
      </c>
    </row>
    <row r="310" spans="1:5">
      <c r="A310" s="413">
        <v>406077533</v>
      </c>
      <c r="B310" s="413">
        <v>597043615.11990094</v>
      </c>
      <c r="D310" s="413" t="s">
        <v>5034</v>
      </c>
      <c r="E310" s="413" t="s">
        <v>5035</v>
      </c>
    </row>
    <row r="311" spans="1:5">
      <c r="A311" s="413">
        <v>406142346</v>
      </c>
      <c r="B311" s="413">
        <v>597108428.12063503</v>
      </c>
      <c r="D311" s="413" t="s">
        <v>5036</v>
      </c>
      <c r="E311" s="413" t="s">
        <v>5037</v>
      </c>
    </row>
    <row r="312" spans="1:5">
      <c r="A312" s="413">
        <v>406250307</v>
      </c>
      <c r="B312" s="413">
        <v>597216389.12184203</v>
      </c>
      <c r="D312" s="413" t="s">
        <v>5038</v>
      </c>
      <c r="E312" s="413" t="s">
        <v>5039</v>
      </c>
    </row>
    <row r="313" spans="1:5">
      <c r="A313" s="413">
        <v>406336696</v>
      </c>
      <c r="B313" s="413">
        <v>597302778.12280905</v>
      </c>
      <c r="D313" s="413" t="s">
        <v>5040</v>
      </c>
      <c r="E313" s="413" t="s">
        <v>5041</v>
      </c>
    </row>
    <row r="314" spans="1:5">
      <c r="A314" s="413">
        <v>406423090</v>
      </c>
      <c r="B314" s="413">
        <v>597389172.12375605</v>
      </c>
      <c r="D314" s="413" t="s">
        <v>5042</v>
      </c>
      <c r="E314" s="413" t="s">
        <v>5043</v>
      </c>
    </row>
    <row r="315" spans="1:5">
      <c r="A315" s="413">
        <v>406480673</v>
      </c>
      <c r="B315" s="413">
        <v>597446755.12441194</v>
      </c>
      <c r="D315" s="413" t="s">
        <v>5044</v>
      </c>
      <c r="E315" s="413" t="s">
        <v>5045</v>
      </c>
    </row>
    <row r="316" spans="1:5">
      <c r="A316" s="413">
        <v>406592261</v>
      </c>
      <c r="B316" s="413">
        <v>597558343.12565899</v>
      </c>
      <c r="D316" s="413" t="s">
        <v>5046</v>
      </c>
      <c r="E316" s="413" t="s">
        <v>5047</v>
      </c>
    </row>
    <row r="317" spans="1:5">
      <c r="A317" s="413">
        <v>406682260</v>
      </c>
      <c r="B317" s="413">
        <v>597648342.12668097</v>
      </c>
      <c r="D317" s="413" t="s">
        <v>5048</v>
      </c>
      <c r="E317" s="413" t="s">
        <v>5049</v>
      </c>
    </row>
    <row r="318" spans="1:5">
      <c r="A318" s="413">
        <v>406761445</v>
      </c>
      <c r="B318" s="413">
        <v>597727527.12756002</v>
      </c>
      <c r="D318" s="413" t="s">
        <v>5050</v>
      </c>
      <c r="E318" s="413" t="s">
        <v>5051</v>
      </c>
    </row>
    <row r="319" spans="1:5">
      <c r="A319" s="413">
        <v>406855042</v>
      </c>
      <c r="B319" s="413">
        <v>597821124.12858105</v>
      </c>
      <c r="D319" s="413" t="s">
        <v>5052</v>
      </c>
      <c r="E319" s="413" t="s">
        <v>5053</v>
      </c>
    </row>
    <row r="320" spans="1:5">
      <c r="A320" s="413">
        <v>406941441</v>
      </c>
      <c r="B320" s="413">
        <v>597907523.12954199</v>
      </c>
      <c r="D320" s="413" t="s">
        <v>5054</v>
      </c>
      <c r="E320" s="413" t="s">
        <v>5055</v>
      </c>
    </row>
    <row r="321" spans="1:5">
      <c r="A321" s="413">
        <v>407006261</v>
      </c>
      <c r="B321" s="413">
        <v>597972343.13030696</v>
      </c>
      <c r="D321" s="413" t="s">
        <v>5056</v>
      </c>
      <c r="E321" s="413" t="s">
        <v>5057</v>
      </c>
    </row>
    <row r="322" spans="1:5">
      <c r="A322" s="413">
        <v>407114215</v>
      </c>
      <c r="B322" s="413">
        <v>598080297.13149297</v>
      </c>
      <c r="D322" s="413" t="s">
        <v>5058</v>
      </c>
      <c r="E322" s="413" t="s">
        <v>5059</v>
      </c>
    </row>
    <row r="323" spans="1:5">
      <c r="A323" s="413">
        <v>407193404</v>
      </c>
      <c r="B323" s="413">
        <v>598159486.13239002</v>
      </c>
      <c r="D323" s="413" t="s">
        <v>5060</v>
      </c>
      <c r="E323" s="413" t="s">
        <v>5061</v>
      </c>
    </row>
    <row r="324" spans="1:5">
      <c r="A324" s="413">
        <v>407279802</v>
      </c>
      <c r="B324" s="413">
        <v>598245884.13334596</v>
      </c>
      <c r="D324" s="413" t="s">
        <v>5062</v>
      </c>
      <c r="E324" s="413" t="s">
        <v>5063</v>
      </c>
    </row>
    <row r="325" spans="1:5">
      <c r="A325" s="413">
        <v>407366190</v>
      </c>
      <c r="B325" s="413">
        <v>598332272.13432395</v>
      </c>
      <c r="D325" s="413" t="s">
        <v>5064</v>
      </c>
      <c r="E325" s="413" t="s">
        <v>5065</v>
      </c>
    </row>
    <row r="326" spans="1:5">
      <c r="A326" s="413">
        <v>407459800</v>
      </c>
      <c r="B326" s="413">
        <v>598425882.13536406</v>
      </c>
      <c r="D326" s="413" t="s">
        <v>5066</v>
      </c>
      <c r="E326" s="413" t="s">
        <v>5067</v>
      </c>
    </row>
    <row r="327" spans="1:5">
      <c r="A327" s="413">
        <v>407521028</v>
      </c>
      <c r="B327" s="413">
        <v>598487110.13606703</v>
      </c>
      <c r="D327" s="413" t="s">
        <v>5068</v>
      </c>
      <c r="E327" s="413" t="s">
        <v>5069</v>
      </c>
    </row>
    <row r="328" spans="1:5">
      <c r="A328" s="413">
        <v>407632592</v>
      </c>
      <c r="B328" s="413">
        <v>598598674.13730705</v>
      </c>
      <c r="D328" s="413" t="s">
        <v>5070</v>
      </c>
      <c r="E328" s="413" t="s">
        <v>5071</v>
      </c>
    </row>
    <row r="329" spans="1:5">
      <c r="A329" s="413">
        <v>407715378</v>
      </c>
      <c r="B329" s="413">
        <v>598681460.13821697</v>
      </c>
      <c r="D329" s="413" t="s">
        <v>5072</v>
      </c>
      <c r="E329" s="413" t="s">
        <v>5073</v>
      </c>
    </row>
    <row r="330" spans="1:5">
      <c r="A330" s="413">
        <v>407805378</v>
      </c>
      <c r="B330" s="413">
        <v>598771460.13921797</v>
      </c>
      <c r="D330" s="413" t="s">
        <v>5074</v>
      </c>
      <c r="E330" s="413" t="s">
        <v>5075</v>
      </c>
    </row>
    <row r="331" spans="1:5">
      <c r="A331" s="413">
        <v>407873755</v>
      </c>
      <c r="B331" s="413">
        <v>598839837.139979</v>
      </c>
      <c r="D331" s="413" t="s">
        <v>5076</v>
      </c>
      <c r="E331" s="413" t="s">
        <v>5077</v>
      </c>
    </row>
    <row r="332" spans="1:5">
      <c r="A332" s="413">
        <v>407967351</v>
      </c>
      <c r="B332" s="413">
        <v>598933433.14104295</v>
      </c>
      <c r="D332" s="413" t="s">
        <v>5078</v>
      </c>
      <c r="E332" s="413" t="s">
        <v>5079</v>
      </c>
    </row>
    <row r="333" spans="1:5">
      <c r="A333" s="413">
        <v>408064552</v>
      </c>
      <c r="B333" s="413">
        <v>599030634.14214599</v>
      </c>
      <c r="D333" s="413" t="s">
        <v>5080</v>
      </c>
      <c r="E333" s="413" t="s">
        <v>5081</v>
      </c>
    </row>
    <row r="334" spans="1:5">
      <c r="A334" s="413">
        <v>408150941</v>
      </c>
      <c r="B334" s="413">
        <v>599117023.14307499</v>
      </c>
      <c r="D334" s="413" t="s">
        <v>5082</v>
      </c>
      <c r="E334" s="413" t="s">
        <v>5083</v>
      </c>
    </row>
    <row r="335" spans="1:5">
      <c r="A335" s="413">
        <v>408237339</v>
      </c>
      <c r="B335" s="413">
        <v>599203421.14403796</v>
      </c>
      <c r="D335" s="413" t="s">
        <v>5084</v>
      </c>
      <c r="E335" s="413" t="s">
        <v>5085</v>
      </c>
    </row>
    <row r="336" spans="1:5">
      <c r="A336" s="413">
        <v>408323778</v>
      </c>
      <c r="B336" s="413">
        <v>599289860.14501297</v>
      </c>
      <c r="D336" s="413" t="s">
        <v>5086</v>
      </c>
      <c r="E336" s="413" t="s">
        <v>5087</v>
      </c>
    </row>
    <row r="337" spans="1:5">
      <c r="A337" s="413">
        <v>408410160</v>
      </c>
      <c r="B337" s="413">
        <v>599376242.14601302</v>
      </c>
      <c r="D337" s="413" t="s">
        <v>5088</v>
      </c>
      <c r="E337" s="413" t="s">
        <v>5089</v>
      </c>
    </row>
    <row r="338" spans="1:5">
      <c r="A338" s="413">
        <v>408471361</v>
      </c>
      <c r="B338" s="413">
        <v>599437443.14668798</v>
      </c>
      <c r="D338" s="413" t="s">
        <v>5090</v>
      </c>
      <c r="E338" s="413" t="s">
        <v>5091</v>
      </c>
    </row>
    <row r="339" spans="1:5">
      <c r="A339" s="413">
        <v>408572114</v>
      </c>
      <c r="B339" s="413">
        <v>599538196.14780605</v>
      </c>
      <c r="D339" s="413" t="s">
        <v>5092</v>
      </c>
      <c r="E339" s="413" t="s">
        <v>5093</v>
      </c>
    </row>
    <row r="340" spans="1:5">
      <c r="A340" s="413">
        <v>408665757</v>
      </c>
      <c r="B340" s="413">
        <v>599631839.148862</v>
      </c>
      <c r="D340" s="413" t="s">
        <v>5094</v>
      </c>
      <c r="E340" s="413" t="s">
        <v>5095</v>
      </c>
    </row>
    <row r="341" spans="1:5">
      <c r="A341" s="413">
        <v>408755695</v>
      </c>
      <c r="B341" s="413">
        <v>599721777.14984405</v>
      </c>
      <c r="D341" s="413" t="s">
        <v>5096</v>
      </c>
      <c r="E341" s="413" t="s">
        <v>5097</v>
      </c>
    </row>
    <row r="342" spans="1:5">
      <c r="A342" s="413">
        <v>408842090</v>
      </c>
      <c r="B342" s="413">
        <v>599808172.15085006</v>
      </c>
      <c r="D342" s="413" t="s">
        <v>5098</v>
      </c>
      <c r="E342" s="413" t="s">
        <v>5099</v>
      </c>
    </row>
    <row r="343" spans="1:5">
      <c r="A343" s="413">
        <v>408899706</v>
      </c>
      <c r="B343" s="413">
        <v>599865788.15147603</v>
      </c>
      <c r="D343" s="413" t="s">
        <v>5100</v>
      </c>
      <c r="E343" s="413" t="s">
        <v>5101</v>
      </c>
    </row>
    <row r="344" spans="1:5">
      <c r="A344" s="413">
        <v>409266881</v>
      </c>
      <c r="B344" s="413">
        <v>600232963.15556896</v>
      </c>
      <c r="D344" s="413" t="s">
        <v>5102</v>
      </c>
      <c r="E344" s="413" t="s">
        <v>5103</v>
      </c>
    </row>
    <row r="345" spans="1:5">
      <c r="A345" s="413">
        <v>409360445</v>
      </c>
      <c r="B345" s="413">
        <v>600326527.15659499</v>
      </c>
      <c r="D345" s="413" t="s">
        <v>5104</v>
      </c>
      <c r="E345" s="413" t="s">
        <v>5105</v>
      </c>
    </row>
    <row r="346" spans="1:5">
      <c r="A346" s="413">
        <v>409446873</v>
      </c>
      <c r="B346" s="413">
        <v>600412955.15757406</v>
      </c>
      <c r="D346" s="413" t="s">
        <v>5106</v>
      </c>
      <c r="E346" s="413" t="s">
        <v>5107</v>
      </c>
    </row>
    <row r="347" spans="1:5">
      <c r="A347" s="413">
        <v>409533236</v>
      </c>
      <c r="B347" s="413">
        <v>600499318.15849197</v>
      </c>
      <c r="D347" s="413" t="s">
        <v>5108</v>
      </c>
      <c r="E347" s="413" t="s">
        <v>5109</v>
      </c>
    </row>
    <row r="348" spans="1:5">
      <c r="A348" s="413">
        <v>409619634</v>
      </c>
      <c r="B348" s="413">
        <v>600585716.15945995</v>
      </c>
      <c r="D348" s="413" t="s">
        <v>5110</v>
      </c>
      <c r="E348" s="413" t="s">
        <v>5111</v>
      </c>
    </row>
    <row r="349" spans="1:5">
      <c r="A349" s="413">
        <v>409706030</v>
      </c>
      <c r="B349" s="413">
        <v>600672112.16039705</v>
      </c>
      <c r="D349" s="413" t="s">
        <v>5112</v>
      </c>
      <c r="E349" s="413" t="s">
        <v>5113</v>
      </c>
    </row>
    <row r="350" spans="1:5">
      <c r="A350" s="413">
        <v>409785231</v>
      </c>
      <c r="B350" s="413">
        <v>600751313.16130805</v>
      </c>
      <c r="D350" s="413" t="s">
        <v>5114</v>
      </c>
      <c r="E350" s="413" t="s">
        <v>5115</v>
      </c>
    </row>
    <row r="351" spans="1:5">
      <c r="A351" s="413">
        <v>409846438</v>
      </c>
      <c r="B351" s="413">
        <v>600812520.16199303</v>
      </c>
      <c r="D351" s="413" t="s">
        <v>5116</v>
      </c>
      <c r="E351" s="413" t="s">
        <v>5117</v>
      </c>
    </row>
    <row r="352" spans="1:5">
      <c r="A352" s="413">
        <v>409943625</v>
      </c>
      <c r="B352" s="413">
        <v>600909707.16304803</v>
      </c>
      <c r="D352" s="413" t="s">
        <v>5118</v>
      </c>
      <c r="E352" s="413" t="s">
        <v>5119</v>
      </c>
    </row>
    <row r="353" spans="1:5">
      <c r="A353" s="413">
        <v>410138018</v>
      </c>
      <c r="B353" s="413">
        <v>601104100.16520298</v>
      </c>
      <c r="D353" s="413" t="s">
        <v>5120</v>
      </c>
      <c r="E353" s="413" t="s">
        <v>5121</v>
      </c>
    </row>
    <row r="354" spans="1:5">
      <c r="A354" s="413">
        <v>410224417</v>
      </c>
      <c r="B354" s="413">
        <v>601190499.16614497</v>
      </c>
      <c r="D354" s="413" t="s">
        <v>5122</v>
      </c>
      <c r="E354" s="413" t="s">
        <v>5123</v>
      </c>
    </row>
    <row r="355" spans="1:5">
      <c r="A355" s="413">
        <v>410310814</v>
      </c>
      <c r="B355" s="413">
        <v>601276896.16711295</v>
      </c>
      <c r="D355" s="413" t="s">
        <v>5124</v>
      </c>
      <c r="E355" s="413" t="s">
        <v>5125</v>
      </c>
    </row>
    <row r="356" spans="1:5">
      <c r="A356" s="413">
        <v>410386417</v>
      </c>
      <c r="B356" s="413">
        <v>601352499.167974</v>
      </c>
      <c r="D356" s="413" t="s">
        <v>5126</v>
      </c>
      <c r="E356" s="413" t="s">
        <v>5127</v>
      </c>
    </row>
    <row r="357" spans="1:5">
      <c r="A357" s="413">
        <v>410483609</v>
      </c>
      <c r="B357" s="413">
        <v>601449691.16903996</v>
      </c>
      <c r="D357" s="413" t="s">
        <v>5128</v>
      </c>
      <c r="E357" s="413" t="s">
        <v>5129</v>
      </c>
    </row>
    <row r="358" spans="1:5">
      <c r="A358" s="413">
        <v>410570007</v>
      </c>
      <c r="B358" s="413">
        <v>601536089.169994</v>
      </c>
      <c r="D358" s="413" t="s">
        <v>5130</v>
      </c>
      <c r="E358" s="413" t="s">
        <v>5131</v>
      </c>
    </row>
    <row r="359" spans="1:5">
      <c r="A359" s="413">
        <v>410656407</v>
      </c>
      <c r="B359" s="413">
        <v>601622489.17095602</v>
      </c>
      <c r="D359" s="413" t="s">
        <v>5132</v>
      </c>
      <c r="E359" s="413" t="s">
        <v>5133</v>
      </c>
    </row>
    <row r="360" spans="1:5">
      <c r="A360" s="413">
        <v>410742807</v>
      </c>
      <c r="B360" s="413">
        <v>601708889.17190897</v>
      </c>
      <c r="D360" s="413" t="s">
        <v>5134</v>
      </c>
      <c r="E360" s="413" t="s">
        <v>5135</v>
      </c>
    </row>
    <row r="361" spans="1:5">
      <c r="A361" s="413">
        <v>410829206</v>
      </c>
      <c r="B361" s="413">
        <v>601795288.172876</v>
      </c>
      <c r="D361" s="413" t="s">
        <v>5136</v>
      </c>
      <c r="E361" s="413" t="s">
        <v>5137</v>
      </c>
    </row>
    <row r="362" spans="1:5">
      <c r="A362" s="413">
        <v>410915604</v>
      </c>
      <c r="B362" s="413">
        <v>601881686.173841</v>
      </c>
      <c r="D362" s="413" t="s">
        <v>5138</v>
      </c>
      <c r="E362" s="413" t="s">
        <v>5139</v>
      </c>
    </row>
    <row r="363" spans="1:5">
      <c r="A363" s="413">
        <v>410994818</v>
      </c>
      <c r="B363" s="413">
        <v>601960900.17473698</v>
      </c>
      <c r="D363" s="413" t="s">
        <v>5140</v>
      </c>
      <c r="E363" s="413" t="s">
        <v>5141</v>
      </c>
    </row>
    <row r="364" spans="1:5">
      <c r="A364" s="413">
        <v>411077606</v>
      </c>
      <c r="B364" s="413">
        <v>602043688.17565501</v>
      </c>
      <c r="D364" s="413" t="s">
        <v>5142</v>
      </c>
      <c r="E364" s="413" t="s">
        <v>5143</v>
      </c>
    </row>
    <row r="365" spans="1:5">
      <c r="A365" s="413">
        <v>411138817</v>
      </c>
      <c r="B365" s="413">
        <v>602104899.17633402</v>
      </c>
      <c r="D365" s="413" t="s">
        <v>5144</v>
      </c>
      <c r="E365" s="413" t="s">
        <v>5145</v>
      </c>
    </row>
    <row r="366" spans="1:5">
      <c r="A366" s="413">
        <v>411347600</v>
      </c>
      <c r="B366" s="413">
        <v>602313682.17864394</v>
      </c>
      <c r="D366" s="413" t="s">
        <v>5146</v>
      </c>
      <c r="E366" s="413" t="s">
        <v>5147</v>
      </c>
    </row>
    <row r="367" spans="1:5">
      <c r="A367" s="413">
        <v>411434002</v>
      </c>
      <c r="B367" s="413">
        <v>602400084.1796</v>
      </c>
      <c r="D367" s="413" t="s">
        <v>5148</v>
      </c>
      <c r="E367" s="413" t="s">
        <v>5149</v>
      </c>
    </row>
    <row r="368" spans="1:5">
      <c r="A368" s="413">
        <v>411520401</v>
      </c>
      <c r="B368" s="413">
        <v>602486483.18056095</v>
      </c>
      <c r="D368" s="413" t="s">
        <v>5150</v>
      </c>
      <c r="E368" s="413" t="s">
        <v>5151</v>
      </c>
    </row>
    <row r="369" spans="1:5">
      <c r="A369" s="413">
        <v>411567205</v>
      </c>
      <c r="B369" s="413">
        <v>602533287.18109596</v>
      </c>
      <c r="D369" s="413" t="s">
        <v>5152</v>
      </c>
      <c r="E369" s="413" t="s">
        <v>5153</v>
      </c>
    </row>
    <row r="370" spans="1:5">
      <c r="A370" s="413">
        <v>411686023</v>
      </c>
      <c r="B370" s="413">
        <v>602652105.18243206</v>
      </c>
      <c r="D370" s="413" t="s">
        <v>5154</v>
      </c>
      <c r="E370" s="413" t="s">
        <v>5155</v>
      </c>
    </row>
    <row r="371" spans="1:5">
      <c r="A371" s="413">
        <v>411768806</v>
      </c>
      <c r="B371" s="413">
        <v>602734888.18334103</v>
      </c>
      <c r="D371" s="413" t="s">
        <v>5156</v>
      </c>
      <c r="E371" s="413" t="s">
        <v>5157</v>
      </c>
    </row>
    <row r="372" spans="1:5">
      <c r="A372" s="413">
        <v>411866002</v>
      </c>
      <c r="B372" s="413">
        <v>602832084.18441606</v>
      </c>
      <c r="D372" s="413" t="s">
        <v>5158</v>
      </c>
      <c r="E372" s="413" t="s">
        <v>5159</v>
      </c>
    </row>
    <row r="373" spans="1:5">
      <c r="A373" s="413">
        <v>411952402</v>
      </c>
      <c r="B373" s="413">
        <v>602918484.18544996</v>
      </c>
      <c r="D373" s="413" t="s">
        <v>5160</v>
      </c>
      <c r="E373" s="413" t="s">
        <v>5161</v>
      </c>
    </row>
    <row r="374" spans="1:5">
      <c r="A374" s="413">
        <v>412038801</v>
      </c>
      <c r="B374" s="413">
        <v>603004883.18641603</v>
      </c>
      <c r="D374" s="413" t="s">
        <v>5162</v>
      </c>
      <c r="E374" s="413" t="s">
        <v>5163</v>
      </c>
    </row>
    <row r="375" spans="1:5">
      <c r="A375" s="413">
        <v>412125203</v>
      </c>
      <c r="B375" s="413">
        <v>603091285.18737996</v>
      </c>
      <c r="D375" s="413" t="s">
        <v>5164</v>
      </c>
      <c r="E375" s="413" t="s">
        <v>5165</v>
      </c>
    </row>
    <row r="376" spans="1:5">
      <c r="A376" s="413">
        <v>412208000</v>
      </c>
      <c r="B376" s="413">
        <v>603174082.18830299</v>
      </c>
      <c r="D376" s="413" t="s">
        <v>5166</v>
      </c>
      <c r="E376" s="413" t="s">
        <v>5167</v>
      </c>
    </row>
    <row r="377" spans="1:5">
      <c r="A377" s="413">
        <v>412258412</v>
      </c>
      <c r="B377" s="413">
        <v>603224494.18888402</v>
      </c>
      <c r="D377" s="413" t="s">
        <v>5168</v>
      </c>
      <c r="E377" s="413" t="s">
        <v>5169</v>
      </c>
    </row>
    <row r="378" spans="1:5">
      <c r="A378" s="413">
        <v>412359202</v>
      </c>
      <c r="B378" s="413">
        <v>603325284.19000399</v>
      </c>
      <c r="D378" s="413" t="s">
        <v>5170</v>
      </c>
      <c r="E378" s="413" t="s">
        <v>5171</v>
      </c>
    </row>
    <row r="379" spans="1:5">
      <c r="A379" s="413">
        <v>412470808</v>
      </c>
      <c r="B379" s="413">
        <v>603436890.19124997</v>
      </c>
      <c r="D379" s="413" t="s">
        <v>5172</v>
      </c>
      <c r="E379" s="413" t="s">
        <v>5173</v>
      </c>
    </row>
    <row r="380" spans="1:5">
      <c r="A380" s="413">
        <v>412553608</v>
      </c>
      <c r="B380" s="413">
        <v>603519690.19217503</v>
      </c>
      <c r="D380" s="413" t="s">
        <v>5174</v>
      </c>
      <c r="E380" s="413" t="s">
        <v>5175</v>
      </c>
    </row>
    <row r="381" spans="1:5">
      <c r="A381" s="413">
        <v>412643612</v>
      </c>
      <c r="B381" s="413">
        <v>603609694.19319201</v>
      </c>
      <c r="D381" s="413" t="s">
        <v>5176</v>
      </c>
      <c r="E381" s="413" t="s">
        <v>5177</v>
      </c>
    </row>
    <row r="382" spans="1:5">
      <c r="A382" s="413">
        <v>412730950</v>
      </c>
      <c r="B382" s="413">
        <v>603697032.19417095</v>
      </c>
      <c r="D382" s="413" t="s">
        <v>5178</v>
      </c>
      <c r="E382" s="413" t="s">
        <v>5179</v>
      </c>
    </row>
    <row r="383" spans="1:5">
      <c r="A383" s="413">
        <v>412791212</v>
      </c>
      <c r="B383" s="413">
        <v>603757294.19484901</v>
      </c>
      <c r="D383" s="413" t="s">
        <v>5180</v>
      </c>
      <c r="E383" s="413" t="s">
        <v>5181</v>
      </c>
    </row>
    <row r="384" spans="1:5">
      <c r="A384" s="413">
        <v>412877615</v>
      </c>
      <c r="B384" s="413">
        <v>603843697.19581497</v>
      </c>
      <c r="D384" s="413" t="s">
        <v>5182</v>
      </c>
      <c r="E384" s="413" t="s">
        <v>5183</v>
      </c>
    </row>
    <row r="385" spans="1:5">
      <c r="A385" s="413">
        <v>412964013</v>
      </c>
      <c r="B385" s="413">
        <v>603930095.19679201</v>
      </c>
      <c r="D385" s="413" t="s">
        <v>5184</v>
      </c>
      <c r="E385" s="413" t="s">
        <v>5185</v>
      </c>
    </row>
    <row r="386" spans="1:5">
      <c r="A386" s="413">
        <v>413075618</v>
      </c>
      <c r="B386" s="413">
        <v>604041700.198053</v>
      </c>
      <c r="D386" s="413" t="s">
        <v>5186</v>
      </c>
      <c r="E386" s="413" t="s">
        <v>5187</v>
      </c>
    </row>
    <row r="387" spans="1:5">
      <c r="A387" s="413">
        <v>413162020</v>
      </c>
      <c r="B387" s="413">
        <v>604128102.19902396</v>
      </c>
      <c r="D387" s="413" t="s">
        <v>5188</v>
      </c>
      <c r="E387" s="413" t="s">
        <v>5189</v>
      </c>
    </row>
    <row r="388" spans="1:5">
      <c r="A388" s="413">
        <v>413248423</v>
      </c>
      <c r="B388" s="413">
        <v>604214505.19999099</v>
      </c>
      <c r="D388" s="413" t="s">
        <v>5190</v>
      </c>
      <c r="E388" s="413" t="s">
        <v>5191</v>
      </c>
    </row>
    <row r="389" spans="1:5">
      <c r="A389" s="413">
        <v>413334828</v>
      </c>
      <c r="B389" s="413">
        <v>604300910.20095801</v>
      </c>
      <c r="D389" s="413" t="s">
        <v>5192</v>
      </c>
      <c r="E389" s="413" t="s">
        <v>5193</v>
      </c>
    </row>
    <row r="390" spans="1:5">
      <c r="A390" s="413">
        <v>413421229</v>
      </c>
      <c r="B390" s="413">
        <v>604387311.20192599</v>
      </c>
      <c r="D390" s="413" t="s">
        <v>5194</v>
      </c>
      <c r="E390" s="413" t="s">
        <v>5195</v>
      </c>
    </row>
    <row r="391" spans="1:5">
      <c r="A391" s="413">
        <v>413453619</v>
      </c>
      <c r="B391" s="413">
        <v>604419701.20229197</v>
      </c>
      <c r="D391" s="413" t="s">
        <v>5196</v>
      </c>
      <c r="E391" s="413" t="s">
        <v>5197</v>
      </c>
    </row>
    <row r="392" spans="1:5">
      <c r="A392" s="413">
        <v>413594033</v>
      </c>
      <c r="B392" s="413">
        <v>604560115.20387495</v>
      </c>
      <c r="D392" s="413" t="s">
        <v>5198</v>
      </c>
      <c r="E392" s="413" t="s">
        <v>5199</v>
      </c>
    </row>
    <row r="393" spans="1:5">
      <c r="A393" s="413">
        <v>413673234</v>
      </c>
      <c r="B393" s="413">
        <v>604639316.20475399</v>
      </c>
      <c r="D393" s="413" t="s">
        <v>5200</v>
      </c>
      <c r="E393" s="413" t="s">
        <v>5201</v>
      </c>
    </row>
    <row r="394" spans="1:5">
      <c r="A394" s="413">
        <v>413766861</v>
      </c>
      <c r="B394" s="413">
        <v>604732943.20583296</v>
      </c>
      <c r="D394" s="413" t="s">
        <v>5202</v>
      </c>
      <c r="E394" s="413" t="s">
        <v>5203</v>
      </c>
    </row>
    <row r="395" spans="1:5">
      <c r="A395" s="413">
        <v>413824465</v>
      </c>
      <c r="B395" s="413">
        <v>604790547.20646095</v>
      </c>
      <c r="D395" s="413" t="s">
        <v>5204</v>
      </c>
      <c r="E395" s="413" t="s">
        <v>5205</v>
      </c>
    </row>
    <row r="396" spans="1:5">
      <c r="A396" s="413">
        <v>414113118</v>
      </c>
      <c r="B396" s="413">
        <v>605079200.20974004</v>
      </c>
      <c r="D396" s="413" t="s">
        <v>5206</v>
      </c>
      <c r="E396" s="413" t="s">
        <v>5207</v>
      </c>
    </row>
    <row r="397" spans="1:5">
      <c r="A397" s="413">
        <v>414170077</v>
      </c>
      <c r="B397" s="413">
        <v>605136159.21035504</v>
      </c>
      <c r="D397" s="413" t="s">
        <v>5208</v>
      </c>
      <c r="E397" s="413" t="s">
        <v>5209</v>
      </c>
    </row>
    <row r="398" spans="1:5">
      <c r="A398" s="413">
        <v>414447343</v>
      </c>
      <c r="B398" s="413">
        <v>605413425.21349001</v>
      </c>
      <c r="D398" s="413" t="s">
        <v>5210</v>
      </c>
      <c r="E398" s="413" t="s">
        <v>5211</v>
      </c>
    </row>
    <row r="399" spans="1:5">
      <c r="A399" s="413">
        <v>414497693</v>
      </c>
      <c r="B399" s="413">
        <v>605463775.21406305</v>
      </c>
      <c r="D399" s="413" t="s">
        <v>5212</v>
      </c>
      <c r="E399" s="413" t="s">
        <v>5213</v>
      </c>
    </row>
    <row r="400" spans="1:5">
      <c r="A400" s="413">
        <v>414630949</v>
      </c>
      <c r="B400" s="413">
        <v>605597031.21555603</v>
      </c>
      <c r="D400" s="413" t="s">
        <v>5214</v>
      </c>
      <c r="E400" s="413" t="s">
        <v>5215</v>
      </c>
    </row>
    <row r="401" spans="1:5">
      <c r="A401" s="413">
        <v>414695706</v>
      </c>
      <c r="B401" s="413">
        <v>605661788.21628797</v>
      </c>
      <c r="D401" s="413" t="s">
        <v>5216</v>
      </c>
      <c r="E401" s="413" t="s">
        <v>5217</v>
      </c>
    </row>
    <row r="402" spans="1:5">
      <c r="A402" s="413">
        <v>414976504</v>
      </c>
      <c r="B402" s="413">
        <v>605942586.219455</v>
      </c>
      <c r="D402" s="413" t="s">
        <v>5218</v>
      </c>
      <c r="E402" s="413" t="s">
        <v>5219</v>
      </c>
    </row>
    <row r="403" spans="1:5">
      <c r="A403" s="413">
        <v>415221366</v>
      </c>
      <c r="B403" s="413">
        <v>606187448.22219896</v>
      </c>
      <c r="D403" s="413" t="s">
        <v>5220</v>
      </c>
      <c r="E403" s="413" t="s">
        <v>5221</v>
      </c>
    </row>
    <row r="404" spans="1:5">
      <c r="A404" s="413">
        <v>415264522</v>
      </c>
      <c r="B404" s="413">
        <v>606230604.22271299</v>
      </c>
      <c r="D404" s="413" t="s">
        <v>5222</v>
      </c>
      <c r="E404" s="413" t="s">
        <v>5223</v>
      </c>
    </row>
    <row r="405" spans="1:5">
      <c r="A405" s="413">
        <v>415476906</v>
      </c>
      <c r="B405" s="413">
        <v>606442988.22509694</v>
      </c>
      <c r="D405" s="413" t="s">
        <v>5224</v>
      </c>
      <c r="E405" s="413" t="s">
        <v>5225</v>
      </c>
    </row>
    <row r="406" spans="1:5">
      <c r="A406" s="413">
        <v>415581313</v>
      </c>
      <c r="B406" s="413">
        <v>606547395.22629702</v>
      </c>
      <c r="D406" s="413" t="s">
        <v>5226</v>
      </c>
      <c r="E406" s="413" t="s">
        <v>5227</v>
      </c>
    </row>
    <row r="407" spans="1:5">
      <c r="A407" s="413">
        <v>415664117</v>
      </c>
      <c r="B407" s="413">
        <v>606630199.22721899</v>
      </c>
      <c r="D407" s="413" t="s">
        <v>5228</v>
      </c>
      <c r="E407" s="413" t="s">
        <v>5229</v>
      </c>
    </row>
    <row r="408" spans="1:5">
      <c r="A408" s="413">
        <v>415754125</v>
      </c>
      <c r="B408" s="413">
        <v>606720207.22824204</v>
      </c>
      <c r="D408" s="413" t="s">
        <v>5230</v>
      </c>
      <c r="E408" s="413" t="s">
        <v>5231</v>
      </c>
    </row>
    <row r="409" spans="1:5">
      <c r="A409" s="413">
        <v>415829726</v>
      </c>
      <c r="B409" s="413">
        <v>606795808.22907901</v>
      </c>
      <c r="D409" s="413" t="s">
        <v>5232</v>
      </c>
      <c r="E409" s="413" t="s">
        <v>5233</v>
      </c>
    </row>
    <row r="410" spans="1:5">
      <c r="A410" s="413">
        <v>415894527</v>
      </c>
      <c r="B410" s="413">
        <v>606860609.229828</v>
      </c>
      <c r="D410" s="413" t="s">
        <v>5234</v>
      </c>
      <c r="E410" s="413" t="s">
        <v>5235</v>
      </c>
    </row>
    <row r="411" spans="1:5">
      <c r="A411" s="413">
        <v>415952125</v>
      </c>
      <c r="B411" s="413">
        <v>606918207.23045897</v>
      </c>
      <c r="D411" s="413" t="s">
        <v>5236</v>
      </c>
      <c r="E411" s="413" t="s">
        <v>5237</v>
      </c>
    </row>
    <row r="412" spans="1:5">
      <c r="A412" s="413">
        <v>416038525</v>
      </c>
      <c r="B412" s="413">
        <v>607004607.23145103</v>
      </c>
      <c r="D412" s="413" t="s">
        <v>5238</v>
      </c>
      <c r="E412" s="413" t="s">
        <v>5239</v>
      </c>
    </row>
    <row r="413" spans="1:5">
      <c r="A413" s="413">
        <v>416186144</v>
      </c>
      <c r="B413" s="413">
        <v>607152226.23312902</v>
      </c>
      <c r="D413" s="413" t="s">
        <v>5240</v>
      </c>
      <c r="E413" s="413" t="s">
        <v>5241</v>
      </c>
    </row>
    <row r="414" spans="1:5">
      <c r="A414" s="413">
        <v>416272549</v>
      </c>
      <c r="B414" s="413">
        <v>607238631.23410904</v>
      </c>
      <c r="D414" s="413" t="s">
        <v>5242</v>
      </c>
      <c r="E414" s="413" t="s">
        <v>5243</v>
      </c>
    </row>
    <row r="415" spans="1:5">
      <c r="A415" s="413">
        <v>416358953</v>
      </c>
      <c r="B415" s="413">
        <v>607325035.23508704</v>
      </c>
      <c r="D415" s="413" t="s">
        <v>5244</v>
      </c>
      <c r="E415" s="413" t="s">
        <v>5245</v>
      </c>
    </row>
    <row r="416" spans="1:5">
      <c r="A416" s="413">
        <v>416416553</v>
      </c>
      <c r="B416" s="413">
        <v>607382635.23572898</v>
      </c>
      <c r="D416" s="413" t="s">
        <v>5246</v>
      </c>
      <c r="E416" s="413" t="s">
        <v>5247</v>
      </c>
    </row>
    <row r="417" spans="1:5">
      <c r="A417" s="413">
        <v>416513755</v>
      </c>
      <c r="B417" s="413">
        <v>607479837.23681605</v>
      </c>
      <c r="D417" s="413" t="s">
        <v>5248</v>
      </c>
      <c r="E417" s="413" t="s">
        <v>5249</v>
      </c>
    </row>
    <row r="418" spans="1:5">
      <c r="A418" s="413">
        <v>416600163</v>
      </c>
      <c r="B418" s="413">
        <v>607566245.23779094</v>
      </c>
      <c r="D418" s="413" t="s">
        <v>5250</v>
      </c>
      <c r="E418" s="413" t="s">
        <v>5251</v>
      </c>
    </row>
    <row r="419" spans="1:5">
      <c r="A419" s="413">
        <v>416790976</v>
      </c>
      <c r="B419" s="413">
        <v>607757058.23999405</v>
      </c>
      <c r="D419" s="413" t="s">
        <v>5252</v>
      </c>
      <c r="E419" s="413" t="s">
        <v>5253</v>
      </c>
    </row>
    <row r="420" spans="1:5">
      <c r="A420" s="413">
        <v>416798165</v>
      </c>
      <c r="B420" s="413">
        <v>607764247.24007404</v>
      </c>
      <c r="D420" s="413" t="s">
        <v>5254</v>
      </c>
      <c r="E420" s="413" t="s">
        <v>5255</v>
      </c>
    </row>
    <row r="421" spans="1:5">
      <c r="A421" s="413">
        <v>416960183</v>
      </c>
      <c r="B421" s="413">
        <v>607926265.24190605</v>
      </c>
      <c r="D421" s="413" t="s">
        <v>5256</v>
      </c>
      <c r="E421" s="413" t="s">
        <v>5257</v>
      </c>
    </row>
    <row r="422" spans="1:5">
      <c r="A422" s="413">
        <v>417042988</v>
      </c>
      <c r="B422" s="413">
        <v>608009070.24284196</v>
      </c>
      <c r="D422" s="413" t="s">
        <v>5258</v>
      </c>
      <c r="E422" s="413" t="s">
        <v>5259</v>
      </c>
    </row>
    <row r="423" spans="1:5">
      <c r="A423" s="413">
        <v>417132992</v>
      </c>
      <c r="B423" s="413">
        <v>608099074.24388099</v>
      </c>
      <c r="D423" s="413" t="s">
        <v>5260</v>
      </c>
      <c r="E423" s="413" t="s">
        <v>5261</v>
      </c>
    </row>
    <row r="424" spans="1:5">
      <c r="A424" s="413">
        <v>417208595</v>
      </c>
      <c r="B424" s="413">
        <v>608174677.24472499</v>
      </c>
      <c r="D424" s="413" t="s">
        <v>5262</v>
      </c>
      <c r="E424" s="413" t="s">
        <v>5263</v>
      </c>
    </row>
    <row r="425" spans="1:5">
      <c r="A425" s="413">
        <v>417298601</v>
      </c>
      <c r="B425" s="413">
        <v>608264683.245749</v>
      </c>
      <c r="D425" s="413" t="s">
        <v>5264</v>
      </c>
      <c r="E425" s="413" t="s">
        <v>5265</v>
      </c>
    </row>
    <row r="426" spans="1:5">
      <c r="A426" s="413">
        <v>417395808</v>
      </c>
      <c r="B426" s="413">
        <v>608361890.24687397</v>
      </c>
      <c r="D426" s="413" t="s">
        <v>5266</v>
      </c>
      <c r="E426" s="413" t="s">
        <v>5267</v>
      </c>
    </row>
    <row r="427" spans="1:5">
      <c r="A427" s="413">
        <v>417475012</v>
      </c>
      <c r="B427" s="413">
        <v>608441094.24776006</v>
      </c>
      <c r="D427" s="413" t="s">
        <v>5268</v>
      </c>
      <c r="E427" s="413" t="s">
        <v>5269</v>
      </c>
    </row>
    <row r="428" spans="1:5">
      <c r="A428" s="413">
        <v>417554212</v>
      </c>
      <c r="B428" s="413">
        <v>608520294.24865699</v>
      </c>
      <c r="D428" s="413" t="s">
        <v>5270</v>
      </c>
      <c r="E428" s="413" t="s">
        <v>5271</v>
      </c>
    </row>
    <row r="429" spans="1:5">
      <c r="A429" s="413">
        <v>417622612</v>
      </c>
      <c r="B429" s="413">
        <v>608588694.24945199</v>
      </c>
      <c r="D429" s="413" t="s">
        <v>5272</v>
      </c>
      <c r="E429" s="413" t="s">
        <v>5273</v>
      </c>
    </row>
    <row r="430" spans="1:5">
      <c r="A430" s="413">
        <v>417734225</v>
      </c>
      <c r="B430" s="413">
        <v>608700307.25073302</v>
      </c>
      <c r="D430" s="413" t="s">
        <v>5274</v>
      </c>
      <c r="E430" s="413" t="s">
        <v>5275</v>
      </c>
    </row>
    <row r="431" spans="1:5">
      <c r="A431" s="413">
        <v>417813428</v>
      </c>
      <c r="B431" s="413">
        <v>608779510.25162697</v>
      </c>
      <c r="D431" s="413" t="s">
        <v>5276</v>
      </c>
      <c r="E431" s="413" t="s">
        <v>5277</v>
      </c>
    </row>
    <row r="432" spans="1:5">
      <c r="A432" s="413">
        <v>417910631</v>
      </c>
      <c r="B432" s="413">
        <v>608876713.25274801</v>
      </c>
      <c r="D432" s="413" t="s">
        <v>5278</v>
      </c>
      <c r="E432" s="413" t="s">
        <v>5279</v>
      </c>
    </row>
    <row r="433" spans="1:5">
      <c r="A433" s="413">
        <v>417989834</v>
      </c>
      <c r="B433" s="413">
        <v>608955916.25364995</v>
      </c>
      <c r="D433" s="413" t="s">
        <v>5280</v>
      </c>
      <c r="E433" s="413" t="s">
        <v>5281</v>
      </c>
    </row>
    <row r="434" spans="1:5">
      <c r="A434" s="413">
        <v>418083444</v>
      </c>
      <c r="B434" s="413">
        <v>609049526.25472796</v>
      </c>
      <c r="D434" s="413" t="s">
        <v>5282</v>
      </c>
      <c r="E434" s="413" t="s">
        <v>5283</v>
      </c>
    </row>
    <row r="435" spans="1:5">
      <c r="A435" s="413">
        <v>418173451</v>
      </c>
      <c r="B435" s="413">
        <v>609139533.255759</v>
      </c>
      <c r="D435" s="413" t="s">
        <v>5284</v>
      </c>
      <c r="E435" s="413" t="s">
        <v>5285</v>
      </c>
    </row>
    <row r="436" spans="1:5">
      <c r="A436" s="413">
        <v>418252649</v>
      </c>
      <c r="B436" s="413">
        <v>609218731.25667298</v>
      </c>
      <c r="D436" s="413" t="s">
        <v>5286</v>
      </c>
      <c r="E436" s="413" t="s">
        <v>5287</v>
      </c>
    </row>
    <row r="437" spans="1:5">
      <c r="A437" s="413">
        <v>418335454</v>
      </c>
      <c r="B437" s="413">
        <v>609301536.25760698</v>
      </c>
      <c r="D437" s="413" t="s">
        <v>5288</v>
      </c>
      <c r="E437" s="413" t="s">
        <v>5289</v>
      </c>
    </row>
    <row r="438" spans="1:5">
      <c r="A438" s="413">
        <v>418429061</v>
      </c>
      <c r="B438" s="413">
        <v>609395143.25869298</v>
      </c>
      <c r="D438" s="413" t="s">
        <v>5290</v>
      </c>
      <c r="E438" s="413" t="s">
        <v>5291</v>
      </c>
    </row>
    <row r="439" spans="1:5">
      <c r="A439" s="413">
        <v>418508262</v>
      </c>
      <c r="B439" s="413">
        <v>609474344.25959396</v>
      </c>
      <c r="D439" s="413" t="s">
        <v>5292</v>
      </c>
      <c r="E439" s="413" t="s">
        <v>5293</v>
      </c>
    </row>
    <row r="440" spans="1:5">
      <c r="A440" s="413">
        <v>418601867</v>
      </c>
      <c r="B440" s="413">
        <v>609567949.26066804</v>
      </c>
      <c r="D440" s="413" t="s">
        <v>5294</v>
      </c>
      <c r="E440" s="413" t="s">
        <v>5295</v>
      </c>
    </row>
    <row r="441" spans="1:5">
      <c r="A441" s="413">
        <v>418673868</v>
      </c>
      <c r="B441" s="413">
        <v>609639950.26148105</v>
      </c>
      <c r="D441" s="413" t="s">
        <v>5296</v>
      </c>
      <c r="E441" s="413" t="s">
        <v>5297</v>
      </c>
    </row>
    <row r="442" spans="1:5">
      <c r="A442" s="413">
        <v>418771076</v>
      </c>
      <c r="B442" s="413">
        <v>609737158.26260495</v>
      </c>
      <c r="D442" s="413" t="s">
        <v>5298</v>
      </c>
      <c r="E442" s="413" t="s">
        <v>5299</v>
      </c>
    </row>
    <row r="443" spans="1:5">
      <c r="A443" s="413">
        <v>418857479</v>
      </c>
      <c r="B443" s="413">
        <v>609823561.26360404</v>
      </c>
      <c r="D443" s="413" t="s">
        <v>5300</v>
      </c>
      <c r="E443" s="413" t="s">
        <v>5301</v>
      </c>
    </row>
    <row r="444" spans="1:5">
      <c r="A444" s="413">
        <v>418918687</v>
      </c>
      <c r="B444" s="413">
        <v>609884769.26429498</v>
      </c>
      <c r="D444" s="413" t="s">
        <v>5302</v>
      </c>
      <c r="E444" s="413" t="s">
        <v>5303</v>
      </c>
    </row>
    <row r="445" spans="1:5">
      <c r="A445" s="413">
        <v>419001482</v>
      </c>
      <c r="B445" s="413">
        <v>609967564.26524198</v>
      </c>
      <c r="D445" s="413" t="s">
        <v>5304</v>
      </c>
      <c r="E445" s="413" t="s">
        <v>5305</v>
      </c>
    </row>
    <row r="446" spans="1:5">
      <c r="A446" s="413">
        <v>419116692</v>
      </c>
      <c r="B446" s="413">
        <v>610082774.26658297</v>
      </c>
      <c r="D446" s="413" t="s">
        <v>5306</v>
      </c>
      <c r="E446" s="413" t="s">
        <v>5307</v>
      </c>
    </row>
    <row r="447" spans="1:5">
      <c r="A447" s="413">
        <v>419296709</v>
      </c>
      <c r="B447" s="413">
        <v>610262791.26865196</v>
      </c>
      <c r="D447" s="413" t="s">
        <v>5308</v>
      </c>
      <c r="E447" s="413" t="s">
        <v>5309</v>
      </c>
    </row>
    <row r="448" spans="1:5">
      <c r="A448" s="413">
        <v>419361497</v>
      </c>
      <c r="B448" s="413">
        <v>610327579.26938701</v>
      </c>
      <c r="D448" s="413" t="s">
        <v>5310</v>
      </c>
      <c r="E448" s="413" t="s">
        <v>5311</v>
      </c>
    </row>
    <row r="449" spans="1:5">
      <c r="A449" s="413">
        <v>419462305</v>
      </c>
      <c r="B449" s="413">
        <v>610428387.27057004</v>
      </c>
      <c r="D449" s="413" t="s">
        <v>5312</v>
      </c>
      <c r="E449" s="413" t="s">
        <v>5313</v>
      </c>
    </row>
    <row r="450" spans="1:5">
      <c r="A450" s="413">
        <v>419537905</v>
      </c>
      <c r="B450" s="413">
        <v>610503987.27142596</v>
      </c>
      <c r="D450" s="413" t="s">
        <v>5314</v>
      </c>
      <c r="E450" s="413" t="s">
        <v>5315</v>
      </c>
    </row>
    <row r="451" spans="1:5">
      <c r="A451" s="413">
        <v>419728739</v>
      </c>
      <c r="B451" s="413">
        <v>610694821.27363598</v>
      </c>
      <c r="D451" s="413" t="s">
        <v>5316</v>
      </c>
      <c r="E451" s="413" t="s">
        <v>5317</v>
      </c>
    </row>
    <row r="452" spans="1:5">
      <c r="A452" s="413">
        <v>419815146</v>
      </c>
      <c r="B452" s="413">
        <v>610781228.274634</v>
      </c>
      <c r="D452" s="413" t="s">
        <v>5318</v>
      </c>
      <c r="E452" s="413" t="s">
        <v>5319</v>
      </c>
    </row>
    <row r="453" spans="1:5">
      <c r="A453" s="413">
        <v>419872736</v>
      </c>
      <c r="B453" s="413">
        <v>610838818.275298</v>
      </c>
      <c r="D453" s="413" t="s">
        <v>5320</v>
      </c>
      <c r="E453" s="413" t="s">
        <v>5321</v>
      </c>
    </row>
    <row r="454" spans="1:5">
      <c r="A454" s="413">
        <v>419987951</v>
      </c>
      <c r="B454" s="413">
        <v>610954033.27662396</v>
      </c>
      <c r="D454" s="413" t="s">
        <v>5322</v>
      </c>
      <c r="E454" s="413" t="s">
        <v>5323</v>
      </c>
    </row>
    <row r="455" spans="1:5">
      <c r="A455" s="413">
        <v>420074357</v>
      </c>
      <c r="B455" s="413">
        <v>611040439.277632</v>
      </c>
      <c r="D455" s="413" t="s">
        <v>5324</v>
      </c>
      <c r="E455" s="413" t="s">
        <v>5325</v>
      </c>
    </row>
    <row r="456" spans="1:5">
      <c r="A456" s="413">
        <v>420146328</v>
      </c>
      <c r="B456" s="413">
        <v>611112410.27844405</v>
      </c>
      <c r="D456" s="413" t="s">
        <v>5326</v>
      </c>
      <c r="E456" s="413" t="s">
        <v>5327</v>
      </c>
    </row>
    <row r="457" spans="1:5">
      <c r="A457" s="413">
        <v>420239933</v>
      </c>
      <c r="B457" s="413">
        <v>611206015.27952802</v>
      </c>
      <c r="D457" s="413" t="s">
        <v>5328</v>
      </c>
      <c r="E457" s="413" t="s">
        <v>5329</v>
      </c>
    </row>
    <row r="458" spans="1:5">
      <c r="A458" s="413">
        <v>420333566</v>
      </c>
      <c r="B458" s="413">
        <v>611299648.28062797</v>
      </c>
      <c r="D458" s="413" t="s">
        <v>5330</v>
      </c>
      <c r="E458" s="413" t="s">
        <v>5331</v>
      </c>
    </row>
    <row r="459" spans="1:5">
      <c r="A459" s="413">
        <v>420416352</v>
      </c>
      <c r="B459" s="413">
        <v>611382434.28157604</v>
      </c>
      <c r="D459" s="413" t="s">
        <v>5332</v>
      </c>
      <c r="E459" s="413" t="s">
        <v>5333</v>
      </c>
    </row>
    <row r="460" spans="1:5">
      <c r="A460" s="413">
        <v>420488336</v>
      </c>
      <c r="B460" s="413">
        <v>611454418.28239298</v>
      </c>
      <c r="D460" s="413" t="s">
        <v>5334</v>
      </c>
      <c r="E460" s="413" t="s">
        <v>5335</v>
      </c>
    </row>
    <row r="461" spans="1:5">
      <c r="A461" s="413">
        <v>420581942</v>
      </c>
      <c r="B461" s="413">
        <v>611548024.28350306</v>
      </c>
      <c r="D461" s="413" t="s">
        <v>5336</v>
      </c>
      <c r="E461" s="413" t="s">
        <v>5337</v>
      </c>
    </row>
    <row r="462" spans="1:5">
      <c r="A462" s="413">
        <v>420671949</v>
      </c>
      <c r="B462" s="413">
        <v>611638031.28454006</v>
      </c>
      <c r="D462" s="413" t="s">
        <v>5338</v>
      </c>
      <c r="E462" s="413" t="s">
        <v>5339</v>
      </c>
    </row>
    <row r="463" spans="1:5">
      <c r="A463" s="413">
        <v>420743945</v>
      </c>
      <c r="B463" s="413">
        <v>611710027.28535497</v>
      </c>
      <c r="D463" s="413" t="s">
        <v>5340</v>
      </c>
      <c r="E463" s="413" t="s">
        <v>5341</v>
      </c>
    </row>
    <row r="464" spans="1:5">
      <c r="A464" s="413">
        <v>420833949</v>
      </c>
      <c r="B464" s="413">
        <v>611800031.28640199</v>
      </c>
      <c r="D464" s="413" t="s">
        <v>5342</v>
      </c>
      <c r="E464" s="413" t="s">
        <v>5343</v>
      </c>
    </row>
    <row r="465" spans="1:5">
      <c r="A465" s="413">
        <v>420934782</v>
      </c>
      <c r="B465" s="413">
        <v>611900864.28758204</v>
      </c>
      <c r="D465" s="413" t="s">
        <v>5344</v>
      </c>
      <c r="E465" s="413" t="s">
        <v>5345</v>
      </c>
    </row>
    <row r="466" spans="1:5">
      <c r="A466" s="413">
        <v>421021176</v>
      </c>
      <c r="B466" s="413">
        <v>611987258.28858805</v>
      </c>
      <c r="D466" s="413" t="s">
        <v>5346</v>
      </c>
      <c r="E466" s="413" t="s">
        <v>5347</v>
      </c>
    </row>
    <row r="467" spans="1:5">
      <c r="A467" s="413">
        <v>421078771</v>
      </c>
      <c r="B467" s="413">
        <v>612044853.28925002</v>
      </c>
      <c r="D467" s="413" t="s">
        <v>5348</v>
      </c>
      <c r="E467" s="413" t="s">
        <v>5349</v>
      </c>
    </row>
    <row r="468" spans="1:5">
      <c r="A468" s="413">
        <v>421193985</v>
      </c>
      <c r="B468" s="413">
        <v>612160067.29060102</v>
      </c>
      <c r="D468" s="413" t="s">
        <v>5350</v>
      </c>
      <c r="E468" s="413" t="s">
        <v>5351</v>
      </c>
    </row>
    <row r="469" spans="1:5">
      <c r="A469" s="413">
        <v>421276768</v>
      </c>
      <c r="B469" s="413">
        <v>612242850.29155397</v>
      </c>
      <c r="D469" s="413" t="s">
        <v>5352</v>
      </c>
      <c r="E469" s="413" t="s">
        <v>5353</v>
      </c>
    </row>
    <row r="470" spans="1:5">
      <c r="A470" s="413">
        <v>421366784</v>
      </c>
      <c r="B470" s="413">
        <v>612332866.292593</v>
      </c>
      <c r="D470" s="413" t="s">
        <v>5354</v>
      </c>
      <c r="E470" s="413" t="s">
        <v>5355</v>
      </c>
    </row>
    <row r="471" spans="1:5">
      <c r="A471" s="413">
        <v>421539587</v>
      </c>
      <c r="B471" s="413">
        <v>612505669.294613</v>
      </c>
      <c r="D471" s="413" t="s">
        <v>5356</v>
      </c>
      <c r="E471" s="413" t="s">
        <v>5357</v>
      </c>
    </row>
    <row r="472" spans="1:5">
      <c r="A472" s="413">
        <v>421625995</v>
      </c>
      <c r="B472" s="413">
        <v>612592077.29561305</v>
      </c>
      <c r="D472" s="413" t="s">
        <v>5358</v>
      </c>
      <c r="E472" s="413" t="s">
        <v>5359</v>
      </c>
    </row>
    <row r="473" spans="1:5">
      <c r="A473" s="413">
        <v>421701565</v>
      </c>
      <c r="B473" s="413">
        <v>612667647.29648399</v>
      </c>
      <c r="D473" s="413" t="s">
        <v>5360</v>
      </c>
      <c r="E473" s="413" t="s">
        <v>5361</v>
      </c>
    </row>
    <row r="474" spans="1:5">
      <c r="A474" s="413">
        <v>421798792</v>
      </c>
      <c r="B474" s="413">
        <v>612764874.297611</v>
      </c>
      <c r="D474" s="413" t="s">
        <v>5362</v>
      </c>
      <c r="E474" s="413" t="s">
        <v>5363</v>
      </c>
    </row>
    <row r="475" spans="1:5">
      <c r="A475" s="413">
        <v>421881576</v>
      </c>
      <c r="B475" s="413">
        <v>612847658.29858601</v>
      </c>
      <c r="D475" s="413" t="s">
        <v>5364</v>
      </c>
      <c r="E475" s="413" t="s">
        <v>5365</v>
      </c>
    </row>
    <row r="476" spans="1:5">
      <c r="A476" s="413">
        <v>421967976</v>
      </c>
      <c r="B476" s="413">
        <v>612934058.29958403</v>
      </c>
      <c r="D476" s="413" t="s">
        <v>5366</v>
      </c>
      <c r="E476" s="413" t="s">
        <v>5367</v>
      </c>
    </row>
    <row r="477" spans="1:5">
      <c r="A477" s="413">
        <v>422025588</v>
      </c>
      <c r="B477" s="413">
        <v>612991670.30024803</v>
      </c>
      <c r="D477" s="413" t="s">
        <v>5368</v>
      </c>
      <c r="E477" s="413" t="s">
        <v>5369</v>
      </c>
    </row>
    <row r="478" spans="1:5">
      <c r="A478" s="413">
        <v>422140781</v>
      </c>
      <c r="B478" s="413">
        <v>613106863.30160105</v>
      </c>
      <c r="D478" s="413" t="s">
        <v>5370</v>
      </c>
      <c r="E478" s="413" t="s">
        <v>5371</v>
      </c>
    </row>
    <row r="479" spans="1:5">
      <c r="A479" s="413">
        <v>422198391</v>
      </c>
      <c r="B479" s="413">
        <v>613164473.30226004</v>
      </c>
      <c r="D479" s="413" t="s">
        <v>5372</v>
      </c>
      <c r="E479" s="413" t="s">
        <v>5373</v>
      </c>
    </row>
    <row r="480" spans="1:5">
      <c r="A480" s="413">
        <v>422320857</v>
      </c>
      <c r="B480" s="413">
        <v>613286939.30367303</v>
      </c>
      <c r="D480" s="413" t="s">
        <v>5374</v>
      </c>
      <c r="E480" s="413" t="s">
        <v>5375</v>
      </c>
    </row>
    <row r="481" spans="1:5">
      <c r="A481" s="413">
        <v>422385566</v>
      </c>
      <c r="B481" s="413">
        <v>613351648.30444098</v>
      </c>
      <c r="D481" s="413" t="s">
        <v>5376</v>
      </c>
      <c r="E481" s="413" t="s">
        <v>5377</v>
      </c>
    </row>
    <row r="482" spans="1:5">
      <c r="A482" s="413">
        <v>422468367</v>
      </c>
      <c r="B482" s="413">
        <v>613434449.30538797</v>
      </c>
      <c r="D482" s="413" t="s">
        <v>5378</v>
      </c>
      <c r="E482" s="413" t="s">
        <v>5379</v>
      </c>
    </row>
    <row r="483" spans="1:5">
      <c r="A483" s="413">
        <v>422572792</v>
      </c>
      <c r="B483" s="413">
        <v>613538874.30663097</v>
      </c>
      <c r="D483" s="413" t="s">
        <v>5380</v>
      </c>
      <c r="E483" s="413" t="s">
        <v>5381</v>
      </c>
    </row>
    <row r="484" spans="1:5">
      <c r="A484" s="413">
        <v>422641166</v>
      </c>
      <c r="B484" s="413">
        <v>613607248.30741501</v>
      </c>
      <c r="D484" s="413" t="s">
        <v>5382</v>
      </c>
      <c r="E484" s="413" t="s">
        <v>5383</v>
      </c>
    </row>
    <row r="485" spans="1:5">
      <c r="A485" s="413">
        <v>422745594</v>
      </c>
      <c r="B485" s="413">
        <v>613711676.30864704</v>
      </c>
      <c r="D485" s="413" t="s">
        <v>5384</v>
      </c>
      <c r="E485" s="413" t="s">
        <v>5385</v>
      </c>
    </row>
    <row r="486" spans="1:5">
      <c r="A486" s="413">
        <v>422792364</v>
      </c>
      <c r="B486" s="413">
        <v>613758446.30916595</v>
      </c>
      <c r="D486" s="413" t="s">
        <v>5386</v>
      </c>
      <c r="E486" s="413" t="s">
        <v>5387</v>
      </c>
    </row>
    <row r="487" spans="1:5">
      <c r="A487" s="413">
        <v>422918397</v>
      </c>
      <c r="B487" s="413">
        <v>613884479.31065404</v>
      </c>
      <c r="D487" s="413" t="s">
        <v>5388</v>
      </c>
      <c r="E487" s="413" t="s">
        <v>5389</v>
      </c>
    </row>
    <row r="488" spans="1:5">
      <c r="A488" s="413">
        <v>422972384</v>
      </c>
      <c r="B488" s="413">
        <v>613938466.311288</v>
      </c>
      <c r="D488" s="413" t="s">
        <v>5390</v>
      </c>
      <c r="E488" s="413" t="s">
        <v>5391</v>
      </c>
    </row>
    <row r="489" spans="1:5">
      <c r="A489" s="413">
        <v>423058783</v>
      </c>
      <c r="B489" s="413">
        <v>614024865.31228495</v>
      </c>
      <c r="D489" s="413" t="s">
        <v>5392</v>
      </c>
      <c r="E489" s="413" t="s">
        <v>5393</v>
      </c>
    </row>
    <row r="490" spans="1:5">
      <c r="A490" s="413">
        <v>423177589</v>
      </c>
      <c r="B490" s="413">
        <v>614143671.31367302</v>
      </c>
      <c r="D490" s="413" t="s">
        <v>5394</v>
      </c>
      <c r="E490" s="413" t="s">
        <v>5395</v>
      </c>
    </row>
    <row r="491" spans="1:5">
      <c r="A491" s="413">
        <v>423231582</v>
      </c>
      <c r="B491" s="413">
        <v>614197664.31430101</v>
      </c>
      <c r="D491" s="413" t="s">
        <v>5396</v>
      </c>
      <c r="E491" s="413" t="s">
        <v>5397</v>
      </c>
    </row>
    <row r="492" spans="1:5">
      <c r="A492" s="413">
        <v>423317978</v>
      </c>
      <c r="B492" s="413">
        <v>614284060.31531203</v>
      </c>
      <c r="D492" s="413" t="s">
        <v>5398</v>
      </c>
      <c r="E492" s="413" t="s">
        <v>5399</v>
      </c>
    </row>
    <row r="493" spans="1:5">
      <c r="A493" s="413">
        <v>423422358</v>
      </c>
      <c r="B493" s="413">
        <v>614388440.31653094</v>
      </c>
      <c r="D493" s="413" t="s">
        <v>5400</v>
      </c>
      <c r="E493" s="413" t="s">
        <v>5401</v>
      </c>
    </row>
    <row r="494" spans="1:5">
      <c r="A494" s="413">
        <v>423508756</v>
      </c>
      <c r="B494" s="413">
        <v>614474838.31752706</v>
      </c>
      <c r="D494" s="413" t="s">
        <v>5402</v>
      </c>
      <c r="E494" s="413" t="s">
        <v>5403</v>
      </c>
    </row>
    <row r="495" spans="1:5">
      <c r="A495" s="413">
        <v>423606027</v>
      </c>
      <c r="B495" s="413">
        <v>614572109.31868196</v>
      </c>
      <c r="D495" s="413" t="s">
        <v>5404</v>
      </c>
      <c r="E495" s="413" t="s">
        <v>5405</v>
      </c>
    </row>
    <row r="496" spans="1:5">
      <c r="A496" s="413">
        <v>423692376</v>
      </c>
      <c r="B496" s="413">
        <v>614658458.31967402</v>
      </c>
      <c r="D496" s="413" t="s">
        <v>5406</v>
      </c>
      <c r="E496" s="413" t="s">
        <v>5407</v>
      </c>
    </row>
    <row r="497" spans="1:5">
      <c r="A497" s="413">
        <v>423749974</v>
      </c>
      <c r="B497" s="413">
        <v>614716056.32036102</v>
      </c>
      <c r="D497" s="413" t="s">
        <v>5408</v>
      </c>
      <c r="E497" s="413" t="s">
        <v>5409</v>
      </c>
    </row>
    <row r="498" spans="1:5">
      <c r="A498" s="413">
        <v>423865175</v>
      </c>
      <c r="B498" s="413">
        <v>614831257.32170904</v>
      </c>
      <c r="D498" s="413" t="s">
        <v>5410</v>
      </c>
      <c r="E498" s="413" t="s">
        <v>5411</v>
      </c>
    </row>
    <row r="499" spans="1:5">
      <c r="A499" s="413">
        <v>424037973</v>
      </c>
      <c r="B499" s="413">
        <v>615004055.32371402</v>
      </c>
      <c r="D499" s="413" t="s">
        <v>5412</v>
      </c>
      <c r="E499" s="413" t="s">
        <v>5413</v>
      </c>
    </row>
    <row r="500" spans="1:5">
      <c r="A500" s="413">
        <v>424091962</v>
      </c>
      <c r="B500" s="413">
        <v>615058044.32434702</v>
      </c>
      <c r="D500" s="413" t="s">
        <v>5414</v>
      </c>
      <c r="E500" s="413" t="s">
        <v>5415</v>
      </c>
    </row>
    <row r="501" spans="1:5">
      <c r="A501" s="413">
        <v>424210769</v>
      </c>
      <c r="B501" s="413">
        <v>615176851.32572997</v>
      </c>
      <c r="D501" s="413" t="s">
        <v>5416</v>
      </c>
      <c r="E501" s="413" t="s">
        <v>5417</v>
      </c>
    </row>
    <row r="502" spans="1:5">
      <c r="A502" s="413">
        <v>424289941</v>
      </c>
      <c r="B502" s="413">
        <v>615256023.326653</v>
      </c>
      <c r="D502" s="413" t="s">
        <v>5418</v>
      </c>
      <c r="E502" s="413" t="s">
        <v>5419</v>
      </c>
    </row>
    <row r="503" spans="1:5">
      <c r="A503" s="413">
        <v>424379943</v>
      </c>
      <c r="B503" s="413">
        <v>615346025.32771504</v>
      </c>
      <c r="D503" s="413" t="s">
        <v>5420</v>
      </c>
      <c r="E503" s="413" t="s">
        <v>5421</v>
      </c>
    </row>
    <row r="504" spans="1:5">
      <c r="A504" s="413">
        <v>424459130</v>
      </c>
      <c r="B504" s="413">
        <v>615425212.32863498</v>
      </c>
      <c r="D504" s="413" t="s">
        <v>5422</v>
      </c>
      <c r="E504" s="413" t="s">
        <v>5423</v>
      </c>
    </row>
    <row r="505" spans="1:5">
      <c r="A505" s="413">
        <v>424523947</v>
      </c>
      <c r="B505" s="413">
        <v>615490029.32937503</v>
      </c>
      <c r="D505" s="413" t="s">
        <v>5424</v>
      </c>
      <c r="E505" s="413" t="s">
        <v>5425</v>
      </c>
    </row>
    <row r="506" spans="1:5">
      <c r="A506" s="413">
        <v>424653602</v>
      </c>
      <c r="B506" s="413">
        <v>615619684.33089602</v>
      </c>
      <c r="D506" s="413" t="s">
        <v>5426</v>
      </c>
      <c r="E506" s="413" t="s">
        <v>5427</v>
      </c>
    </row>
    <row r="507" spans="1:5">
      <c r="A507" s="413">
        <v>424718318</v>
      </c>
      <c r="B507" s="413">
        <v>615684400.33165205</v>
      </c>
      <c r="D507" s="413" t="s">
        <v>5428</v>
      </c>
      <c r="E507" s="413" t="s">
        <v>5429</v>
      </c>
    </row>
    <row r="508" spans="1:5">
      <c r="A508" s="413">
        <v>424811942</v>
      </c>
      <c r="B508" s="413">
        <v>615778024.33275604</v>
      </c>
      <c r="D508" s="413" t="s">
        <v>5430</v>
      </c>
      <c r="E508" s="413" t="s">
        <v>5431</v>
      </c>
    </row>
    <row r="509" spans="1:5">
      <c r="A509" s="413">
        <v>424912784</v>
      </c>
      <c r="B509" s="413">
        <v>615878866.333884</v>
      </c>
      <c r="D509" s="413" t="s">
        <v>5432</v>
      </c>
      <c r="E509" s="413" t="s">
        <v>5433</v>
      </c>
    </row>
    <row r="510" spans="1:5">
      <c r="A510" s="413">
        <v>424955929</v>
      </c>
      <c r="B510" s="413">
        <v>615922011.33443105</v>
      </c>
      <c r="D510" s="413" t="s">
        <v>5434</v>
      </c>
      <c r="E510" s="413" t="s">
        <v>5435</v>
      </c>
    </row>
    <row r="511" spans="1:5">
      <c r="A511" s="413">
        <v>425067514</v>
      </c>
      <c r="B511" s="413">
        <v>616033596.33572495</v>
      </c>
      <c r="D511" s="413" t="s">
        <v>5436</v>
      </c>
      <c r="E511" s="413" t="s">
        <v>5437</v>
      </c>
    </row>
    <row r="512" spans="1:5">
      <c r="A512" s="413">
        <v>425171978</v>
      </c>
      <c r="B512" s="413">
        <v>616138060.336941</v>
      </c>
      <c r="D512" s="413" t="s">
        <v>5438</v>
      </c>
      <c r="E512" s="413" t="s">
        <v>5439</v>
      </c>
    </row>
    <row r="513" spans="1:5">
      <c r="A513" s="413">
        <v>425243910</v>
      </c>
      <c r="B513" s="413">
        <v>616209992.33779204</v>
      </c>
      <c r="D513" s="413" t="s">
        <v>5440</v>
      </c>
      <c r="E513" s="413" t="s">
        <v>5441</v>
      </c>
    </row>
    <row r="514" spans="1:5">
      <c r="A514" s="413">
        <v>425315890</v>
      </c>
      <c r="B514" s="413">
        <v>616281972.33863199</v>
      </c>
      <c r="D514" s="413" t="s">
        <v>5442</v>
      </c>
      <c r="E514" s="413" t="s">
        <v>5443</v>
      </c>
    </row>
    <row r="515" spans="1:5">
      <c r="A515" s="413">
        <v>425384295</v>
      </c>
      <c r="B515" s="413">
        <v>616350377.33942294</v>
      </c>
      <c r="D515" s="413" t="s">
        <v>5444</v>
      </c>
      <c r="E515" s="413" t="s">
        <v>5445</v>
      </c>
    </row>
    <row r="516" spans="1:5">
      <c r="A516" s="413">
        <v>425517563</v>
      </c>
      <c r="B516" s="413">
        <v>616483645.34098399</v>
      </c>
      <c r="D516" s="413" t="s">
        <v>5446</v>
      </c>
      <c r="E516" s="413" t="s">
        <v>5447</v>
      </c>
    </row>
    <row r="517" spans="1:5">
      <c r="A517" s="413">
        <v>425582277</v>
      </c>
      <c r="B517" s="413">
        <v>616548359.34174204</v>
      </c>
      <c r="D517" s="413" t="s">
        <v>5448</v>
      </c>
      <c r="E517" s="413" t="s">
        <v>5449</v>
      </c>
    </row>
    <row r="518" spans="1:5">
      <c r="A518" s="413">
        <v>425661467</v>
      </c>
      <c r="B518" s="413">
        <v>616627549.34265494</v>
      </c>
      <c r="D518" s="413" t="s">
        <v>5450</v>
      </c>
      <c r="E518" s="413" t="s">
        <v>5451</v>
      </c>
    </row>
    <row r="519" spans="1:5">
      <c r="A519" s="413">
        <v>425751465</v>
      </c>
      <c r="B519" s="413">
        <v>616717547.34370995</v>
      </c>
      <c r="D519" s="413" t="s">
        <v>5452</v>
      </c>
      <c r="E519" s="413" t="s">
        <v>5453</v>
      </c>
    </row>
    <row r="520" spans="1:5">
      <c r="A520" s="413">
        <v>425845076</v>
      </c>
      <c r="B520" s="413">
        <v>616811158.34481502</v>
      </c>
      <c r="D520" s="413" t="s">
        <v>5454</v>
      </c>
      <c r="E520" s="413" t="s">
        <v>5455</v>
      </c>
    </row>
    <row r="521" spans="1:5">
      <c r="A521" s="413">
        <v>425924255</v>
      </c>
      <c r="B521" s="413">
        <v>616890337.34573805</v>
      </c>
      <c r="D521" s="413" t="s">
        <v>5456</v>
      </c>
      <c r="E521" s="413" t="s">
        <v>5457</v>
      </c>
    </row>
    <row r="522" spans="1:5">
      <c r="A522" s="413">
        <v>426104256</v>
      </c>
      <c r="B522" s="413">
        <v>617070338.34783399</v>
      </c>
      <c r="D522" s="413" t="s">
        <v>5458</v>
      </c>
      <c r="E522" s="413" t="s">
        <v>5459</v>
      </c>
    </row>
    <row r="523" spans="1:5">
      <c r="A523" s="413">
        <v>426161856</v>
      </c>
      <c r="B523" s="413">
        <v>617127938.34851003</v>
      </c>
      <c r="D523" s="413" t="s">
        <v>5460</v>
      </c>
      <c r="E523" s="413" t="s">
        <v>5461</v>
      </c>
    </row>
    <row r="524" spans="1:5">
      <c r="A524" s="413">
        <v>426295103</v>
      </c>
      <c r="B524" s="413">
        <v>617261185.35003996</v>
      </c>
      <c r="D524" s="413" t="s">
        <v>5462</v>
      </c>
      <c r="E524" s="413" t="s">
        <v>5463</v>
      </c>
    </row>
    <row r="525" spans="1:5">
      <c r="A525" s="413">
        <v>426356226</v>
      </c>
      <c r="B525" s="413">
        <v>617322308.35076499</v>
      </c>
      <c r="D525" s="413" t="s">
        <v>5464</v>
      </c>
      <c r="E525" s="413" t="s">
        <v>5465</v>
      </c>
    </row>
    <row r="526" spans="1:5">
      <c r="A526" s="413">
        <v>426446227</v>
      </c>
      <c r="B526" s="413">
        <v>617412309.35182905</v>
      </c>
      <c r="D526" s="413" t="s">
        <v>5466</v>
      </c>
      <c r="E526" s="413" t="s">
        <v>5467</v>
      </c>
    </row>
    <row r="527" spans="1:5">
      <c r="A527" s="413">
        <v>426507428</v>
      </c>
      <c r="B527" s="413">
        <v>617473510.352525</v>
      </c>
      <c r="D527" s="413" t="s">
        <v>5468</v>
      </c>
      <c r="E527" s="413" t="s">
        <v>5469</v>
      </c>
    </row>
    <row r="528" spans="1:5">
      <c r="A528" s="413">
        <v>426611802</v>
      </c>
      <c r="B528" s="413">
        <v>617577884.35374999</v>
      </c>
      <c r="D528" s="413" t="s">
        <v>5470</v>
      </c>
      <c r="E528" s="413" t="s">
        <v>5471</v>
      </c>
    </row>
    <row r="529" spans="1:5">
      <c r="A529" s="413">
        <v>426709018</v>
      </c>
      <c r="B529" s="413">
        <v>617675100.35488296</v>
      </c>
      <c r="D529" s="413" t="s">
        <v>5472</v>
      </c>
      <c r="E529" s="413" t="s">
        <v>5473</v>
      </c>
    </row>
    <row r="530" spans="1:5">
      <c r="A530" s="413">
        <v>426780985</v>
      </c>
      <c r="B530" s="413">
        <v>617747067.35570705</v>
      </c>
      <c r="D530" s="413" t="s">
        <v>5474</v>
      </c>
      <c r="E530" s="413" t="s">
        <v>5475</v>
      </c>
    </row>
    <row r="531" spans="1:5">
      <c r="A531" s="413">
        <v>426874583</v>
      </c>
      <c r="B531" s="413">
        <v>617840665.35680997</v>
      </c>
      <c r="D531" s="413" t="s">
        <v>5476</v>
      </c>
      <c r="E531" s="413" t="s">
        <v>5477</v>
      </c>
    </row>
    <row r="532" spans="1:5">
      <c r="A532" s="413">
        <v>426935794</v>
      </c>
      <c r="B532" s="413">
        <v>617901876.35750699</v>
      </c>
      <c r="D532" s="413" t="s">
        <v>5478</v>
      </c>
      <c r="E532" s="413" t="s">
        <v>5479</v>
      </c>
    </row>
    <row r="533" spans="1:5">
      <c r="A533" s="413">
        <v>427040164</v>
      </c>
      <c r="B533" s="413">
        <v>618006246.35871994</v>
      </c>
      <c r="D533" s="413" t="s">
        <v>5480</v>
      </c>
      <c r="E533" s="413" t="s">
        <v>5481</v>
      </c>
    </row>
    <row r="534" spans="1:5">
      <c r="A534" s="413">
        <v>427159041</v>
      </c>
      <c r="B534" s="413">
        <v>618125123.36009002</v>
      </c>
      <c r="D534" s="413" t="s">
        <v>5482</v>
      </c>
      <c r="E534" s="413" t="s">
        <v>5483</v>
      </c>
    </row>
    <row r="535" spans="1:5">
      <c r="A535" s="413">
        <v>427245436</v>
      </c>
      <c r="B535" s="413">
        <v>618211518.361094</v>
      </c>
      <c r="D535" s="413" t="s">
        <v>5484</v>
      </c>
      <c r="E535" s="413" t="s">
        <v>5485</v>
      </c>
    </row>
    <row r="536" spans="1:5">
      <c r="A536" s="413">
        <v>427310163</v>
      </c>
      <c r="B536" s="413">
        <v>618276245.36188102</v>
      </c>
      <c r="D536" s="413" t="s">
        <v>5486</v>
      </c>
      <c r="E536" s="413" t="s">
        <v>5487</v>
      </c>
    </row>
    <row r="537" spans="1:5">
      <c r="A537" s="413">
        <v>427367760</v>
      </c>
      <c r="B537" s="413">
        <v>618333842.36255002</v>
      </c>
      <c r="D537" s="413" t="s">
        <v>5488</v>
      </c>
      <c r="E537" s="413" t="s">
        <v>5489</v>
      </c>
    </row>
    <row r="538" spans="1:5">
      <c r="A538" s="413">
        <v>427504604</v>
      </c>
      <c r="B538" s="413">
        <v>618470686.36414397</v>
      </c>
      <c r="D538" s="413" t="s">
        <v>5490</v>
      </c>
      <c r="E538" s="413" t="s">
        <v>5491</v>
      </c>
    </row>
    <row r="539" spans="1:5">
      <c r="A539" s="413">
        <v>427562120</v>
      </c>
      <c r="B539" s="413">
        <v>618528202.36480606</v>
      </c>
      <c r="D539" s="413" t="s">
        <v>5492</v>
      </c>
      <c r="E539" s="413" t="s">
        <v>5493</v>
      </c>
    </row>
    <row r="540" spans="1:5">
      <c r="A540" s="413">
        <v>427652119</v>
      </c>
      <c r="B540" s="413">
        <v>618618201.36584997</v>
      </c>
      <c r="D540" s="413" t="s">
        <v>5494</v>
      </c>
      <c r="E540" s="413" t="s">
        <v>5495</v>
      </c>
    </row>
    <row r="541" spans="1:5">
      <c r="A541" s="413">
        <v>427734906</v>
      </c>
      <c r="B541" s="413">
        <v>618700988.36681104</v>
      </c>
      <c r="D541" s="413" t="s">
        <v>5496</v>
      </c>
      <c r="E541" s="413" t="s">
        <v>5497</v>
      </c>
    </row>
    <row r="542" spans="1:5">
      <c r="A542" s="413">
        <v>427850167</v>
      </c>
      <c r="B542" s="413">
        <v>618816249.36815405</v>
      </c>
      <c r="D542" s="413" t="s">
        <v>5498</v>
      </c>
      <c r="E542" s="413" t="s">
        <v>5499</v>
      </c>
    </row>
    <row r="543" spans="1:5">
      <c r="A543" s="413">
        <v>427936558</v>
      </c>
      <c r="B543" s="413">
        <v>618902640.36913705</v>
      </c>
      <c r="D543" s="413" t="s">
        <v>5500</v>
      </c>
      <c r="E543" s="413" t="s">
        <v>5501</v>
      </c>
    </row>
    <row r="544" spans="1:5">
      <c r="A544" s="413">
        <v>427997681</v>
      </c>
      <c r="B544" s="413">
        <v>618963763.36987197</v>
      </c>
      <c r="D544" s="413" t="s">
        <v>5502</v>
      </c>
      <c r="E544" s="413" t="s">
        <v>5503</v>
      </c>
    </row>
    <row r="545" spans="1:5">
      <c r="A545" s="413">
        <v>428076868</v>
      </c>
      <c r="B545" s="413">
        <v>619042950.37077796</v>
      </c>
      <c r="D545" s="413" t="s">
        <v>5504</v>
      </c>
      <c r="E545" s="413" t="s">
        <v>5505</v>
      </c>
    </row>
    <row r="546" spans="1:5">
      <c r="A546" s="413">
        <v>428170468</v>
      </c>
      <c r="B546" s="413">
        <v>619136550.37186599</v>
      </c>
      <c r="D546" s="413" t="s">
        <v>5506</v>
      </c>
      <c r="E546" s="413" t="s">
        <v>5507</v>
      </c>
    </row>
    <row r="547" spans="1:5">
      <c r="A547" s="413">
        <v>428256860</v>
      </c>
      <c r="B547" s="413">
        <v>619222942.37288105</v>
      </c>
      <c r="D547" s="413" t="s">
        <v>5508</v>
      </c>
      <c r="E547" s="413" t="s">
        <v>5509</v>
      </c>
    </row>
    <row r="548" spans="1:5">
      <c r="A548" s="413">
        <v>428343253</v>
      </c>
      <c r="B548" s="413">
        <v>619309335.373873</v>
      </c>
      <c r="D548" s="413" t="s">
        <v>5510</v>
      </c>
      <c r="E548" s="413" t="s">
        <v>5511</v>
      </c>
    </row>
    <row r="549" spans="1:5">
      <c r="A549" s="413">
        <v>428426034</v>
      </c>
      <c r="B549" s="413">
        <v>619392116.37482703</v>
      </c>
      <c r="D549" s="413" t="s">
        <v>5512</v>
      </c>
      <c r="E549" s="413" t="s">
        <v>5513</v>
      </c>
    </row>
    <row r="550" spans="1:5">
      <c r="A550" s="413">
        <v>428487242</v>
      </c>
      <c r="B550" s="413">
        <v>619453324.37555206</v>
      </c>
      <c r="D550" s="413" t="s">
        <v>5514</v>
      </c>
      <c r="E550" s="413" t="s">
        <v>5515</v>
      </c>
    </row>
    <row r="551" spans="1:5">
      <c r="A551" s="413">
        <v>428602427</v>
      </c>
      <c r="B551" s="413">
        <v>619568509.37688899</v>
      </c>
      <c r="D551" s="413" t="s">
        <v>5516</v>
      </c>
      <c r="E551" s="413" t="s">
        <v>5517</v>
      </c>
    </row>
    <row r="552" spans="1:5">
      <c r="A552" s="413">
        <v>428714072</v>
      </c>
      <c r="B552" s="413">
        <v>619680154.37819195</v>
      </c>
      <c r="D552" s="413" t="s">
        <v>5518</v>
      </c>
      <c r="E552" s="413" t="s">
        <v>5519</v>
      </c>
    </row>
    <row r="553" spans="1:5">
      <c r="A553" s="413">
        <v>428800404</v>
      </c>
      <c r="B553" s="413">
        <v>619766486.37917101</v>
      </c>
      <c r="D553" s="413" t="s">
        <v>5520</v>
      </c>
      <c r="E553" s="413" t="s">
        <v>5521</v>
      </c>
    </row>
    <row r="554" spans="1:5">
      <c r="A554" s="413">
        <v>428861597</v>
      </c>
      <c r="B554" s="413">
        <v>619827679.37987196</v>
      </c>
      <c r="D554" s="413" t="s">
        <v>5522</v>
      </c>
      <c r="E554" s="413" t="s">
        <v>5523</v>
      </c>
    </row>
    <row r="555" spans="1:5">
      <c r="A555" s="413">
        <v>428973249</v>
      </c>
      <c r="B555" s="413">
        <v>619939331.38112998</v>
      </c>
      <c r="D555" s="413" t="s">
        <v>5524</v>
      </c>
      <c r="E555" s="413" t="s">
        <v>5525</v>
      </c>
    </row>
    <row r="556" spans="1:5">
      <c r="A556" s="413">
        <v>429030775</v>
      </c>
      <c r="B556" s="413">
        <v>619996857.38182998</v>
      </c>
      <c r="D556" s="413" t="s">
        <v>5526</v>
      </c>
      <c r="E556" s="413" t="s">
        <v>5527</v>
      </c>
    </row>
    <row r="557" spans="1:5">
      <c r="A557" s="413">
        <v>429117164</v>
      </c>
      <c r="B557" s="413">
        <v>620083246.38282597</v>
      </c>
      <c r="D557" s="413" t="s">
        <v>5528</v>
      </c>
      <c r="E557" s="413" t="s">
        <v>5529</v>
      </c>
    </row>
    <row r="558" spans="1:5">
      <c r="A558" s="413">
        <v>429192742</v>
      </c>
      <c r="B558" s="413">
        <v>620158824.38370395</v>
      </c>
      <c r="D558" s="413" t="s">
        <v>5530</v>
      </c>
      <c r="E558" s="413" t="s">
        <v>5531</v>
      </c>
    </row>
    <row r="559" spans="1:5">
      <c r="A559" s="413">
        <v>429286333</v>
      </c>
      <c r="B559" s="413">
        <v>620252415.38478303</v>
      </c>
      <c r="D559" s="413" t="s">
        <v>5532</v>
      </c>
      <c r="E559" s="413" t="s">
        <v>5533</v>
      </c>
    </row>
    <row r="560" spans="1:5">
      <c r="A560" s="413">
        <v>429361917</v>
      </c>
      <c r="B560" s="413">
        <v>620327999.38565302</v>
      </c>
      <c r="D560" s="413" t="s">
        <v>5534</v>
      </c>
      <c r="E560" s="413" t="s">
        <v>5535</v>
      </c>
    </row>
    <row r="561" spans="1:5">
      <c r="A561" s="413">
        <v>429459137</v>
      </c>
      <c r="B561" s="413">
        <v>620425219.38677597</v>
      </c>
      <c r="D561" s="413" t="s">
        <v>5536</v>
      </c>
      <c r="E561" s="413" t="s">
        <v>5537</v>
      </c>
    </row>
    <row r="562" spans="1:5">
      <c r="A562" s="413">
        <v>429750728</v>
      </c>
      <c r="B562" s="413">
        <v>620716810.39013696</v>
      </c>
      <c r="D562" s="413" t="s">
        <v>5538</v>
      </c>
      <c r="E562" s="413" t="s">
        <v>5539</v>
      </c>
    </row>
    <row r="563" spans="1:5">
      <c r="A563" s="413">
        <v>429865923</v>
      </c>
      <c r="B563" s="413">
        <v>620832005.39145303</v>
      </c>
      <c r="D563" s="413" t="s">
        <v>5540</v>
      </c>
      <c r="E563" s="413" t="s">
        <v>5541</v>
      </c>
    </row>
    <row r="564" spans="1:5">
      <c r="A564" s="413">
        <v>430009943</v>
      </c>
      <c r="B564" s="413">
        <v>620976025.39310706</v>
      </c>
      <c r="D564" s="413" t="s">
        <v>5542</v>
      </c>
      <c r="E564" s="413" t="s">
        <v>5543</v>
      </c>
    </row>
    <row r="565" spans="1:5">
      <c r="A565" s="413">
        <v>430067462</v>
      </c>
      <c r="B565" s="413">
        <v>621033544.39377797</v>
      </c>
      <c r="D565" s="413" t="s">
        <v>5544</v>
      </c>
      <c r="E565" s="413" t="s">
        <v>5545</v>
      </c>
    </row>
    <row r="566" spans="1:5">
      <c r="A566" s="413">
        <v>430182650</v>
      </c>
      <c r="B566" s="413">
        <v>621148732.39509404</v>
      </c>
      <c r="D566" s="413" t="s">
        <v>5546</v>
      </c>
      <c r="E566" s="413" t="s">
        <v>5547</v>
      </c>
    </row>
    <row r="567" spans="1:5">
      <c r="A567" s="413">
        <v>430269036</v>
      </c>
      <c r="B567" s="413">
        <v>621235118.39607704</v>
      </c>
      <c r="D567" s="413" t="s">
        <v>5548</v>
      </c>
      <c r="E567" s="413" t="s">
        <v>5549</v>
      </c>
    </row>
    <row r="568" spans="1:5">
      <c r="A568" s="413">
        <v>430319400</v>
      </c>
      <c r="B568" s="413">
        <v>621285482.39666295</v>
      </c>
      <c r="D568" s="413" t="s">
        <v>5550</v>
      </c>
      <c r="E568" s="413" t="s">
        <v>5551</v>
      </c>
    </row>
    <row r="569" spans="1:5">
      <c r="A569" s="413">
        <v>430441816</v>
      </c>
      <c r="B569" s="413">
        <v>621407898.39804804</v>
      </c>
      <c r="D569" s="413" t="s">
        <v>5552</v>
      </c>
      <c r="E569" s="413" t="s">
        <v>5553</v>
      </c>
    </row>
    <row r="570" spans="1:5">
      <c r="A570" s="413">
        <v>430495783</v>
      </c>
      <c r="B570" s="413">
        <v>621461865.39866698</v>
      </c>
      <c r="D570" s="413" t="s">
        <v>5554</v>
      </c>
      <c r="E570" s="413" t="s">
        <v>5555</v>
      </c>
    </row>
    <row r="571" spans="1:5">
      <c r="A571" s="413">
        <v>430614590</v>
      </c>
      <c r="B571" s="413">
        <v>621580672.40001798</v>
      </c>
      <c r="D571" s="413" t="s">
        <v>5556</v>
      </c>
      <c r="E571" s="413" t="s">
        <v>5557</v>
      </c>
    </row>
    <row r="572" spans="1:5">
      <c r="A572" s="413">
        <v>430700988</v>
      </c>
      <c r="B572" s="413">
        <v>621667070.40100896</v>
      </c>
      <c r="D572" s="413" t="s">
        <v>5558</v>
      </c>
      <c r="E572" s="413" t="s">
        <v>5559</v>
      </c>
    </row>
    <row r="573" spans="1:5">
      <c r="A573" s="413">
        <v>430783814</v>
      </c>
      <c r="B573" s="413">
        <v>621749896.40193498</v>
      </c>
      <c r="D573" s="413" t="s">
        <v>5560</v>
      </c>
      <c r="E573" s="413" t="s">
        <v>5561</v>
      </c>
    </row>
    <row r="574" spans="1:5">
      <c r="A574" s="413">
        <v>430830528</v>
      </c>
      <c r="B574" s="413">
        <v>621796610.40248895</v>
      </c>
      <c r="D574" s="413" t="s">
        <v>5562</v>
      </c>
      <c r="E574" s="413" t="s">
        <v>5563</v>
      </c>
    </row>
    <row r="575" spans="1:5">
      <c r="A575" s="413">
        <v>430956551</v>
      </c>
      <c r="B575" s="413">
        <v>621922633.40393305</v>
      </c>
      <c r="D575" s="413" t="s">
        <v>5564</v>
      </c>
      <c r="E575" s="413" t="s">
        <v>5565</v>
      </c>
    </row>
    <row r="576" spans="1:5">
      <c r="A576" s="413">
        <v>431003304</v>
      </c>
      <c r="B576" s="413">
        <v>621969386.40446603</v>
      </c>
      <c r="D576" s="413" t="s">
        <v>5566</v>
      </c>
      <c r="E576" s="413" t="s">
        <v>5567</v>
      </c>
    </row>
    <row r="577" spans="1:5">
      <c r="A577" s="413">
        <v>431096897</v>
      </c>
      <c r="B577" s="413">
        <v>622062979.40552199</v>
      </c>
      <c r="D577" s="413" t="s">
        <v>5568</v>
      </c>
      <c r="E577" s="413" t="s">
        <v>5569</v>
      </c>
    </row>
    <row r="578" spans="1:5">
      <c r="A578" s="413">
        <v>431186896</v>
      </c>
      <c r="B578" s="413">
        <v>622152978.40655303</v>
      </c>
      <c r="D578" s="413" t="s">
        <v>5570</v>
      </c>
      <c r="E578" s="413" t="s">
        <v>5571</v>
      </c>
    </row>
    <row r="579" spans="1:5">
      <c r="A579" s="413">
        <v>431302106</v>
      </c>
      <c r="B579" s="413">
        <v>622268188.40785503</v>
      </c>
      <c r="D579" s="413" t="s">
        <v>5572</v>
      </c>
      <c r="E579" s="413" t="s">
        <v>5573</v>
      </c>
    </row>
    <row r="580" spans="1:5">
      <c r="A580" s="413">
        <v>431330877</v>
      </c>
      <c r="B580" s="413">
        <v>622296959.40819395</v>
      </c>
      <c r="D580" s="413" t="s">
        <v>5574</v>
      </c>
      <c r="E580" s="413" t="s">
        <v>5575</v>
      </c>
    </row>
    <row r="581" spans="1:5">
      <c r="A581" s="413">
        <v>431474878</v>
      </c>
      <c r="B581" s="413">
        <v>622440960.40982902</v>
      </c>
      <c r="D581" s="413" t="s">
        <v>5576</v>
      </c>
      <c r="E581" s="413" t="s">
        <v>5577</v>
      </c>
    </row>
    <row r="582" spans="1:5">
      <c r="A582" s="413">
        <v>431561262</v>
      </c>
      <c r="B582" s="413">
        <v>622527344.41080499</v>
      </c>
      <c r="D582" s="413" t="s">
        <v>5578</v>
      </c>
      <c r="E582" s="413" t="s">
        <v>5579</v>
      </c>
    </row>
    <row r="583" spans="1:5">
      <c r="A583" s="413">
        <v>431651236</v>
      </c>
      <c r="B583" s="413">
        <v>622617318.41179895</v>
      </c>
      <c r="D583" s="413" t="s">
        <v>5580</v>
      </c>
      <c r="E583" s="413" t="s">
        <v>5581</v>
      </c>
    </row>
    <row r="584" spans="1:5">
      <c r="A584" s="413">
        <v>431665606</v>
      </c>
      <c r="B584" s="413">
        <v>622631688.41198802</v>
      </c>
      <c r="D584" s="413" t="s">
        <v>5582</v>
      </c>
      <c r="E584" s="413" t="s">
        <v>5583</v>
      </c>
    </row>
    <row r="585" spans="1:5">
      <c r="A585" s="413">
        <v>431780794</v>
      </c>
      <c r="B585" s="413">
        <v>622746876.41329801</v>
      </c>
      <c r="D585" s="413" t="s">
        <v>5584</v>
      </c>
      <c r="E585" s="413" t="s">
        <v>5585</v>
      </c>
    </row>
    <row r="586" spans="1:5">
      <c r="A586" s="413">
        <v>431964400</v>
      </c>
      <c r="B586" s="413">
        <v>622930482.41537404</v>
      </c>
      <c r="D586" s="413" t="s">
        <v>5586</v>
      </c>
      <c r="E586" s="413" t="s">
        <v>5587</v>
      </c>
    </row>
    <row r="587" spans="1:5">
      <c r="A587" s="413">
        <v>432075992</v>
      </c>
      <c r="B587" s="413">
        <v>623042074.41663504</v>
      </c>
      <c r="D587" s="413" t="s">
        <v>5588</v>
      </c>
      <c r="E587" s="413" t="s">
        <v>5589</v>
      </c>
    </row>
    <row r="588" spans="1:5">
      <c r="A588" s="413">
        <v>432133557</v>
      </c>
      <c r="B588" s="413">
        <v>623099639.41729903</v>
      </c>
      <c r="D588" s="413" t="s">
        <v>5590</v>
      </c>
      <c r="E588" s="413" t="s">
        <v>5591</v>
      </c>
    </row>
    <row r="589" spans="1:5">
      <c r="A589" s="413">
        <v>432421530</v>
      </c>
      <c r="B589" s="413">
        <v>623387612.42054498</v>
      </c>
      <c r="D589" s="413" t="s">
        <v>5592</v>
      </c>
      <c r="E589" s="413" t="s">
        <v>5593</v>
      </c>
    </row>
    <row r="590" spans="1:5">
      <c r="A590" s="413">
        <v>432515108</v>
      </c>
      <c r="B590" s="413">
        <v>623481190.42156994</v>
      </c>
      <c r="D590" s="413" t="s">
        <v>5594</v>
      </c>
      <c r="E590" s="413" t="s">
        <v>5595</v>
      </c>
    </row>
    <row r="591" spans="1:5">
      <c r="A591" s="413">
        <v>432601494</v>
      </c>
      <c r="B591" s="413">
        <v>623567576.42254305</v>
      </c>
      <c r="D591" s="413" t="s">
        <v>5596</v>
      </c>
      <c r="E591" s="413" t="s">
        <v>5597</v>
      </c>
    </row>
    <row r="592" spans="1:5">
      <c r="A592" s="413">
        <v>432651882</v>
      </c>
      <c r="B592" s="413">
        <v>623617964.42315698</v>
      </c>
      <c r="D592" s="413" t="s">
        <v>5598</v>
      </c>
      <c r="E592" s="413" t="s">
        <v>5599</v>
      </c>
    </row>
    <row r="593" spans="1:5">
      <c r="A593" s="413">
        <v>432767092</v>
      </c>
      <c r="B593" s="413">
        <v>623733174.42443895</v>
      </c>
      <c r="D593" s="413" t="s">
        <v>5600</v>
      </c>
      <c r="E593" s="413" t="s">
        <v>5601</v>
      </c>
    </row>
    <row r="594" spans="1:5">
      <c r="A594" s="413">
        <v>432993822</v>
      </c>
      <c r="B594" s="413">
        <v>623959904.42700005</v>
      </c>
      <c r="D594" s="413" t="s">
        <v>5602</v>
      </c>
      <c r="E594" s="413" t="s">
        <v>5603</v>
      </c>
    </row>
    <row r="595" spans="1:5">
      <c r="A595" s="413">
        <v>433119822</v>
      </c>
      <c r="B595" s="413">
        <v>624085904.42838705</v>
      </c>
      <c r="D595" s="413" t="s">
        <v>5604</v>
      </c>
      <c r="E595" s="413" t="s">
        <v>5605</v>
      </c>
    </row>
    <row r="596" spans="1:5">
      <c r="A596" s="413">
        <v>433137818</v>
      </c>
      <c r="B596" s="413">
        <v>624103900.42863095</v>
      </c>
      <c r="D596" s="413" t="s">
        <v>5606</v>
      </c>
      <c r="E596" s="413" t="s">
        <v>5607</v>
      </c>
    </row>
    <row r="597" spans="1:5">
      <c r="A597" s="413">
        <v>433285412</v>
      </c>
      <c r="B597" s="413">
        <v>624251494.43028605</v>
      </c>
      <c r="D597" s="413" t="s">
        <v>5608</v>
      </c>
      <c r="E597" s="413" t="s">
        <v>5609</v>
      </c>
    </row>
    <row r="598" spans="1:5">
      <c r="A598" s="413">
        <v>433368205</v>
      </c>
      <c r="B598" s="413">
        <v>624334287.43120301</v>
      </c>
      <c r="D598" s="413" t="s">
        <v>5610</v>
      </c>
      <c r="E598" s="413" t="s">
        <v>5611</v>
      </c>
    </row>
    <row r="599" spans="1:5">
      <c r="A599" s="413">
        <v>433483372</v>
      </c>
      <c r="B599" s="413">
        <v>624449454.43249595</v>
      </c>
      <c r="D599" s="413" t="s">
        <v>5612</v>
      </c>
      <c r="E599" s="413" t="s">
        <v>5613</v>
      </c>
    </row>
    <row r="600" spans="1:5">
      <c r="A600" s="413">
        <v>433629047</v>
      </c>
      <c r="B600" s="413">
        <v>624595129.43414795</v>
      </c>
      <c r="D600" s="413" t="s">
        <v>5614</v>
      </c>
      <c r="E600" s="413" t="s">
        <v>5615</v>
      </c>
    </row>
    <row r="601" spans="1:5">
      <c r="A601" s="413">
        <v>433724529</v>
      </c>
      <c r="B601" s="413">
        <v>624690611.43518198</v>
      </c>
      <c r="D601" s="413" t="s">
        <v>5616</v>
      </c>
      <c r="E601" s="413" t="s">
        <v>5617</v>
      </c>
    </row>
    <row r="602" spans="1:5">
      <c r="A602" s="413">
        <v>433771388</v>
      </c>
      <c r="B602" s="413">
        <v>624737470.43573904</v>
      </c>
      <c r="D602" s="413" t="s">
        <v>5618</v>
      </c>
      <c r="E602" s="413" t="s">
        <v>5619</v>
      </c>
    </row>
    <row r="603" spans="1:5">
      <c r="A603" s="413">
        <v>433857707</v>
      </c>
      <c r="B603" s="413">
        <v>624823789.43670797</v>
      </c>
      <c r="D603" s="413" t="s">
        <v>5620</v>
      </c>
      <c r="E603" s="413" t="s">
        <v>5621</v>
      </c>
    </row>
    <row r="604" spans="1:5">
      <c r="A604" s="413">
        <v>433972915</v>
      </c>
      <c r="B604" s="413">
        <v>624938997.43799698</v>
      </c>
      <c r="D604" s="413" t="s">
        <v>5622</v>
      </c>
      <c r="E604" s="413" t="s">
        <v>5623</v>
      </c>
    </row>
    <row r="605" spans="1:5">
      <c r="A605" s="413">
        <v>434026874</v>
      </c>
      <c r="B605" s="413">
        <v>624992956.43859994</v>
      </c>
      <c r="D605" s="413" t="s">
        <v>5624</v>
      </c>
      <c r="E605" s="413" t="s">
        <v>5625</v>
      </c>
    </row>
    <row r="606" spans="1:5">
      <c r="A606" s="413">
        <v>434300443</v>
      </c>
      <c r="B606" s="413">
        <v>625266525.44162595</v>
      </c>
      <c r="D606" s="413" t="s">
        <v>5626</v>
      </c>
      <c r="E606" s="413" t="s">
        <v>5627</v>
      </c>
    </row>
    <row r="607" spans="1:5">
      <c r="A607" s="413">
        <v>434376044</v>
      </c>
      <c r="B607" s="413">
        <v>625342126.44250202</v>
      </c>
      <c r="D607" s="413" t="s">
        <v>5628</v>
      </c>
      <c r="E607" s="413" t="s">
        <v>5629</v>
      </c>
    </row>
    <row r="608" spans="1:5">
      <c r="A608" s="413">
        <v>434448008</v>
      </c>
      <c r="B608" s="413">
        <v>625414090.44328904</v>
      </c>
      <c r="D608" s="413" t="s">
        <v>5630</v>
      </c>
      <c r="E608" s="413" t="s">
        <v>5631</v>
      </c>
    </row>
    <row r="609" spans="1:5">
      <c r="A609" s="413">
        <v>434545207</v>
      </c>
      <c r="B609" s="413">
        <v>625511289.44439006</v>
      </c>
      <c r="D609" s="413" t="s">
        <v>5632</v>
      </c>
      <c r="E609" s="413" t="s">
        <v>5633</v>
      </c>
    </row>
    <row r="610" spans="1:5">
      <c r="A610" s="413">
        <v>434645989</v>
      </c>
      <c r="B610" s="413">
        <v>625612071.44548702</v>
      </c>
      <c r="D610" s="413" t="s">
        <v>5634</v>
      </c>
      <c r="E610" s="413" t="s">
        <v>5635</v>
      </c>
    </row>
    <row r="611" spans="1:5">
      <c r="A611" s="413">
        <v>434717979</v>
      </c>
      <c r="B611" s="413">
        <v>625684061.44630897</v>
      </c>
      <c r="D611" s="413" t="s">
        <v>5636</v>
      </c>
      <c r="E611" s="413" t="s">
        <v>5637</v>
      </c>
    </row>
    <row r="612" spans="1:5">
      <c r="A612" s="413">
        <v>434847657</v>
      </c>
      <c r="B612" s="413">
        <v>625813739.44775605</v>
      </c>
      <c r="D612" s="413" t="s">
        <v>5638</v>
      </c>
      <c r="E612" s="413" t="s">
        <v>5639</v>
      </c>
    </row>
    <row r="613" spans="1:5">
      <c r="A613" s="413">
        <v>434854835</v>
      </c>
      <c r="B613" s="413">
        <v>625820917.44781494</v>
      </c>
      <c r="D613" s="413" t="s">
        <v>5640</v>
      </c>
      <c r="E613" s="413" t="s">
        <v>5641</v>
      </c>
    </row>
    <row r="614" spans="1:5">
      <c r="A614" s="413">
        <v>434973537</v>
      </c>
      <c r="B614" s="413">
        <v>625939619.44916701</v>
      </c>
      <c r="D614" s="413" t="s">
        <v>5642</v>
      </c>
      <c r="E614" s="413" t="s">
        <v>5643</v>
      </c>
    </row>
    <row r="615" spans="1:5">
      <c r="A615" s="413">
        <v>435063529</v>
      </c>
      <c r="B615" s="413">
        <v>626029611.45015895</v>
      </c>
      <c r="D615" s="413" t="s">
        <v>5644</v>
      </c>
      <c r="E615" s="413" t="s">
        <v>5645</v>
      </c>
    </row>
    <row r="616" spans="1:5">
      <c r="A616" s="413">
        <v>435178736</v>
      </c>
      <c r="B616" s="413">
        <v>626144818.45142996</v>
      </c>
      <c r="D616" s="413" t="s">
        <v>5646</v>
      </c>
      <c r="E616" s="413" t="s">
        <v>5647</v>
      </c>
    </row>
    <row r="617" spans="1:5">
      <c r="A617" s="413">
        <v>435207520</v>
      </c>
      <c r="B617" s="413">
        <v>626173602.45175803</v>
      </c>
      <c r="D617" s="413" t="s">
        <v>5648</v>
      </c>
      <c r="E617" s="413" t="s">
        <v>5649</v>
      </c>
    </row>
    <row r="618" spans="1:5">
      <c r="A618" s="413">
        <v>435362298</v>
      </c>
      <c r="B618" s="413">
        <v>626328380.45346403</v>
      </c>
      <c r="D618" s="413" t="s">
        <v>5650</v>
      </c>
      <c r="E618" s="413" t="s">
        <v>5651</v>
      </c>
    </row>
    <row r="619" spans="1:5">
      <c r="A619" s="413">
        <v>435524293</v>
      </c>
      <c r="B619" s="413">
        <v>626490375.45527506</v>
      </c>
      <c r="D619" s="413" t="s">
        <v>5652</v>
      </c>
      <c r="E619" s="413" t="s">
        <v>5653</v>
      </c>
    </row>
    <row r="620" spans="1:5">
      <c r="A620" s="413">
        <v>435603466</v>
      </c>
      <c r="B620" s="413">
        <v>626569548.45614195</v>
      </c>
      <c r="D620" s="413" t="s">
        <v>5654</v>
      </c>
      <c r="E620" s="413" t="s">
        <v>5655</v>
      </c>
    </row>
    <row r="621" spans="1:5">
      <c r="A621" s="413">
        <v>435697079</v>
      </c>
      <c r="B621" s="413">
        <v>626663161.45719194</v>
      </c>
      <c r="D621" s="413" t="s">
        <v>5656</v>
      </c>
      <c r="E621" s="413" t="s">
        <v>5657</v>
      </c>
    </row>
    <row r="622" spans="1:5">
      <c r="A622" s="413">
        <v>435751037</v>
      </c>
      <c r="B622" s="413">
        <v>626717119.45780396</v>
      </c>
      <c r="D622" s="413" t="s">
        <v>5658</v>
      </c>
      <c r="E622" s="413" t="s">
        <v>5659</v>
      </c>
    </row>
    <row r="623" spans="1:5">
      <c r="A623" s="413">
        <v>435830221</v>
      </c>
      <c r="B623" s="413">
        <v>626796303.45867503</v>
      </c>
      <c r="D623" s="413" t="s">
        <v>5660</v>
      </c>
      <c r="E623" s="413" t="s">
        <v>5661</v>
      </c>
    </row>
    <row r="624" spans="1:5">
      <c r="A624" s="413">
        <v>435970621</v>
      </c>
      <c r="B624" s="413">
        <v>626936703.46020699</v>
      </c>
      <c r="D624" s="413" t="s">
        <v>5662</v>
      </c>
      <c r="E624" s="413" t="s">
        <v>5663</v>
      </c>
    </row>
    <row r="625" spans="1:5">
      <c r="A625" s="413">
        <v>435981410</v>
      </c>
      <c r="B625" s="413">
        <v>626947492.46033394</v>
      </c>
      <c r="D625" s="413" t="s">
        <v>5664</v>
      </c>
      <c r="E625" s="413" t="s">
        <v>5665</v>
      </c>
    </row>
    <row r="626" spans="1:5">
      <c r="A626" s="413">
        <v>436136201</v>
      </c>
      <c r="B626" s="413">
        <v>627102283.46202397</v>
      </c>
      <c r="D626" s="413" t="s">
        <v>5666</v>
      </c>
      <c r="E626" s="413" t="s">
        <v>5667</v>
      </c>
    </row>
    <row r="627" spans="1:5">
      <c r="A627" s="413">
        <v>436222592</v>
      </c>
      <c r="B627" s="413">
        <v>627188674.46298003</v>
      </c>
      <c r="D627" s="413" t="s">
        <v>5668</v>
      </c>
      <c r="E627" s="413" t="s">
        <v>5669</v>
      </c>
    </row>
    <row r="628" spans="1:5">
      <c r="A628" s="413">
        <v>436262166</v>
      </c>
      <c r="B628" s="413">
        <v>627228248.46344304</v>
      </c>
      <c r="D628" s="413" t="s">
        <v>5670</v>
      </c>
      <c r="E628" s="413" t="s">
        <v>5671</v>
      </c>
    </row>
    <row r="629" spans="1:5">
      <c r="A629" s="413">
        <v>436352157</v>
      </c>
      <c r="B629" s="413">
        <v>627318239.46445501</v>
      </c>
      <c r="D629" s="413" t="s">
        <v>5672</v>
      </c>
      <c r="E629" s="413" t="s">
        <v>5673</v>
      </c>
    </row>
    <row r="630" spans="1:5">
      <c r="A630" s="413">
        <v>436470969</v>
      </c>
      <c r="B630" s="413">
        <v>627437051.46574903</v>
      </c>
      <c r="D630" s="413" t="s">
        <v>5674</v>
      </c>
      <c r="E630" s="413" t="s">
        <v>5675</v>
      </c>
    </row>
    <row r="631" spans="1:5">
      <c r="A631" s="413">
        <v>436575347</v>
      </c>
      <c r="B631" s="413">
        <v>627541429.46690094</v>
      </c>
      <c r="D631" s="413" t="s">
        <v>5676</v>
      </c>
      <c r="E631" s="413" t="s">
        <v>5677</v>
      </c>
    </row>
    <row r="632" spans="1:5">
      <c r="A632" s="413">
        <v>436586147</v>
      </c>
      <c r="B632" s="413">
        <v>627552229.46701896</v>
      </c>
      <c r="D632" s="413" t="s">
        <v>5678</v>
      </c>
      <c r="E632" s="413" t="s">
        <v>5679</v>
      </c>
    </row>
    <row r="633" spans="1:5">
      <c r="A633" s="413">
        <v>436748123</v>
      </c>
      <c r="B633" s="413">
        <v>627714205.46880496</v>
      </c>
      <c r="D633" s="413" t="s">
        <v>5680</v>
      </c>
      <c r="E633" s="413" t="s">
        <v>5681</v>
      </c>
    </row>
    <row r="634" spans="1:5">
      <c r="A634" s="413">
        <v>436816535</v>
      </c>
      <c r="B634" s="413">
        <v>627782617.46955895</v>
      </c>
      <c r="D634" s="413" t="s">
        <v>5682</v>
      </c>
      <c r="E634" s="413" t="s">
        <v>5683</v>
      </c>
    </row>
    <row r="635" spans="1:5">
      <c r="A635" s="413">
        <v>436920906</v>
      </c>
      <c r="B635" s="413">
        <v>627886988.47070098</v>
      </c>
      <c r="D635" s="413" t="s">
        <v>5684</v>
      </c>
      <c r="E635" s="413" t="s">
        <v>5685</v>
      </c>
    </row>
    <row r="636" spans="1:5">
      <c r="A636" s="413">
        <v>436989322</v>
      </c>
      <c r="B636" s="413">
        <v>627955404.47145998</v>
      </c>
      <c r="D636" s="413" t="s">
        <v>5686</v>
      </c>
      <c r="E636" s="413" t="s">
        <v>5687</v>
      </c>
    </row>
    <row r="637" spans="1:5">
      <c r="A637" s="413">
        <v>437043282</v>
      </c>
      <c r="B637" s="413">
        <v>628009364.472067</v>
      </c>
      <c r="D637" s="413" t="s">
        <v>5688</v>
      </c>
      <c r="E637" s="413" t="s">
        <v>5689</v>
      </c>
    </row>
    <row r="638" spans="1:5">
      <c r="A638" s="413">
        <v>437388843</v>
      </c>
      <c r="B638" s="413">
        <v>628354925.47586</v>
      </c>
      <c r="D638" s="413" t="s">
        <v>5690</v>
      </c>
      <c r="E638" s="413" t="s">
        <v>5691</v>
      </c>
    </row>
    <row r="639" spans="1:5">
      <c r="A639" s="413">
        <v>437525635</v>
      </c>
      <c r="B639" s="413">
        <v>628491717.47736597</v>
      </c>
      <c r="D639" s="413" t="s">
        <v>5692</v>
      </c>
      <c r="E639" s="413" t="s">
        <v>5693</v>
      </c>
    </row>
    <row r="640" spans="1:5">
      <c r="A640" s="413">
        <v>437590454</v>
      </c>
      <c r="B640" s="413">
        <v>628556536.478073</v>
      </c>
      <c r="D640" s="413" t="s">
        <v>5694</v>
      </c>
      <c r="E640" s="413" t="s">
        <v>5695</v>
      </c>
    </row>
    <row r="641" spans="1:5">
      <c r="A641" s="413">
        <v>437648017</v>
      </c>
      <c r="B641" s="413">
        <v>628614099.47871196</v>
      </c>
      <c r="D641" s="413" t="s">
        <v>5696</v>
      </c>
      <c r="E641" s="413" t="s">
        <v>5697</v>
      </c>
    </row>
    <row r="642" spans="1:5">
      <c r="A642" s="413">
        <v>437777682</v>
      </c>
      <c r="B642" s="413">
        <v>628743764.48015106</v>
      </c>
      <c r="D642" s="413" t="s">
        <v>5698</v>
      </c>
      <c r="E642" s="413" t="s">
        <v>5699</v>
      </c>
    </row>
    <row r="643" spans="1:5">
      <c r="A643" s="413">
        <v>437820800</v>
      </c>
      <c r="B643" s="413">
        <v>628786882.48061001</v>
      </c>
      <c r="D643" s="413" t="s">
        <v>5700</v>
      </c>
      <c r="E643" s="413" t="s">
        <v>5701</v>
      </c>
    </row>
    <row r="644" spans="1:5">
      <c r="A644" s="413">
        <v>438191575</v>
      </c>
      <c r="B644" s="413">
        <v>629157657.48466694</v>
      </c>
      <c r="D644" s="413" t="s">
        <v>5702</v>
      </c>
      <c r="E644" s="413" t="s">
        <v>5703</v>
      </c>
    </row>
    <row r="645" spans="1:5">
      <c r="A645" s="413">
        <v>438303171</v>
      </c>
      <c r="B645" s="413">
        <v>629269253.48589003</v>
      </c>
      <c r="D645" s="413" t="s">
        <v>5704</v>
      </c>
      <c r="E645" s="413" t="s">
        <v>5705</v>
      </c>
    </row>
    <row r="646" spans="1:5">
      <c r="A646" s="413">
        <v>438335545</v>
      </c>
      <c r="B646" s="413">
        <v>629301627.486251</v>
      </c>
      <c r="D646" s="413" t="s">
        <v>5706</v>
      </c>
      <c r="E646" s="413" t="s">
        <v>5707</v>
      </c>
    </row>
    <row r="647" spans="1:5">
      <c r="A647" s="413">
        <v>438562343</v>
      </c>
      <c r="B647" s="413">
        <v>629528425.48873699</v>
      </c>
      <c r="D647" s="413" t="s">
        <v>5708</v>
      </c>
      <c r="E647" s="413" t="s">
        <v>5709</v>
      </c>
    </row>
    <row r="648" spans="1:5">
      <c r="A648" s="413">
        <v>438623539</v>
      </c>
      <c r="B648" s="413">
        <v>629589621.489393</v>
      </c>
      <c r="D648" s="413" t="s">
        <v>5710</v>
      </c>
      <c r="E648" s="413" t="s">
        <v>5711</v>
      </c>
    </row>
    <row r="649" spans="1:5">
      <c r="A649" s="413">
        <v>438702716</v>
      </c>
      <c r="B649" s="413">
        <v>629668798.49025297</v>
      </c>
      <c r="D649" s="413" t="s">
        <v>5712</v>
      </c>
      <c r="E649" s="413" t="s">
        <v>5713</v>
      </c>
    </row>
    <row r="650" spans="1:5">
      <c r="A650" s="413">
        <v>438796324</v>
      </c>
      <c r="B650" s="413">
        <v>629762406.49128199</v>
      </c>
      <c r="D650" s="413" t="s">
        <v>5714</v>
      </c>
      <c r="E650" s="413" t="s">
        <v>5715</v>
      </c>
    </row>
    <row r="651" spans="1:5">
      <c r="A651" s="413">
        <v>438907914</v>
      </c>
      <c r="B651" s="413">
        <v>629873996.49251902</v>
      </c>
      <c r="D651" s="413" t="s">
        <v>5716</v>
      </c>
      <c r="E651" s="413" t="s">
        <v>5717</v>
      </c>
    </row>
    <row r="652" spans="1:5">
      <c r="A652" s="413">
        <v>438994306</v>
      </c>
      <c r="B652" s="413">
        <v>629960388.49346304</v>
      </c>
      <c r="D652" s="413" t="s">
        <v>5718</v>
      </c>
      <c r="E652" s="413" t="s">
        <v>5719</v>
      </c>
    </row>
    <row r="653" spans="1:5">
      <c r="A653" s="413">
        <v>438997904</v>
      </c>
      <c r="B653" s="413">
        <v>629963986.49351001</v>
      </c>
      <c r="D653" s="413" t="s">
        <v>5720</v>
      </c>
      <c r="E653" s="413" t="s">
        <v>5721</v>
      </c>
    </row>
    <row r="654" spans="1:5">
      <c r="A654" s="413">
        <v>439167085</v>
      </c>
      <c r="B654" s="413">
        <v>630133167.49531603</v>
      </c>
      <c r="D654" s="413" t="s">
        <v>5722</v>
      </c>
      <c r="E654" s="413" t="s">
        <v>5723</v>
      </c>
    </row>
    <row r="655" spans="1:5">
      <c r="A655" s="413">
        <v>439177859</v>
      </c>
      <c r="B655" s="413">
        <v>630143941.495453</v>
      </c>
      <c r="D655" s="413" t="s">
        <v>5724</v>
      </c>
      <c r="E655" s="413" t="s">
        <v>5725</v>
      </c>
    </row>
    <row r="656" spans="1:5">
      <c r="A656" s="413">
        <v>439314729</v>
      </c>
      <c r="B656" s="413">
        <v>630280811.49696505</v>
      </c>
      <c r="D656" s="413" t="s">
        <v>5726</v>
      </c>
      <c r="E656" s="413" t="s">
        <v>5727</v>
      </c>
    </row>
    <row r="657" spans="1:5">
      <c r="A657" s="413">
        <v>439476656</v>
      </c>
      <c r="B657" s="413">
        <v>630442738.49871898</v>
      </c>
      <c r="D657" s="413" t="s">
        <v>5728</v>
      </c>
      <c r="E657" s="413" t="s">
        <v>5729</v>
      </c>
    </row>
    <row r="658" spans="1:5">
      <c r="A658" s="413">
        <v>439771881</v>
      </c>
      <c r="B658" s="413">
        <v>630737963.50195396</v>
      </c>
      <c r="D658" s="413" t="s">
        <v>5730</v>
      </c>
      <c r="E658" s="413" t="s">
        <v>5731</v>
      </c>
    </row>
    <row r="659" spans="1:5">
      <c r="A659" s="413">
        <v>439858235</v>
      </c>
      <c r="B659" s="413">
        <v>630824317.50285399</v>
      </c>
      <c r="D659" s="413" t="s">
        <v>5732</v>
      </c>
      <c r="E659" s="413" t="s">
        <v>5733</v>
      </c>
    </row>
    <row r="660" spans="1:5">
      <c r="A660" s="413">
        <v>439944629</v>
      </c>
      <c r="B660" s="413">
        <v>630910711.50381196</v>
      </c>
      <c r="D660" s="413" t="s">
        <v>5734</v>
      </c>
      <c r="E660" s="413" t="s">
        <v>5735</v>
      </c>
    </row>
    <row r="661" spans="1:5">
      <c r="A661" s="413">
        <v>440023827</v>
      </c>
      <c r="B661" s="413">
        <v>630989909.50469697</v>
      </c>
      <c r="D661" s="413" t="s">
        <v>5736</v>
      </c>
      <c r="E661" s="413" t="s">
        <v>5737</v>
      </c>
    </row>
    <row r="662" spans="1:5">
      <c r="A662" s="413">
        <v>440376607</v>
      </c>
      <c r="B662" s="413">
        <v>631342689.50853598</v>
      </c>
      <c r="D662" s="413" t="s">
        <v>5738</v>
      </c>
      <c r="E662" s="413" t="s">
        <v>5739</v>
      </c>
    </row>
    <row r="663" spans="1:5">
      <c r="A663" s="413">
        <v>440434226</v>
      </c>
      <c r="B663" s="413">
        <v>631400308.50917399</v>
      </c>
      <c r="D663" s="413" t="s">
        <v>5740</v>
      </c>
      <c r="E663" s="413" t="s">
        <v>5741</v>
      </c>
    </row>
    <row r="664" spans="1:5">
      <c r="A664" s="413">
        <v>440549395</v>
      </c>
      <c r="B664" s="413">
        <v>631515477.510414</v>
      </c>
      <c r="D664" s="413" t="s">
        <v>5742</v>
      </c>
      <c r="E664" s="413" t="s">
        <v>5743</v>
      </c>
    </row>
    <row r="665" spans="1:5">
      <c r="A665" s="413">
        <v>440607017</v>
      </c>
      <c r="B665" s="413">
        <v>631573099.51108205</v>
      </c>
      <c r="D665" s="413" t="s">
        <v>5744</v>
      </c>
      <c r="E665" s="413" t="s">
        <v>5745</v>
      </c>
    </row>
    <row r="666" spans="1:5">
      <c r="A666" s="413">
        <v>440682586</v>
      </c>
      <c r="B666" s="413">
        <v>631648668.51188195</v>
      </c>
      <c r="D666" s="413" t="s">
        <v>5746</v>
      </c>
      <c r="E666" s="413" t="s">
        <v>5747</v>
      </c>
    </row>
    <row r="667" spans="1:5">
      <c r="A667" s="413">
        <v>440808587</v>
      </c>
      <c r="B667" s="413">
        <v>631774669.51323998</v>
      </c>
      <c r="D667" s="413" t="s">
        <v>5748</v>
      </c>
      <c r="E667" s="413" t="s">
        <v>5749</v>
      </c>
    </row>
    <row r="668" spans="1:5">
      <c r="A668" s="413">
        <v>440981379</v>
      </c>
      <c r="B668" s="413">
        <v>631947461.51511502</v>
      </c>
      <c r="D668" s="413" t="s">
        <v>5750</v>
      </c>
      <c r="E668" s="413" t="s">
        <v>5751</v>
      </c>
    </row>
    <row r="669" spans="1:5">
      <c r="A669" s="413">
        <v>441064176</v>
      </c>
      <c r="B669" s="413">
        <v>632030258.51602197</v>
      </c>
      <c r="D669" s="413" t="s">
        <v>5752</v>
      </c>
      <c r="E669" s="413" t="s">
        <v>5753</v>
      </c>
    </row>
    <row r="670" spans="1:5">
      <c r="A670" s="413">
        <v>441154172</v>
      </c>
      <c r="B670" s="413">
        <v>632120254.51699996</v>
      </c>
      <c r="D670" s="413" t="s">
        <v>5754</v>
      </c>
      <c r="E670" s="413" t="s">
        <v>5755</v>
      </c>
    </row>
    <row r="671" spans="1:5">
      <c r="A671" s="413">
        <v>441161347</v>
      </c>
      <c r="B671" s="413">
        <v>632127429.517084</v>
      </c>
      <c r="D671" s="413" t="s">
        <v>5756</v>
      </c>
      <c r="E671" s="413" t="s">
        <v>5757</v>
      </c>
    </row>
    <row r="672" spans="1:5">
      <c r="A672" s="413">
        <v>441287360</v>
      </c>
      <c r="B672" s="413">
        <v>632253442.518448</v>
      </c>
      <c r="D672" s="413" t="s">
        <v>5758</v>
      </c>
      <c r="E672" s="413" t="s">
        <v>5759</v>
      </c>
    </row>
    <row r="673" spans="1:5">
      <c r="A673" s="413">
        <v>441370159</v>
      </c>
      <c r="B673" s="413">
        <v>632336241.51935101</v>
      </c>
      <c r="D673" s="413" t="s">
        <v>5760</v>
      </c>
      <c r="E673" s="413" t="s">
        <v>5761</v>
      </c>
    </row>
    <row r="674" spans="1:5">
      <c r="A674" s="413">
        <v>441499761</v>
      </c>
      <c r="B674" s="413">
        <v>632465843.52076101</v>
      </c>
      <c r="D674" s="413" t="s">
        <v>5762</v>
      </c>
      <c r="E674" s="413" t="s">
        <v>5763</v>
      </c>
    </row>
    <row r="675" spans="1:5">
      <c r="A675" s="413">
        <v>441553776</v>
      </c>
      <c r="B675" s="413">
        <v>632519858.52135301</v>
      </c>
      <c r="D675" s="413" t="s">
        <v>5764</v>
      </c>
      <c r="E675" s="413" t="s">
        <v>5765</v>
      </c>
    </row>
    <row r="676" spans="1:5">
      <c r="A676" s="413">
        <v>441611347</v>
      </c>
      <c r="B676" s="413">
        <v>632577429.52199399</v>
      </c>
      <c r="D676" s="413" t="s">
        <v>5766</v>
      </c>
      <c r="E676" s="413" t="s">
        <v>5767</v>
      </c>
    </row>
    <row r="677" spans="1:5">
      <c r="A677" s="413">
        <v>441726571</v>
      </c>
      <c r="B677" s="413">
        <v>632692653.52324104</v>
      </c>
      <c r="D677" s="413" t="s">
        <v>5768</v>
      </c>
      <c r="E677" s="413" t="s">
        <v>5769</v>
      </c>
    </row>
    <row r="678" spans="1:5">
      <c r="A678" s="413">
        <v>441830951</v>
      </c>
      <c r="B678" s="413">
        <v>632797033.524369</v>
      </c>
      <c r="D678" s="413" t="s">
        <v>5770</v>
      </c>
      <c r="E678" s="413" t="s">
        <v>5771</v>
      </c>
    </row>
    <row r="679" spans="1:5">
      <c r="A679" s="413">
        <v>442190941</v>
      </c>
      <c r="B679" s="413">
        <v>633157023.52827096</v>
      </c>
      <c r="D679" s="413" t="s">
        <v>5772</v>
      </c>
      <c r="E679" s="413" t="s">
        <v>5773</v>
      </c>
    </row>
    <row r="680" spans="1:5">
      <c r="A680" s="413">
        <v>442273770</v>
      </c>
      <c r="B680" s="413">
        <v>633239852.529199</v>
      </c>
      <c r="D680" s="413" t="s">
        <v>5774</v>
      </c>
      <c r="E680" s="413" t="s">
        <v>5775</v>
      </c>
    </row>
    <row r="681" spans="1:5">
      <c r="A681" s="413">
        <v>442316932</v>
      </c>
      <c r="B681" s="413">
        <v>633283014.52966297</v>
      </c>
      <c r="D681" s="413" t="s">
        <v>5776</v>
      </c>
      <c r="E681" s="413" t="s">
        <v>5777</v>
      </c>
    </row>
    <row r="682" spans="1:5">
      <c r="A682" s="413">
        <v>442622935</v>
      </c>
      <c r="B682" s="413">
        <v>633589017.53299105</v>
      </c>
      <c r="D682" s="413" t="s">
        <v>5778</v>
      </c>
      <c r="E682" s="413" t="s">
        <v>5779</v>
      </c>
    </row>
    <row r="683" spans="1:5">
      <c r="A683" s="413">
        <v>442691334</v>
      </c>
      <c r="B683" s="413">
        <v>633657416.53374398</v>
      </c>
      <c r="D683" s="413" t="s">
        <v>5780</v>
      </c>
      <c r="E683" s="413" t="s">
        <v>5781</v>
      </c>
    </row>
    <row r="684" spans="1:5">
      <c r="A684" s="413">
        <v>442871342</v>
      </c>
      <c r="B684" s="413">
        <v>633837424.53568006</v>
      </c>
      <c r="D684" s="413" t="s">
        <v>5782</v>
      </c>
      <c r="E684" s="413" t="s">
        <v>5783</v>
      </c>
    </row>
    <row r="685" spans="1:5">
      <c r="A685" s="413">
        <v>442903726</v>
      </c>
      <c r="B685" s="413">
        <v>633869808.53608894</v>
      </c>
      <c r="D685" s="413" t="s">
        <v>5784</v>
      </c>
      <c r="E685" s="413" t="s">
        <v>5785</v>
      </c>
    </row>
    <row r="686" spans="1:5">
      <c r="A686" s="413">
        <v>443018941</v>
      </c>
      <c r="B686" s="413">
        <v>633985023.53733504</v>
      </c>
      <c r="D686" s="413" t="s">
        <v>5786</v>
      </c>
      <c r="E686" s="413" t="s">
        <v>5787</v>
      </c>
    </row>
    <row r="687" spans="1:5">
      <c r="A687" s="413">
        <v>443220562</v>
      </c>
      <c r="B687" s="413">
        <v>634186644.53954899</v>
      </c>
      <c r="D687" s="413" t="s">
        <v>5788</v>
      </c>
      <c r="E687" s="413" t="s">
        <v>5789</v>
      </c>
    </row>
    <row r="688" spans="1:5">
      <c r="A688" s="413">
        <v>443393360</v>
      </c>
      <c r="B688" s="413">
        <v>634359442.54143596</v>
      </c>
      <c r="D688" s="413" t="s">
        <v>5790</v>
      </c>
      <c r="E688" s="413" t="s">
        <v>5791</v>
      </c>
    </row>
    <row r="689" spans="1:5">
      <c r="A689" s="413">
        <v>443487023</v>
      </c>
      <c r="B689" s="413">
        <v>634453105.542431</v>
      </c>
      <c r="D689" s="413" t="s">
        <v>5792</v>
      </c>
      <c r="E689" s="413" t="s">
        <v>5793</v>
      </c>
    </row>
    <row r="690" spans="1:5">
      <c r="A690" s="413">
        <v>443555337</v>
      </c>
      <c r="B690" s="413">
        <v>634521419.54319406</v>
      </c>
      <c r="D690" s="413" t="s">
        <v>5794</v>
      </c>
      <c r="E690" s="413" t="s">
        <v>5795</v>
      </c>
    </row>
    <row r="691" spans="1:5">
      <c r="A691" s="413">
        <v>443623754</v>
      </c>
      <c r="B691" s="413">
        <v>634589836.54395294</v>
      </c>
      <c r="D691" s="413" t="s">
        <v>5796</v>
      </c>
      <c r="E691" s="413" t="s">
        <v>5797</v>
      </c>
    </row>
    <row r="692" spans="1:5">
      <c r="A692" s="413">
        <v>443738968</v>
      </c>
      <c r="B692" s="413">
        <v>634705050.54517496</v>
      </c>
      <c r="D692" s="413" t="s">
        <v>5798</v>
      </c>
      <c r="E692" s="413" t="s">
        <v>5799</v>
      </c>
    </row>
    <row r="693" spans="1:5">
      <c r="A693" s="413">
        <v>443803739</v>
      </c>
      <c r="B693" s="413">
        <v>634769821.54589903</v>
      </c>
      <c r="D693" s="413" t="s">
        <v>5800</v>
      </c>
      <c r="E693" s="413" t="s">
        <v>5801</v>
      </c>
    </row>
    <row r="694" spans="1:5">
      <c r="A694" s="413">
        <v>444005428</v>
      </c>
      <c r="B694" s="413">
        <v>634971510.54812896</v>
      </c>
      <c r="D694" s="413" t="s">
        <v>5802</v>
      </c>
      <c r="E694" s="413" t="s">
        <v>5803</v>
      </c>
    </row>
    <row r="695" spans="1:5">
      <c r="A695" s="413">
        <v>444091829</v>
      </c>
      <c r="B695" s="413">
        <v>635057911.54902899</v>
      </c>
      <c r="D695" s="413" t="s">
        <v>5804</v>
      </c>
      <c r="E695" s="413" t="s">
        <v>5805</v>
      </c>
    </row>
    <row r="696" spans="1:5">
      <c r="A696" s="413">
        <v>444167373</v>
      </c>
      <c r="B696" s="413">
        <v>635133455.54989898</v>
      </c>
      <c r="D696" s="413" t="s">
        <v>5806</v>
      </c>
      <c r="E696" s="413" t="s">
        <v>5807</v>
      </c>
    </row>
    <row r="697" spans="1:5">
      <c r="A697" s="413">
        <v>444224952</v>
      </c>
      <c r="B697" s="413">
        <v>635191034.55497003</v>
      </c>
      <c r="D697" s="413" t="s">
        <v>5808</v>
      </c>
      <c r="E697" s="413" t="s">
        <v>5809</v>
      </c>
    </row>
    <row r="698" spans="1:5">
      <c r="A698" s="413">
        <v>444426578</v>
      </c>
      <c r="B698" s="413">
        <v>635392660.55723798</v>
      </c>
      <c r="D698" s="413" t="s">
        <v>5810</v>
      </c>
      <c r="E698" s="413" t="s">
        <v>5811</v>
      </c>
    </row>
    <row r="699" spans="1:5">
      <c r="A699" s="413">
        <v>444599378</v>
      </c>
      <c r="B699" s="413">
        <v>635565460.55915201</v>
      </c>
      <c r="D699" s="413" t="s">
        <v>5812</v>
      </c>
      <c r="E699" s="413" t="s">
        <v>5813</v>
      </c>
    </row>
    <row r="700" spans="1:5">
      <c r="A700" s="413">
        <v>444693042</v>
      </c>
      <c r="B700" s="413">
        <v>635659124.56018305</v>
      </c>
      <c r="D700" s="413" t="s">
        <v>5814</v>
      </c>
      <c r="E700" s="413" t="s">
        <v>5815</v>
      </c>
    </row>
    <row r="701" spans="1:5">
      <c r="A701" s="413">
        <v>444743370</v>
      </c>
      <c r="B701" s="413">
        <v>635709452.56075394</v>
      </c>
      <c r="D701" s="413" t="s">
        <v>5816</v>
      </c>
      <c r="E701" s="413" t="s">
        <v>5817</v>
      </c>
    </row>
    <row r="702" spans="1:5">
      <c r="A702" s="413">
        <v>444829775</v>
      </c>
      <c r="B702" s="413">
        <v>635795857.56173098</v>
      </c>
      <c r="D702" s="413" t="s">
        <v>5818</v>
      </c>
      <c r="E702" s="413" t="s">
        <v>5819</v>
      </c>
    </row>
    <row r="703" spans="1:5">
      <c r="A703" s="413">
        <v>444916181</v>
      </c>
      <c r="B703" s="413">
        <v>635882263.56269395</v>
      </c>
      <c r="D703" s="413" t="s">
        <v>5820</v>
      </c>
      <c r="E703" s="413" t="s">
        <v>5821</v>
      </c>
    </row>
    <row r="704" spans="1:5">
      <c r="A704" s="413">
        <v>444980965</v>
      </c>
      <c r="B704" s="413">
        <v>635947047.56338096</v>
      </c>
      <c r="D704" s="413" t="s">
        <v>5822</v>
      </c>
      <c r="E704" s="413" t="s">
        <v>5823</v>
      </c>
    </row>
    <row r="705" spans="1:5">
      <c r="A705" s="413">
        <v>445067362</v>
      </c>
      <c r="B705" s="413">
        <v>636033444.56436598</v>
      </c>
      <c r="D705" s="413" t="s">
        <v>5824</v>
      </c>
      <c r="E705" s="413" t="s">
        <v>5825</v>
      </c>
    </row>
    <row r="706" spans="1:5">
      <c r="A706" s="413">
        <v>445211461</v>
      </c>
      <c r="B706" s="413">
        <v>636177543.56599295</v>
      </c>
      <c r="D706" s="413" t="s">
        <v>5826</v>
      </c>
      <c r="E706" s="413" t="s">
        <v>5827</v>
      </c>
    </row>
    <row r="707" spans="1:5">
      <c r="A707" s="413">
        <v>445279769</v>
      </c>
      <c r="B707" s="413">
        <v>636245851.56675196</v>
      </c>
      <c r="D707" s="413" t="s">
        <v>5828</v>
      </c>
      <c r="E707" s="413" t="s">
        <v>5829</v>
      </c>
    </row>
    <row r="708" spans="1:5">
      <c r="A708" s="413">
        <v>445373396</v>
      </c>
      <c r="B708" s="413">
        <v>636339478.56780696</v>
      </c>
      <c r="D708" s="413" t="s">
        <v>5830</v>
      </c>
      <c r="E708" s="413" t="s">
        <v>5831</v>
      </c>
    </row>
    <row r="709" spans="1:5">
      <c r="A709" s="413">
        <v>445546207</v>
      </c>
      <c r="B709" s="413">
        <v>636512289.56975198</v>
      </c>
      <c r="D709" s="413" t="s">
        <v>5832</v>
      </c>
      <c r="E709" s="413" t="s">
        <v>5833</v>
      </c>
    </row>
    <row r="710" spans="1:5">
      <c r="A710" s="413">
        <v>445647074</v>
      </c>
      <c r="B710" s="413">
        <v>636613156.57083905</v>
      </c>
      <c r="D710" s="413" t="s">
        <v>5834</v>
      </c>
      <c r="E710" s="413" t="s">
        <v>5835</v>
      </c>
    </row>
    <row r="711" spans="1:5">
      <c r="A711" s="413">
        <v>445719017</v>
      </c>
      <c r="B711" s="413">
        <v>636685099.57168901</v>
      </c>
      <c r="D711" s="413" t="s">
        <v>5836</v>
      </c>
      <c r="E711" s="413" t="s">
        <v>5837</v>
      </c>
    </row>
    <row r="712" spans="1:5">
      <c r="A712" s="413">
        <v>445819881</v>
      </c>
      <c r="B712" s="413">
        <v>636785963.57280195</v>
      </c>
      <c r="D712" s="413" t="s">
        <v>5838</v>
      </c>
      <c r="E712" s="413" t="s">
        <v>5839</v>
      </c>
    </row>
    <row r="713" spans="1:5">
      <c r="A713" s="413">
        <v>445891817</v>
      </c>
      <c r="B713" s="413">
        <v>636857899.57364094</v>
      </c>
      <c r="D713" s="413" t="s">
        <v>5840</v>
      </c>
      <c r="E713" s="413" t="s">
        <v>5841</v>
      </c>
    </row>
    <row r="714" spans="1:5">
      <c r="A714" s="413">
        <v>445960192</v>
      </c>
      <c r="B714" s="413">
        <v>636926274.57437003</v>
      </c>
      <c r="D714" s="413" t="s">
        <v>5842</v>
      </c>
      <c r="E714" s="413" t="s">
        <v>5843</v>
      </c>
    </row>
    <row r="715" spans="1:5">
      <c r="A715" s="413">
        <v>446061011</v>
      </c>
      <c r="B715" s="413">
        <v>637027093.57552004</v>
      </c>
      <c r="D715" s="413" t="s">
        <v>5844</v>
      </c>
      <c r="E715" s="413" t="s">
        <v>5845</v>
      </c>
    </row>
    <row r="716" spans="1:5">
      <c r="A716" s="413">
        <v>446132997</v>
      </c>
      <c r="B716" s="413">
        <v>637099079.57632899</v>
      </c>
      <c r="D716" s="413" t="s">
        <v>5846</v>
      </c>
      <c r="E716" s="413" t="s">
        <v>5847</v>
      </c>
    </row>
    <row r="717" spans="1:5">
      <c r="A717" s="413">
        <v>446280598</v>
      </c>
      <c r="B717" s="413">
        <v>637246680.577986</v>
      </c>
      <c r="D717" s="413" t="s">
        <v>5848</v>
      </c>
      <c r="E717" s="413" t="s">
        <v>5849</v>
      </c>
    </row>
    <row r="718" spans="1:5">
      <c r="A718" s="413">
        <v>446424692</v>
      </c>
      <c r="B718" s="413">
        <v>637390774.579597</v>
      </c>
      <c r="D718" s="413" t="s">
        <v>5850</v>
      </c>
      <c r="E718" s="413" t="s">
        <v>5851</v>
      </c>
    </row>
    <row r="719" spans="1:5">
      <c r="A719" s="413">
        <v>446489425</v>
      </c>
      <c r="B719" s="413">
        <v>637455507.580351</v>
      </c>
      <c r="D719" s="413" t="s">
        <v>5852</v>
      </c>
      <c r="E719" s="413" t="s">
        <v>5853</v>
      </c>
    </row>
    <row r="720" spans="1:5">
      <c r="A720" s="413">
        <v>446565015</v>
      </c>
      <c r="B720" s="413">
        <v>637531097.58118403</v>
      </c>
      <c r="D720" s="413" t="s">
        <v>5854</v>
      </c>
      <c r="E720" s="413" t="s">
        <v>5855</v>
      </c>
    </row>
    <row r="721" spans="1:5">
      <c r="A721" s="413">
        <v>446665846</v>
      </c>
      <c r="B721" s="413">
        <v>637631928.58234</v>
      </c>
      <c r="D721" s="413" t="s">
        <v>5856</v>
      </c>
      <c r="E721" s="413" t="s">
        <v>5857</v>
      </c>
    </row>
    <row r="722" spans="1:5">
      <c r="A722" s="413">
        <v>446709021</v>
      </c>
      <c r="B722" s="413">
        <v>637675103.58280694</v>
      </c>
      <c r="D722" s="413" t="s">
        <v>5858</v>
      </c>
      <c r="E722" s="413" t="s">
        <v>5859</v>
      </c>
    </row>
    <row r="723" spans="1:5">
      <c r="A723" s="413">
        <v>446802621</v>
      </c>
      <c r="B723" s="413">
        <v>637768703.58388305</v>
      </c>
      <c r="D723" s="413" t="s">
        <v>5860</v>
      </c>
      <c r="E723" s="413" t="s">
        <v>5861</v>
      </c>
    </row>
    <row r="724" spans="1:5">
      <c r="A724" s="413">
        <v>446878230</v>
      </c>
      <c r="B724" s="413">
        <v>637844312.58471</v>
      </c>
      <c r="D724" s="413" t="s">
        <v>5862</v>
      </c>
      <c r="E724" s="413" t="s">
        <v>5863</v>
      </c>
    </row>
    <row r="725" spans="1:5">
      <c r="A725" s="413">
        <v>447018714</v>
      </c>
      <c r="B725" s="413">
        <v>637984796.58629596</v>
      </c>
      <c r="D725" s="413" t="s">
        <v>5864</v>
      </c>
      <c r="E725" s="413" t="s">
        <v>5865</v>
      </c>
    </row>
    <row r="726" spans="1:5">
      <c r="A726" s="413">
        <v>447069053</v>
      </c>
      <c r="B726" s="413">
        <v>638035135.58689499</v>
      </c>
      <c r="D726" s="413" t="s">
        <v>5866</v>
      </c>
      <c r="E726" s="413" t="s">
        <v>5867</v>
      </c>
    </row>
    <row r="727" spans="1:5">
      <c r="A727" s="413">
        <v>447241871</v>
      </c>
      <c r="B727" s="413">
        <v>638207953.58884799</v>
      </c>
      <c r="D727" s="413" t="s">
        <v>5868</v>
      </c>
      <c r="E727" s="413" t="s">
        <v>5869</v>
      </c>
    </row>
    <row r="728" spans="1:5">
      <c r="A728" s="413">
        <v>447357084</v>
      </c>
      <c r="B728" s="413">
        <v>638323166.59015405</v>
      </c>
      <c r="D728" s="413" t="s">
        <v>5870</v>
      </c>
      <c r="E728" s="413" t="s">
        <v>5871</v>
      </c>
    </row>
    <row r="729" spans="1:5">
      <c r="A729" s="413">
        <v>447411057</v>
      </c>
      <c r="B729" s="413">
        <v>638377139.59075606</v>
      </c>
      <c r="D729" s="413" t="s">
        <v>5872</v>
      </c>
      <c r="E729" s="413" t="s">
        <v>5873</v>
      </c>
    </row>
    <row r="730" spans="1:5">
      <c r="A730" s="413">
        <v>447486652</v>
      </c>
      <c r="B730" s="413">
        <v>638452734.59160995</v>
      </c>
      <c r="D730" s="413" t="s">
        <v>5874</v>
      </c>
      <c r="E730" s="413" t="s">
        <v>5875</v>
      </c>
    </row>
    <row r="731" spans="1:5">
      <c r="A731" s="413">
        <v>447587489</v>
      </c>
      <c r="B731" s="413">
        <v>638553571.59275603</v>
      </c>
      <c r="D731" s="413" t="s">
        <v>5876</v>
      </c>
      <c r="E731" s="413" t="s">
        <v>5877</v>
      </c>
    </row>
    <row r="732" spans="1:5">
      <c r="A732" s="413">
        <v>447720754</v>
      </c>
      <c r="B732" s="413">
        <v>638686836.59428596</v>
      </c>
      <c r="D732" s="413" t="s">
        <v>5878</v>
      </c>
      <c r="E732" s="413" t="s">
        <v>5879</v>
      </c>
    </row>
    <row r="733" spans="1:5">
      <c r="A733" s="413">
        <v>447789102</v>
      </c>
      <c r="B733" s="413">
        <v>638755184.59505796</v>
      </c>
      <c r="D733" s="413" t="s">
        <v>5880</v>
      </c>
      <c r="E733" s="413" t="s">
        <v>5881</v>
      </c>
    </row>
    <row r="734" spans="1:5">
      <c r="A734" s="413">
        <v>447951086</v>
      </c>
      <c r="B734" s="413">
        <v>638917168.59687805</v>
      </c>
      <c r="D734" s="413" t="s">
        <v>5882</v>
      </c>
      <c r="E734" s="413" t="s">
        <v>5883</v>
      </c>
    </row>
    <row r="735" spans="1:5">
      <c r="A735" s="413">
        <v>448120292</v>
      </c>
      <c r="B735" s="413">
        <v>639086374.59880602</v>
      </c>
      <c r="D735" s="413" t="s">
        <v>5884</v>
      </c>
      <c r="E735" s="413" t="s">
        <v>5885</v>
      </c>
    </row>
    <row r="736" spans="1:5">
      <c r="A736" s="413">
        <v>448239189</v>
      </c>
      <c r="B736" s="413">
        <v>639205271.60016</v>
      </c>
      <c r="D736" s="413" t="s">
        <v>5886</v>
      </c>
      <c r="E736" s="413" t="s">
        <v>5887</v>
      </c>
    </row>
    <row r="737" spans="1:5">
      <c r="A737" s="413">
        <v>448303916</v>
      </c>
      <c r="B737" s="413">
        <v>639269998.60090399</v>
      </c>
      <c r="D737" s="413" t="s">
        <v>5888</v>
      </c>
      <c r="E737" s="413" t="s">
        <v>5889</v>
      </c>
    </row>
    <row r="738" spans="1:5">
      <c r="A738" s="413">
        <v>448465910</v>
      </c>
      <c r="B738" s="413">
        <v>639431992.60273397</v>
      </c>
      <c r="D738" s="413" t="s">
        <v>5890</v>
      </c>
      <c r="E738" s="413" t="s">
        <v>5891</v>
      </c>
    </row>
    <row r="739" spans="1:5">
      <c r="A739" s="413">
        <v>448563171</v>
      </c>
      <c r="B739" s="413">
        <v>639529253.60386801</v>
      </c>
      <c r="D739" s="413" t="s">
        <v>5892</v>
      </c>
      <c r="E739" s="413" t="s">
        <v>5893</v>
      </c>
    </row>
    <row r="740" spans="1:5">
      <c r="A740" s="413">
        <v>448649546</v>
      </c>
      <c r="B740" s="413">
        <v>639615628.60483694</v>
      </c>
      <c r="D740" s="413" t="s">
        <v>5894</v>
      </c>
      <c r="E740" s="413" t="s">
        <v>5895</v>
      </c>
    </row>
    <row r="741" spans="1:5">
      <c r="A741" s="413">
        <v>448743220</v>
      </c>
      <c r="B741" s="413">
        <v>639709302.60590303</v>
      </c>
      <c r="D741" s="413" t="s">
        <v>5896</v>
      </c>
      <c r="E741" s="413" t="s">
        <v>5897</v>
      </c>
    </row>
    <row r="742" spans="1:5">
      <c r="A742" s="413">
        <v>448793549</v>
      </c>
      <c r="B742" s="413">
        <v>639759631.60649395</v>
      </c>
      <c r="D742" s="413" t="s">
        <v>5898</v>
      </c>
      <c r="E742" s="413" t="s">
        <v>5899</v>
      </c>
    </row>
    <row r="743" spans="1:5">
      <c r="A743" s="413">
        <v>448908766</v>
      </c>
      <c r="B743" s="413">
        <v>639874848.60780001</v>
      </c>
      <c r="D743" s="413" t="s">
        <v>5900</v>
      </c>
      <c r="E743" s="413" t="s">
        <v>5901</v>
      </c>
    </row>
    <row r="744" spans="1:5">
      <c r="A744" s="413">
        <v>449103227</v>
      </c>
      <c r="B744" s="413">
        <v>640069309.61004198</v>
      </c>
      <c r="D744" s="413" t="s">
        <v>5902</v>
      </c>
      <c r="E744" s="413" t="s">
        <v>5903</v>
      </c>
    </row>
    <row r="745" spans="1:5">
      <c r="A745" s="413">
        <v>449164377</v>
      </c>
      <c r="B745" s="413">
        <v>640130459.61071897</v>
      </c>
      <c r="D745" s="413" t="s">
        <v>5904</v>
      </c>
      <c r="E745" s="413" t="s">
        <v>5905</v>
      </c>
    </row>
    <row r="746" spans="1:5">
      <c r="A746" s="413">
        <v>449243551</v>
      </c>
      <c r="B746" s="413">
        <v>640209633.61162305</v>
      </c>
      <c r="D746" s="413" t="s">
        <v>5906</v>
      </c>
      <c r="E746" s="413" t="s">
        <v>5907</v>
      </c>
    </row>
    <row r="747" spans="1:5">
      <c r="A747" s="413">
        <v>449391176</v>
      </c>
      <c r="B747" s="413">
        <v>640357258.61332202</v>
      </c>
      <c r="D747" s="413" t="s">
        <v>5908</v>
      </c>
      <c r="E747" s="413" t="s">
        <v>5909</v>
      </c>
    </row>
    <row r="748" spans="1:5">
      <c r="A748" s="413">
        <v>449509997</v>
      </c>
      <c r="B748" s="413">
        <v>640476079.61467505</v>
      </c>
      <c r="D748" s="413" t="s">
        <v>5910</v>
      </c>
      <c r="E748" s="413" t="s">
        <v>5911</v>
      </c>
    </row>
    <row r="749" spans="1:5">
      <c r="A749" s="413">
        <v>449592776</v>
      </c>
      <c r="B749" s="413">
        <v>640558858.61563599</v>
      </c>
      <c r="D749" s="413" t="s">
        <v>5912</v>
      </c>
      <c r="E749" s="413" t="s">
        <v>5913</v>
      </c>
    </row>
    <row r="750" spans="1:5">
      <c r="A750" s="413">
        <v>449690067</v>
      </c>
      <c r="B750" s="413">
        <v>640656149.61672795</v>
      </c>
      <c r="D750" s="413" t="s">
        <v>5914</v>
      </c>
      <c r="E750" s="413" t="s">
        <v>5915</v>
      </c>
    </row>
    <row r="751" spans="1:5">
      <c r="A751" s="413">
        <v>449740448</v>
      </c>
      <c r="B751" s="413">
        <v>640706530.61732197</v>
      </c>
      <c r="D751" s="413" t="s">
        <v>5916</v>
      </c>
      <c r="E751" s="413" t="s">
        <v>5917</v>
      </c>
    </row>
    <row r="752" spans="1:5">
      <c r="A752" s="413">
        <v>450028467</v>
      </c>
      <c r="B752" s="413">
        <v>640994549.62064004</v>
      </c>
      <c r="D752" s="413" t="s">
        <v>5918</v>
      </c>
      <c r="E752" s="413" t="s">
        <v>5919</v>
      </c>
    </row>
    <row r="753" spans="1:5">
      <c r="A753" s="413">
        <v>450428058</v>
      </c>
      <c r="B753" s="413">
        <v>641394140.62520397</v>
      </c>
      <c r="D753" s="413" t="s">
        <v>5920</v>
      </c>
      <c r="E753" s="413" t="s">
        <v>5921</v>
      </c>
    </row>
    <row r="754" spans="1:5">
      <c r="A754" s="413">
        <v>450644114</v>
      </c>
      <c r="B754" s="413">
        <v>641610196.62767804</v>
      </c>
      <c r="D754" s="413" t="s">
        <v>5922</v>
      </c>
      <c r="E754" s="413" t="s">
        <v>5923</v>
      </c>
    </row>
    <row r="755" spans="1:5">
      <c r="A755" s="413">
        <v>450906928</v>
      </c>
      <c r="B755" s="413">
        <v>641873010.63070798</v>
      </c>
      <c r="D755" s="413" t="s">
        <v>5924</v>
      </c>
      <c r="E755" s="413" t="s">
        <v>5925</v>
      </c>
    </row>
    <row r="756" spans="1:5">
      <c r="A756" s="413">
        <v>451234531</v>
      </c>
      <c r="B756" s="413">
        <v>642200613.63448906</v>
      </c>
      <c r="D756" s="413" t="s">
        <v>5926</v>
      </c>
      <c r="E756" s="413" t="s">
        <v>5927</v>
      </c>
    </row>
    <row r="757" spans="1:5">
      <c r="A757" s="413">
        <v>451551334</v>
      </c>
      <c r="B757" s="413">
        <v>642517416.63813698</v>
      </c>
      <c r="D757" s="413" t="s">
        <v>5928</v>
      </c>
      <c r="E757" s="413" t="s">
        <v>5929</v>
      </c>
    </row>
    <row r="758" spans="1:5">
      <c r="A758" s="413">
        <v>451846540</v>
      </c>
      <c r="B758" s="413">
        <v>642812622.64153397</v>
      </c>
      <c r="D758" s="413" t="s">
        <v>5930</v>
      </c>
      <c r="E758" s="413" t="s">
        <v>5931</v>
      </c>
    </row>
    <row r="759" spans="1:5">
      <c r="A759" s="413">
        <v>452181363</v>
      </c>
      <c r="B759" s="413">
        <v>643147445.64541495</v>
      </c>
      <c r="D759" s="413" t="s">
        <v>5932</v>
      </c>
      <c r="E759" s="413" t="s">
        <v>5933</v>
      </c>
    </row>
    <row r="760" spans="1:5">
      <c r="A760" s="413">
        <v>452473881</v>
      </c>
      <c r="B760" s="413">
        <v>643439963.64875996</v>
      </c>
      <c r="D760" s="413" t="s">
        <v>5934</v>
      </c>
      <c r="E760" s="413" t="s">
        <v>5935</v>
      </c>
    </row>
    <row r="761" spans="1:5">
      <c r="A761" s="413">
        <v>452498127</v>
      </c>
      <c r="B761" s="413">
        <v>643464209.649055</v>
      </c>
      <c r="D761" s="413" t="s">
        <v>5936</v>
      </c>
      <c r="E761" s="413" t="s">
        <v>5937</v>
      </c>
    </row>
    <row r="762" spans="1:5">
      <c r="A762" s="413">
        <v>452818581</v>
      </c>
      <c r="B762" s="413">
        <v>643784663.65274203</v>
      </c>
      <c r="D762" s="413" t="s">
        <v>5938</v>
      </c>
      <c r="E762" s="413" t="s">
        <v>5939</v>
      </c>
    </row>
    <row r="763" spans="1:5">
      <c r="A763" s="413">
        <v>452840135</v>
      </c>
      <c r="B763" s="413">
        <v>643806217.65300298</v>
      </c>
      <c r="D763" s="413" t="s">
        <v>5940</v>
      </c>
      <c r="E763" s="413" t="s">
        <v>5941</v>
      </c>
    </row>
    <row r="764" spans="1:5">
      <c r="A764" s="413">
        <v>453077782</v>
      </c>
      <c r="B764" s="413">
        <v>644043864.65573394</v>
      </c>
      <c r="D764" s="413" t="s">
        <v>5942</v>
      </c>
      <c r="E764" s="413" t="s">
        <v>5943</v>
      </c>
    </row>
    <row r="765" spans="1:5">
      <c r="A765" s="413">
        <v>453138987</v>
      </c>
      <c r="B765" s="413">
        <v>644105069.65645397</v>
      </c>
      <c r="D765" s="413" t="s">
        <v>5944</v>
      </c>
      <c r="E765" s="413" t="s">
        <v>5945</v>
      </c>
    </row>
    <row r="766" spans="1:5">
      <c r="A766" s="413">
        <v>453336996</v>
      </c>
      <c r="B766" s="413">
        <v>644303078.65872896</v>
      </c>
      <c r="D766" s="413" t="s">
        <v>5946</v>
      </c>
      <c r="E766" s="413" t="s">
        <v>5947</v>
      </c>
    </row>
    <row r="767" spans="1:5">
      <c r="A767" s="413">
        <v>453358577</v>
      </c>
      <c r="B767" s="413">
        <v>644324659.65901005</v>
      </c>
      <c r="D767" s="413" t="s">
        <v>5948</v>
      </c>
      <c r="E767" s="413" t="s">
        <v>5949</v>
      </c>
    </row>
    <row r="768" spans="1:5">
      <c r="A768" s="413">
        <v>453646577</v>
      </c>
      <c r="B768" s="413">
        <v>644612659.66234696</v>
      </c>
      <c r="D768" s="413" t="s">
        <v>5950</v>
      </c>
      <c r="E768" s="413" t="s">
        <v>5951</v>
      </c>
    </row>
    <row r="769" spans="1:5">
      <c r="A769" s="413">
        <v>453992179</v>
      </c>
      <c r="B769" s="413">
        <v>644958261.66634595</v>
      </c>
      <c r="D769" s="413" t="s">
        <v>5952</v>
      </c>
      <c r="E769" s="413" t="s">
        <v>5953</v>
      </c>
    </row>
    <row r="770" spans="1:5">
      <c r="A770" s="413">
        <v>454064127</v>
      </c>
      <c r="B770" s="413">
        <v>645030209.66715503</v>
      </c>
      <c r="D770" s="413" t="s">
        <v>5954</v>
      </c>
      <c r="E770" s="413" t="s">
        <v>5955</v>
      </c>
    </row>
    <row r="771" spans="1:5">
      <c r="A771" s="413">
        <v>454287367</v>
      </c>
      <c r="B771" s="413">
        <v>645253449.66973305</v>
      </c>
      <c r="D771" s="413" t="s">
        <v>5956</v>
      </c>
      <c r="E771" s="413" t="s">
        <v>5957</v>
      </c>
    </row>
    <row r="772" spans="1:5">
      <c r="A772" s="413">
        <v>454308967</v>
      </c>
      <c r="B772" s="413">
        <v>645275049.67000198</v>
      </c>
      <c r="D772" s="413" t="s">
        <v>5958</v>
      </c>
      <c r="E772" s="413" t="s">
        <v>5959</v>
      </c>
    </row>
    <row r="773" spans="1:5">
      <c r="A773" s="413">
        <v>454593371</v>
      </c>
      <c r="B773" s="413">
        <v>645559453.67330599</v>
      </c>
      <c r="D773" s="413" t="s">
        <v>5960</v>
      </c>
      <c r="E773" s="413" t="s">
        <v>5961</v>
      </c>
    </row>
    <row r="774" spans="1:5">
      <c r="A774" s="413">
        <v>454719360</v>
      </c>
      <c r="B774" s="413">
        <v>645685442.67473495</v>
      </c>
      <c r="D774" s="413" t="s">
        <v>5962</v>
      </c>
      <c r="E774" s="413" t="s">
        <v>5963</v>
      </c>
    </row>
    <row r="775" spans="1:5">
      <c r="A775" s="413">
        <v>454726519</v>
      </c>
      <c r="B775" s="413">
        <v>645692601.67482197</v>
      </c>
      <c r="D775" s="413" t="s">
        <v>5964</v>
      </c>
      <c r="E775" s="413" t="s">
        <v>5965</v>
      </c>
    </row>
    <row r="776" spans="1:5">
      <c r="A776" s="413">
        <v>454892156</v>
      </c>
      <c r="B776" s="413">
        <v>645858238.67672396</v>
      </c>
      <c r="D776" s="413" t="s">
        <v>5966</v>
      </c>
      <c r="E776" s="413" t="s">
        <v>5967</v>
      </c>
    </row>
    <row r="777" spans="1:5">
      <c r="A777" s="413">
        <v>454910175</v>
      </c>
      <c r="B777" s="413">
        <v>645876257.67695606</v>
      </c>
      <c r="D777" s="413" t="s">
        <v>5968</v>
      </c>
      <c r="E777" s="413" t="s">
        <v>5969</v>
      </c>
    </row>
    <row r="778" spans="1:5">
      <c r="A778" s="413">
        <v>455237761</v>
      </c>
      <c r="B778" s="413">
        <v>646203843.68072701</v>
      </c>
      <c r="D778" s="413" t="s">
        <v>5970</v>
      </c>
      <c r="E778" s="413" t="s">
        <v>5971</v>
      </c>
    </row>
    <row r="779" spans="1:5">
      <c r="A779" s="413">
        <v>455255765</v>
      </c>
      <c r="B779" s="413">
        <v>646221847.68094397</v>
      </c>
      <c r="D779" s="413" t="s">
        <v>5972</v>
      </c>
      <c r="E779" s="413" t="s">
        <v>5973</v>
      </c>
    </row>
    <row r="780" spans="1:5">
      <c r="A780" s="413">
        <v>455457361</v>
      </c>
      <c r="B780" s="413">
        <v>646423443.68329406</v>
      </c>
      <c r="D780" s="413" t="s">
        <v>5974</v>
      </c>
      <c r="E780" s="413" t="s">
        <v>5975</v>
      </c>
    </row>
    <row r="781" spans="1:5">
      <c r="A781" s="413">
        <v>455622910</v>
      </c>
      <c r="B781" s="413">
        <v>646588992.685197</v>
      </c>
      <c r="D781" s="413" t="s">
        <v>5976</v>
      </c>
      <c r="E781" s="413" t="s">
        <v>5977</v>
      </c>
    </row>
    <row r="782" spans="1:5">
      <c r="A782" s="413">
        <v>455842520</v>
      </c>
      <c r="B782" s="413">
        <v>646808602.68771505</v>
      </c>
      <c r="D782" s="413" t="s">
        <v>5978</v>
      </c>
      <c r="E782" s="413" t="s">
        <v>5979</v>
      </c>
    </row>
    <row r="783" spans="1:5">
      <c r="A783" s="413">
        <v>455860543</v>
      </c>
      <c r="B783" s="413">
        <v>646826625.68794405</v>
      </c>
      <c r="D783" s="413" t="s">
        <v>5980</v>
      </c>
      <c r="E783" s="413" t="s">
        <v>5981</v>
      </c>
    </row>
    <row r="784" spans="1:5">
      <c r="A784" s="413">
        <v>456015313</v>
      </c>
      <c r="B784" s="413">
        <v>646981395.68971705</v>
      </c>
      <c r="D784" s="413" t="s">
        <v>5982</v>
      </c>
      <c r="E784" s="413" t="s">
        <v>5983</v>
      </c>
    </row>
    <row r="785" spans="1:5">
      <c r="A785" s="413">
        <v>456065748</v>
      </c>
      <c r="B785" s="413">
        <v>647031830.69029796</v>
      </c>
      <c r="D785" s="413" t="s">
        <v>5984</v>
      </c>
      <c r="E785" s="413" t="s">
        <v>5985</v>
      </c>
    </row>
    <row r="786" spans="1:5">
      <c r="A786" s="413">
        <v>456188106</v>
      </c>
      <c r="B786" s="413">
        <v>647154188.69171202</v>
      </c>
      <c r="D786" s="413" t="s">
        <v>5986</v>
      </c>
      <c r="E786" s="413" t="s">
        <v>5987</v>
      </c>
    </row>
    <row r="787" spans="1:5">
      <c r="A787" s="413">
        <v>456216883</v>
      </c>
      <c r="B787" s="413">
        <v>647182965.69204104</v>
      </c>
      <c r="D787" s="413" t="s">
        <v>5988</v>
      </c>
      <c r="E787" s="413" t="s">
        <v>5989</v>
      </c>
    </row>
    <row r="788" spans="1:5">
      <c r="A788" s="413">
        <v>456404128</v>
      </c>
      <c r="B788" s="413">
        <v>647370210.69420695</v>
      </c>
      <c r="D788" s="413" t="s">
        <v>5990</v>
      </c>
      <c r="E788" s="413" t="s">
        <v>5991</v>
      </c>
    </row>
    <row r="789" spans="1:5">
      <c r="A789" s="413">
        <v>456706482</v>
      </c>
      <c r="B789" s="413">
        <v>647672564.69769895</v>
      </c>
      <c r="D789" s="413" t="s">
        <v>5992</v>
      </c>
      <c r="E789" s="413" t="s">
        <v>5993</v>
      </c>
    </row>
    <row r="790" spans="1:5">
      <c r="A790" s="413">
        <v>456735256</v>
      </c>
      <c r="B790" s="413">
        <v>647701338.69801497</v>
      </c>
      <c r="D790" s="413" t="s">
        <v>5994</v>
      </c>
      <c r="E790" s="413" t="s">
        <v>5995</v>
      </c>
    </row>
    <row r="791" spans="1:5">
      <c r="A791" s="413">
        <v>456908054</v>
      </c>
      <c r="B791" s="413">
        <v>647874136.700014</v>
      </c>
      <c r="D791" s="413" t="s">
        <v>5996</v>
      </c>
      <c r="E791" s="413" t="s">
        <v>5997</v>
      </c>
    </row>
    <row r="792" spans="1:5">
      <c r="A792" s="413">
        <v>457005301</v>
      </c>
      <c r="B792" s="413">
        <v>647971383.70115805</v>
      </c>
      <c r="D792" s="413" t="s">
        <v>5998</v>
      </c>
      <c r="E792" s="413" t="s">
        <v>5999</v>
      </c>
    </row>
    <row r="793" spans="1:5">
      <c r="A793" s="413">
        <v>457311247</v>
      </c>
      <c r="B793" s="413">
        <v>648277329.70465195</v>
      </c>
      <c r="D793" s="413" t="s">
        <v>6000</v>
      </c>
      <c r="E793" s="413" t="s">
        <v>6001</v>
      </c>
    </row>
    <row r="794" spans="1:5">
      <c r="A794" s="413">
        <v>457322068</v>
      </c>
      <c r="B794" s="413">
        <v>648288150.70478904</v>
      </c>
      <c r="D794" s="413" t="s">
        <v>6002</v>
      </c>
      <c r="E794" s="413" t="s">
        <v>6003</v>
      </c>
    </row>
    <row r="795" spans="1:5">
      <c r="A795" s="413">
        <v>457566799</v>
      </c>
      <c r="B795" s="413">
        <v>648532881.70759499</v>
      </c>
      <c r="D795" s="413" t="s">
        <v>6004</v>
      </c>
      <c r="E795" s="413" t="s">
        <v>6005</v>
      </c>
    </row>
    <row r="796" spans="1:5">
      <c r="A796" s="413">
        <v>457656792</v>
      </c>
      <c r="B796" s="413">
        <v>648622874.708637</v>
      </c>
      <c r="D796" s="413" t="s">
        <v>6006</v>
      </c>
      <c r="E796" s="413" t="s">
        <v>6007</v>
      </c>
    </row>
    <row r="797" spans="1:5">
      <c r="A797" s="413">
        <v>457743188</v>
      </c>
      <c r="B797" s="413">
        <v>648709270.70961201</v>
      </c>
      <c r="D797" s="413" t="s">
        <v>6008</v>
      </c>
      <c r="E797" s="413" t="s">
        <v>6009</v>
      </c>
    </row>
    <row r="798" spans="1:5">
      <c r="A798" s="413">
        <v>457754067</v>
      </c>
      <c r="B798" s="413">
        <v>648720149.70974696</v>
      </c>
      <c r="D798" s="413" t="s">
        <v>6010</v>
      </c>
      <c r="E798" s="413" t="s">
        <v>6011</v>
      </c>
    </row>
    <row r="799" spans="1:5">
      <c r="A799" s="413">
        <v>457915978</v>
      </c>
      <c r="B799" s="413">
        <v>648882060.71159601</v>
      </c>
      <c r="D799" s="413" t="s">
        <v>6012</v>
      </c>
      <c r="E799" s="413" t="s">
        <v>6013</v>
      </c>
    </row>
    <row r="800" spans="1:5">
      <c r="A800" s="413">
        <v>457919555</v>
      </c>
      <c r="B800" s="413">
        <v>648885637.71165299</v>
      </c>
      <c r="D800" s="413" t="s">
        <v>6014</v>
      </c>
      <c r="E800" s="413" t="s">
        <v>6015</v>
      </c>
    </row>
    <row r="801" spans="1:5">
      <c r="A801" s="413">
        <v>458175154</v>
      </c>
      <c r="B801" s="413">
        <v>649141236.71457398</v>
      </c>
      <c r="D801" s="413" t="s">
        <v>6016</v>
      </c>
      <c r="E801" s="413" t="s">
        <v>6017</v>
      </c>
    </row>
    <row r="802" spans="1:5">
      <c r="A802" s="413">
        <v>458240014</v>
      </c>
      <c r="B802" s="413">
        <v>649206096.71532595</v>
      </c>
      <c r="D802" s="413" t="s">
        <v>6018</v>
      </c>
      <c r="E802" s="413" t="s">
        <v>6019</v>
      </c>
    </row>
    <row r="803" spans="1:5">
      <c r="A803" s="413">
        <v>458297557</v>
      </c>
      <c r="B803" s="413">
        <v>649263639.71597898</v>
      </c>
      <c r="D803" s="413" t="s">
        <v>6020</v>
      </c>
      <c r="E803" s="413" t="s">
        <v>6021</v>
      </c>
    </row>
    <row r="804" spans="1:5">
      <c r="A804" s="413">
        <v>458434336</v>
      </c>
      <c r="B804" s="413">
        <v>649400418.71754098</v>
      </c>
      <c r="D804" s="413" t="s">
        <v>6022</v>
      </c>
      <c r="E804" s="413" t="s">
        <v>6023</v>
      </c>
    </row>
    <row r="805" spans="1:5">
      <c r="A805" s="413">
        <v>458520727</v>
      </c>
      <c r="B805" s="413">
        <v>649486809.71851695</v>
      </c>
      <c r="D805" s="413" t="s">
        <v>6024</v>
      </c>
      <c r="E805" s="413" t="s">
        <v>6025</v>
      </c>
    </row>
    <row r="806" spans="1:5">
      <c r="A806" s="413">
        <v>458556737</v>
      </c>
      <c r="B806" s="413">
        <v>649522819.71895194</v>
      </c>
      <c r="D806" s="413" t="s">
        <v>6026</v>
      </c>
      <c r="E806" s="413" t="s">
        <v>6027</v>
      </c>
    </row>
    <row r="807" spans="1:5">
      <c r="A807" s="413">
        <v>458689914</v>
      </c>
      <c r="B807" s="413">
        <v>649655996.72046399</v>
      </c>
      <c r="D807" s="413" t="s">
        <v>6028</v>
      </c>
      <c r="E807" s="413" t="s">
        <v>6029</v>
      </c>
    </row>
    <row r="808" spans="1:5">
      <c r="A808" s="413">
        <v>458815903</v>
      </c>
      <c r="B808" s="413">
        <v>649781985.72191894</v>
      </c>
      <c r="D808" s="413" t="s">
        <v>6030</v>
      </c>
      <c r="E808" s="413" t="s">
        <v>6031</v>
      </c>
    </row>
    <row r="809" spans="1:5">
      <c r="A809" s="413">
        <v>458952694</v>
      </c>
      <c r="B809" s="413">
        <v>649918776.72345996</v>
      </c>
      <c r="D809" s="413" t="s">
        <v>6032</v>
      </c>
      <c r="E809" s="413" t="s">
        <v>6033</v>
      </c>
    </row>
    <row r="810" spans="1:5">
      <c r="A810" s="413">
        <v>458959886</v>
      </c>
      <c r="B810" s="413">
        <v>649925968.72356606</v>
      </c>
      <c r="D810" s="413" t="s">
        <v>6034</v>
      </c>
      <c r="E810" s="413" t="s">
        <v>6035</v>
      </c>
    </row>
    <row r="811" spans="1:5">
      <c r="A811" s="413">
        <v>459125476</v>
      </c>
      <c r="B811" s="413">
        <v>650091558.72543705</v>
      </c>
      <c r="D811" s="413" t="s">
        <v>6036</v>
      </c>
      <c r="E811" s="413" t="s">
        <v>6037</v>
      </c>
    </row>
    <row r="812" spans="1:5">
      <c r="A812" s="413">
        <v>459183145</v>
      </c>
      <c r="B812" s="413">
        <v>650149227.72610903</v>
      </c>
      <c r="D812" s="413" t="s">
        <v>6038</v>
      </c>
      <c r="E812" s="413" t="s">
        <v>6039</v>
      </c>
    </row>
    <row r="813" spans="1:5">
      <c r="A813" s="413">
        <v>459237042</v>
      </c>
      <c r="B813" s="413">
        <v>650203124.726717</v>
      </c>
      <c r="D813" s="413" t="s">
        <v>6040</v>
      </c>
      <c r="E813" s="413" t="s">
        <v>6041</v>
      </c>
    </row>
    <row r="814" spans="1:5">
      <c r="A814" s="413">
        <v>459384654</v>
      </c>
      <c r="B814" s="413">
        <v>650350736.72840095</v>
      </c>
      <c r="D814" s="413" t="s">
        <v>6042</v>
      </c>
      <c r="E814" s="413" t="s">
        <v>6043</v>
      </c>
    </row>
    <row r="815" spans="1:5">
      <c r="A815" s="413">
        <v>459471041</v>
      </c>
      <c r="B815" s="413">
        <v>650437123.72939003</v>
      </c>
      <c r="D815" s="413" t="s">
        <v>6044</v>
      </c>
      <c r="E815" s="413" t="s">
        <v>6045</v>
      </c>
    </row>
    <row r="816" spans="1:5">
      <c r="A816" s="413">
        <v>459553834</v>
      </c>
      <c r="B816" s="413">
        <v>650519916.73031604</v>
      </c>
      <c r="D816" s="413" t="s">
        <v>6046</v>
      </c>
      <c r="E816" s="413" t="s">
        <v>6047</v>
      </c>
    </row>
    <row r="817" spans="1:5">
      <c r="A817" s="413">
        <v>459636622</v>
      </c>
      <c r="B817" s="413">
        <v>650602704.73125505</v>
      </c>
      <c r="D817" s="413" t="s">
        <v>6048</v>
      </c>
      <c r="E817" s="413" t="s">
        <v>6049</v>
      </c>
    </row>
    <row r="818" spans="1:5">
      <c r="A818" s="413">
        <v>459676218</v>
      </c>
      <c r="B818" s="413">
        <v>650642300.73172796</v>
      </c>
      <c r="D818" s="413" t="s">
        <v>6050</v>
      </c>
      <c r="E818" s="413" t="s">
        <v>6051</v>
      </c>
    </row>
    <row r="819" spans="1:5">
      <c r="A819" s="413">
        <v>459816656</v>
      </c>
      <c r="B819" s="413">
        <v>650782738.73331702</v>
      </c>
      <c r="D819" s="413" t="s">
        <v>6052</v>
      </c>
      <c r="E819" s="413" t="s">
        <v>6053</v>
      </c>
    </row>
    <row r="820" spans="1:5">
      <c r="A820" s="413">
        <v>459902998</v>
      </c>
      <c r="B820" s="413">
        <v>650869080.734303</v>
      </c>
      <c r="D820" s="413" t="s">
        <v>6054</v>
      </c>
      <c r="E820" s="413" t="s">
        <v>6055</v>
      </c>
    </row>
    <row r="821" spans="1:5">
      <c r="A821" s="413">
        <v>460050648</v>
      </c>
      <c r="B821" s="413">
        <v>651016730.73600197</v>
      </c>
      <c r="D821" s="413" t="s">
        <v>6056</v>
      </c>
      <c r="E821" s="413" t="s">
        <v>6057</v>
      </c>
    </row>
    <row r="822" spans="1:5">
      <c r="A822" s="413">
        <v>460108185</v>
      </c>
      <c r="B822" s="413">
        <v>651074267.73664105</v>
      </c>
      <c r="D822" s="413" t="s">
        <v>6058</v>
      </c>
      <c r="E822" s="413" t="s">
        <v>6059</v>
      </c>
    </row>
    <row r="823" spans="1:5">
      <c r="A823" s="413">
        <v>460248570</v>
      </c>
      <c r="B823" s="413">
        <v>651214652.73823297</v>
      </c>
      <c r="D823" s="413" t="s">
        <v>6060</v>
      </c>
      <c r="E823" s="413" t="s">
        <v>6061</v>
      </c>
    </row>
    <row r="824" spans="1:5">
      <c r="A824" s="413">
        <v>460334954</v>
      </c>
      <c r="B824" s="413">
        <v>651301036.73921895</v>
      </c>
      <c r="D824" s="413" t="s">
        <v>6062</v>
      </c>
      <c r="E824" s="413" t="s">
        <v>6063</v>
      </c>
    </row>
    <row r="825" spans="1:5">
      <c r="A825" s="413">
        <v>460417741</v>
      </c>
      <c r="B825" s="413">
        <v>651383823.74015296</v>
      </c>
      <c r="D825" s="413" t="s">
        <v>6064</v>
      </c>
      <c r="E825" s="413" t="s">
        <v>6065</v>
      </c>
    </row>
    <row r="826" spans="1:5">
      <c r="A826" s="413">
        <v>460518511</v>
      </c>
      <c r="B826" s="413">
        <v>651484593.74128604</v>
      </c>
      <c r="D826" s="413" t="s">
        <v>6066</v>
      </c>
      <c r="E826" s="413" t="s">
        <v>6067</v>
      </c>
    </row>
    <row r="827" spans="1:5">
      <c r="A827" s="413">
        <v>460680516</v>
      </c>
      <c r="B827" s="413">
        <v>651646598.74314594</v>
      </c>
      <c r="D827" s="413" t="s">
        <v>6068</v>
      </c>
      <c r="E827" s="413" t="s">
        <v>6069</v>
      </c>
    </row>
    <row r="828" spans="1:5">
      <c r="A828" s="413">
        <v>460766956</v>
      </c>
      <c r="B828" s="413">
        <v>651733038.744115</v>
      </c>
      <c r="D828" s="413" t="s">
        <v>6070</v>
      </c>
      <c r="E828" s="413" t="s">
        <v>6071</v>
      </c>
    </row>
    <row r="829" spans="1:5">
      <c r="A829" s="413">
        <v>460849688</v>
      </c>
      <c r="B829" s="413">
        <v>651815770.74504697</v>
      </c>
      <c r="D829" s="413" t="s">
        <v>6072</v>
      </c>
      <c r="E829" s="413" t="s">
        <v>6073</v>
      </c>
    </row>
    <row r="830" spans="1:5">
      <c r="A830" s="413">
        <v>460939701</v>
      </c>
      <c r="B830" s="413">
        <v>651905783.74608195</v>
      </c>
      <c r="D830" s="413" t="s">
        <v>6074</v>
      </c>
      <c r="E830" s="413" t="s">
        <v>6075</v>
      </c>
    </row>
    <row r="831" spans="1:5">
      <c r="A831" s="413">
        <v>461022469</v>
      </c>
      <c r="B831" s="413">
        <v>651988551.74700499</v>
      </c>
      <c r="D831" s="413" t="s">
        <v>6076</v>
      </c>
      <c r="E831" s="413" t="s">
        <v>6077</v>
      </c>
    </row>
    <row r="832" spans="1:5">
      <c r="A832" s="413">
        <v>461112478</v>
      </c>
      <c r="B832" s="413">
        <v>652078560.74804497</v>
      </c>
      <c r="D832" s="413" t="s">
        <v>6078</v>
      </c>
      <c r="E832" s="413" t="s">
        <v>6079</v>
      </c>
    </row>
    <row r="833" spans="1:5">
      <c r="A833" s="413">
        <v>461141263</v>
      </c>
      <c r="B833" s="413">
        <v>652107345.74836195</v>
      </c>
      <c r="D833" s="413" t="s">
        <v>6080</v>
      </c>
      <c r="E833" s="413" t="s">
        <v>6081</v>
      </c>
    </row>
    <row r="834" spans="1:5">
      <c r="A834" s="413">
        <v>461285242</v>
      </c>
      <c r="B834" s="413">
        <v>652251324.74999106</v>
      </c>
      <c r="D834" s="413" t="s">
        <v>6082</v>
      </c>
      <c r="E834" s="413" t="s">
        <v>6083</v>
      </c>
    </row>
    <row r="835" spans="1:5">
      <c r="A835" s="413">
        <v>461314043</v>
      </c>
      <c r="B835" s="413">
        <v>652280125.75033295</v>
      </c>
      <c r="D835" s="413" t="s">
        <v>6084</v>
      </c>
      <c r="E835" s="413" t="s">
        <v>6085</v>
      </c>
    </row>
    <row r="836" spans="1:5">
      <c r="A836" s="413">
        <v>461440019</v>
      </c>
      <c r="B836" s="413">
        <v>652406101.75172305</v>
      </c>
      <c r="D836" s="413" t="s">
        <v>6086</v>
      </c>
      <c r="E836" s="413" t="s">
        <v>6087</v>
      </c>
    </row>
    <row r="837" spans="1:5">
      <c r="A837" s="413">
        <v>461486874</v>
      </c>
      <c r="B837" s="413">
        <v>652452956.75227594</v>
      </c>
      <c r="D837" s="413" t="s">
        <v>6088</v>
      </c>
      <c r="E837" s="413" t="s">
        <v>6089</v>
      </c>
    </row>
    <row r="838" spans="1:5">
      <c r="A838" s="413">
        <v>461630861</v>
      </c>
      <c r="B838" s="413">
        <v>652596943.75390601</v>
      </c>
      <c r="D838" s="413" t="s">
        <v>6090</v>
      </c>
      <c r="E838" s="413" t="s">
        <v>6091</v>
      </c>
    </row>
    <row r="839" spans="1:5">
      <c r="A839" s="413">
        <v>461718406</v>
      </c>
      <c r="B839" s="413">
        <v>652684488.75486398</v>
      </c>
      <c r="D839" s="413" t="s">
        <v>6092</v>
      </c>
      <c r="E839" s="413" t="s">
        <v>6093</v>
      </c>
    </row>
    <row r="840" spans="1:5">
      <c r="A840" s="413">
        <v>461803591</v>
      </c>
      <c r="B840" s="413">
        <v>652769673.75585604</v>
      </c>
      <c r="D840" s="413" t="s">
        <v>6094</v>
      </c>
      <c r="E840" s="413" t="s">
        <v>6095</v>
      </c>
    </row>
    <row r="841" spans="1:5">
      <c r="A841" s="413">
        <v>461889977</v>
      </c>
      <c r="B841" s="413">
        <v>652856059.75682795</v>
      </c>
      <c r="D841" s="413" t="s">
        <v>6096</v>
      </c>
      <c r="E841" s="413" t="s">
        <v>6097</v>
      </c>
    </row>
    <row r="842" spans="1:5">
      <c r="A842" s="413">
        <v>461976375</v>
      </c>
      <c r="B842" s="413">
        <v>652942457.75780797</v>
      </c>
      <c r="D842" s="413" t="s">
        <v>6098</v>
      </c>
      <c r="E842" s="413" t="s">
        <v>6099</v>
      </c>
    </row>
    <row r="843" spans="1:5">
      <c r="A843" s="413">
        <v>462001538</v>
      </c>
      <c r="B843" s="413">
        <v>652967620.75808096</v>
      </c>
      <c r="D843" s="413" t="s">
        <v>6100</v>
      </c>
      <c r="E843" s="413" t="s">
        <v>6101</v>
      </c>
    </row>
    <row r="844" spans="1:5">
      <c r="A844" s="413">
        <v>462145545</v>
      </c>
      <c r="B844" s="413">
        <v>653111627.759709</v>
      </c>
      <c r="D844" s="413" t="s">
        <v>6102</v>
      </c>
      <c r="E844" s="413" t="s">
        <v>6103</v>
      </c>
    </row>
    <row r="845" spans="1:5">
      <c r="A845" s="413">
        <v>462235536</v>
      </c>
      <c r="B845" s="413">
        <v>653201618.76071703</v>
      </c>
      <c r="D845" s="413" t="s">
        <v>6104</v>
      </c>
      <c r="E845" s="413" t="s">
        <v>6105</v>
      </c>
    </row>
    <row r="846" spans="1:5">
      <c r="A846" s="413">
        <v>462321928</v>
      </c>
      <c r="B846" s="413">
        <v>653288010.76166499</v>
      </c>
      <c r="D846" s="413" t="s">
        <v>6106</v>
      </c>
      <c r="E846" s="413" t="s">
        <v>6107</v>
      </c>
    </row>
    <row r="847" spans="1:5">
      <c r="A847" s="413">
        <v>462347087</v>
      </c>
      <c r="B847" s="413">
        <v>653313169.76196504</v>
      </c>
      <c r="D847" s="413" t="s">
        <v>6108</v>
      </c>
      <c r="E847" s="413" t="s">
        <v>6109</v>
      </c>
    </row>
    <row r="848" spans="1:5">
      <c r="A848" s="413">
        <v>462433496</v>
      </c>
      <c r="B848" s="413">
        <v>653399578.762936</v>
      </c>
      <c r="D848" s="413" t="s">
        <v>6110</v>
      </c>
      <c r="E848" s="413" t="s">
        <v>6111</v>
      </c>
    </row>
    <row r="849" spans="1:5">
      <c r="A849" s="413">
        <v>462606270</v>
      </c>
      <c r="B849" s="413">
        <v>653572352.76721597</v>
      </c>
      <c r="D849" s="413" t="s">
        <v>6112</v>
      </c>
      <c r="E849" s="413" t="s">
        <v>6113</v>
      </c>
    </row>
    <row r="850" spans="1:5">
      <c r="A850" s="413">
        <v>462750255</v>
      </c>
      <c r="B850" s="413">
        <v>653716337.76888204</v>
      </c>
      <c r="D850" s="413" t="s">
        <v>6114</v>
      </c>
      <c r="E850" s="413" t="s">
        <v>6115</v>
      </c>
    </row>
    <row r="851" spans="1:5">
      <c r="A851" s="413">
        <v>462836638</v>
      </c>
      <c r="B851" s="413">
        <v>653802720.769871</v>
      </c>
      <c r="D851" s="413" t="s">
        <v>6116</v>
      </c>
      <c r="E851" s="413" t="s">
        <v>6117</v>
      </c>
    </row>
    <row r="852" spans="1:5">
      <c r="A852" s="413">
        <v>463013019</v>
      </c>
      <c r="B852" s="413">
        <v>653979101.77185297</v>
      </c>
      <c r="D852" s="413" t="s">
        <v>6118</v>
      </c>
      <c r="E852" s="413" t="s">
        <v>6119</v>
      </c>
    </row>
    <row r="853" spans="1:5">
      <c r="A853" s="413">
        <v>463095814</v>
      </c>
      <c r="B853" s="413">
        <v>654061896.77282298</v>
      </c>
      <c r="D853" s="413" t="s">
        <v>6120</v>
      </c>
      <c r="E853" s="413" t="s">
        <v>6121</v>
      </c>
    </row>
    <row r="854" spans="1:5">
      <c r="A854" s="413">
        <v>463354981</v>
      </c>
      <c r="B854" s="413">
        <v>654321063.77578294</v>
      </c>
      <c r="D854" s="413" t="s">
        <v>6122</v>
      </c>
      <c r="E854" s="413" t="s">
        <v>6123</v>
      </c>
    </row>
    <row r="855" spans="1:5">
      <c r="A855" s="413">
        <v>463437753</v>
      </c>
      <c r="B855" s="413">
        <v>654403835.77673197</v>
      </c>
      <c r="D855" s="413" t="s">
        <v>6124</v>
      </c>
      <c r="E855" s="413" t="s">
        <v>6125</v>
      </c>
    </row>
    <row r="856" spans="1:5">
      <c r="A856" s="413">
        <v>463527758</v>
      </c>
      <c r="B856" s="413">
        <v>654493840.777758</v>
      </c>
      <c r="D856" s="413" t="s">
        <v>6126</v>
      </c>
      <c r="E856" s="413" t="s">
        <v>6127</v>
      </c>
    </row>
    <row r="857" spans="1:5">
      <c r="A857" s="413">
        <v>463552931</v>
      </c>
      <c r="B857" s="413">
        <v>654519013.77803302</v>
      </c>
      <c r="D857" s="413" t="s">
        <v>6128</v>
      </c>
      <c r="E857" s="413" t="s">
        <v>6129</v>
      </c>
    </row>
    <row r="858" spans="1:5">
      <c r="A858" s="413">
        <v>463704108</v>
      </c>
      <c r="B858" s="413">
        <v>654670190.77974105</v>
      </c>
      <c r="D858" s="413" t="s">
        <v>6130</v>
      </c>
      <c r="E858" s="413" t="s">
        <v>6131</v>
      </c>
    </row>
    <row r="859" spans="1:5">
      <c r="A859" s="413">
        <v>463718478</v>
      </c>
      <c r="B859" s="413">
        <v>654684560.77992594</v>
      </c>
      <c r="D859" s="413" t="s">
        <v>6132</v>
      </c>
      <c r="E859" s="413" t="s">
        <v>6133</v>
      </c>
    </row>
    <row r="860" spans="1:5">
      <c r="A860" s="413">
        <v>463878372</v>
      </c>
      <c r="B860" s="413">
        <v>654844454.781726</v>
      </c>
      <c r="D860" s="413" t="s">
        <v>6134</v>
      </c>
      <c r="E860" s="413" t="s">
        <v>6135</v>
      </c>
    </row>
    <row r="861" spans="1:5">
      <c r="A861" s="413">
        <v>463964163</v>
      </c>
      <c r="B861" s="413">
        <v>654930245.782686</v>
      </c>
      <c r="D861" s="413" t="s">
        <v>6136</v>
      </c>
      <c r="E861" s="413" t="s">
        <v>6137</v>
      </c>
    </row>
    <row r="862" spans="1:5">
      <c r="A862" s="413">
        <v>464049656</v>
      </c>
      <c r="B862" s="413">
        <v>655015738.783656</v>
      </c>
      <c r="D862" s="413" t="s">
        <v>6138</v>
      </c>
      <c r="E862" s="413" t="s">
        <v>6139</v>
      </c>
    </row>
    <row r="863" spans="1:5">
      <c r="A863" s="413">
        <v>464136660</v>
      </c>
      <c r="B863" s="413">
        <v>655102742.78464901</v>
      </c>
      <c r="D863" s="413" t="s">
        <v>6140</v>
      </c>
      <c r="E863" s="413" t="s">
        <v>6141</v>
      </c>
    </row>
    <row r="864" spans="1:5">
      <c r="A864" s="413">
        <v>464222632</v>
      </c>
      <c r="B864" s="413">
        <v>655188714.78563797</v>
      </c>
      <c r="D864" s="413" t="s">
        <v>6142</v>
      </c>
      <c r="E864" s="413" t="s">
        <v>6143</v>
      </c>
    </row>
    <row r="865" spans="1:5">
      <c r="A865" s="413">
        <v>464301639</v>
      </c>
      <c r="B865" s="413">
        <v>655267721.78655505</v>
      </c>
      <c r="D865" s="413" t="s">
        <v>6144</v>
      </c>
      <c r="E865" s="413" t="s">
        <v>6145</v>
      </c>
    </row>
    <row r="866" spans="1:5">
      <c r="A866" s="413">
        <v>464395208</v>
      </c>
      <c r="B866" s="413">
        <v>655361290.78757906</v>
      </c>
      <c r="D866" s="413" t="s">
        <v>6146</v>
      </c>
      <c r="E866" s="413" t="s">
        <v>6147</v>
      </c>
    </row>
    <row r="867" spans="1:5">
      <c r="A867" s="413">
        <v>464483170</v>
      </c>
      <c r="B867" s="413">
        <v>655449252.78858399</v>
      </c>
      <c r="D867" s="413" t="s">
        <v>6148</v>
      </c>
      <c r="E867" s="413" t="s">
        <v>6149</v>
      </c>
    </row>
    <row r="868" spans="1:5">
      <c r="A868" s="413">
        <v>464560806</v>
      </c>
      <c r="B868" s="413">
        <v>655526888.78949499</v>
      </c>
      <c r="D868" s="413" t="s">
        <v>6150</v>
      </c>
      <c r="E868" s="413" t="s">
        <v>6151</v>
      </c>
    </row>
    <row r="869" spans="1:5">
      <c r="A869" s="413">
        <v>464654364</v>
      </c>
      <c r="B869" s="413">
        <v>655620446.79052103</v>
      </c>
      <c r="D869" s="413" t="s">
        <v>6152</v>
      </c>
      <c r="E869" s="413" t="s">
        <v>6153</v>
      </c>
    </row>
    <row r="870" spans="1:5">
      <c r="A870" s="413">
        <v>464733572</v>
      </c>
      <c r="B870" s="413">
        <v>655699654.79144704</v>
      </c>
      <c r="D870" s="413" t="s">
        <v>6154</v>
      </c>
      <c r="E870" s="413" t="s">
        <v>6155</v>
      </c>
    </row>
    <row r="871" spans="1:5">
      <c r="A871" s="413">
        <v>464819961</v>
      </c>
      <c r="B871" s="413">
        <v>655786043.79242802</v>
      </c>
      <c r="D871" s="413" t="s">
        <v>6156</v>
      </c>
      <c r="E871" s="413" t="s">
        <v>6157</v>
      </c>
    </row>
    <row r="872" spans="1:5">
      <c r="A872" s="413">
        <v>464906351</v>
      </c>
      <c r="B872" s="413">
        <v>655872433.79338896</v>
      </c>
      <c r="D872" s="413" t="s">
        <v>6158</v>
      </c>
      <c r="E872" s="413" t="s">
        <v>6159</v>
      </c>
    </row>
    <row r="873" spans="1:5">
      <c r="A873" s="413">
        <v>465001434</v>
      </c>
      <c r="B873" s="413">
        <v>655967516.79444003</v>
      </c>
      <c r="D873" s="413" t="s">
        <v>6160</v>
      </c>
      <c r="E873" s="413" t="s">
        <v>6161</v>
      </c>
    </row>
    <row r="874" spans="1:5">
      <c r="A874" s="413">
        <v>465010691</v>
      </c>
      <c r="B874" s="413">
        <v>655976773.79455805</v>
      </c>
      <c r="D874" s="413" t="s">
        <v>6162</v>
      </c>
      <c r="E874" s="413" t="s">
        <v>6163</v>
      </c>
    </row>
    <row r="875" spans="1:5">
      <c r="A875" s="413">
        <v>465248288</v>
      </c>
      <c r="B875" s="413">
        <v>656214370.79724205</v>
      </c>
      <c r="D875" s="413" t="s">
        <v>6164</v>
      </c>
      <c r="E875" s="413" t="s">
        <v>6165</v>
      </c>
    </row>
    <row r="876" spans="1:5">
      <c r="A876" s="413">
        <v>465335604</v>
      </c>
      <c r="B876" s="413">
        <v>656301686.79820096</v>
      </c>
      <c r="D876" s="413" t="s">
        <v>6166</v>
      </c>
      <c r="E876" s="413" t="s">
        <v>6167</v>
      </c>
    </row>
    <row r="877" spans="1:5">
      <c r="A877" s="413">
        <v>465429152</v>
      </c>
      <c r="B877" s="413">
        <v>656395234.79922605</v>
      </c>
      <c r="D877" s="413" t="s">
        <v>6168</v>
      </c>
      <c r="E877" s="413" t="s">
        <v>6169</v>
      </c>
    </row>
    <row r="878" spans="1:5">
      <c r="A878" s="413">
        <v>465503916</v>
      </c>
      <c r="B878" s="413">
        <v>656469998.80012405</v>
      </c>
      <c r="D878" s="413" t="s">
        <v>6170</v>
      </c>
      <c r="E878" s="413" t="s">
        <v>6171</v>
      </c>
    </row>
    <row r="879" spans="1:5">
      <c r="A879" s="413">
        <v>465593912</v>
      </c>
      <c r="B879" s="413">
        <v>656559994.80114198</v>
      </c>
      <c r="D879" s="413" t="s">
        <v>6172</v>
      </c>
      <c r="E879" s="413" t="s">
        <v>6173</v>
      </c>
    </row>
    <row r="880" spans="1:5">
      <c r="A880" s="413">
        <v>465691096</v>
      </c>
      <c r="B880" s="413">
        <v>656657178.80220497</v>
      </c>
      <c r="D880" s="413" t="s">
        <v>6174</v>
      </c>
      <c r="E880" s="413" t="s">
        <v>6175</v>
      </c>
    </row>
    <row r="881" spans="1:5">
      <c r="A881" s="413">
        <v>465777483</v>
      </c>
      <c r="B881" s="413">
        <v>656743565.80317903</v>
      </c>
      <c r="D881" s="413" t="s">
        <v>6176</v>
      </c>
      <c r="E881" s="413" t="s">
        <v>6177</v>
      </c>
    </row>
    <row r="882" spans="1:5">
      <c r="A882" s="413">
        <v>465849475</v>
      </c>
      <c r="B882" s="413">
        <v>656815557.80401099</v>
      </c>
      <c r="D882" s="413" t="s">
        <v>6178</v>
      </c>
      <c r="E882" s="413" t="s">
        <v>6179</v>
      </c>
    </row>
    <row r="883" spans="1:5">
      <c r="A883" s="413">
        <v>465950178</v>
      </c>
      <c r="B883" s="413">
        <v>656916260.80512404</v>
      </c>
      <c r="D883" s="413" t="s">
        <v>6180</v>
      </c>
      <c r="E883" s="413" t="s">
        <v>6181</v>
      </c>
    </row>
    <row r="884" spans="1:5">
      <c r="A884" s="413">
        <v>466036566</v>
      </c>
      <c r="B884" s="413">
        <v>657002648.80608499</v>
      </c>
      <c r="D884" s="413" t="s">
        <v>6182</v>
      </c>
      <c r="E884" s="413" t="s">
        <v>6183</v>
      </c>
    </row>
    <row r="885" spans="1:5">
      <c r="A885" s="413">
        <v>466122955</v>
      </c>
      <c r="B885" s="413">
        <v>657089037.80707204</v>
      </c>
      <c r="D885" s="413" t="s">
        <v>6184</v>
      </c>
      <c r="E885" s="413" t="s">
        <v>6185</v>
      </c>
    </row>
    <row r="886" spans="1:5">
      <c r="A886" s="413">
        <v>466137367</v>
      </c>
      <c r="B886" s="413">
        <v>657103449.80724001</v>
      </c>
      <c r="D886" s="413" t="s">
        <v>6186</v>
      </c>
      <c r="E886" s="413" t="s">
        <v>6187</v>
      </c>
    </row>
    <row r="887" spans="1:5">
      <c r="A887" s="413">
        <v>466382118</v>
      </c>
      <c r="B887" s="413">
        <v>657348200.80996001</v>
      </c>
      <c r="D887" s="413" t="s">
        <v>6188</v>
      </c>
      <c r="E887" s="413" t="s">
        <v>6189</v>
      </c>
    </row>
    <row r="888" spans="1:5">
      <c r="A888" s="413">
        <v>466468503</v>
      </c>
      <c r="B888" s="413">
        <v>657434585.81094098</v>
      </c>
      <c r="D888" s="413" t="s">
        <v>6190</v>
      </c>
      <c r="E888" s="413" t="s">
        <v>6191</v>
      </c>
    </row>
    <row r="889" spans="1:5">
      <c r="A889" s="413">
        <v>466556338</v>
      </c>
      <c r="B889" s="413">
        <v>657522420.81191599</v>
      </c>
      <c r="D889" s="413" t="s">
        <v>6192</v>
      </c>
      <c r="E889" s="413" t="s">
        <v>6193</v>
      </c>
    </row>
    <row r="890" spans="1:5">
      <c r="A890" s="413">
        <v>466626907</v>
      </c>
      <c r="B890" s="413">
        <v>657592989.81272197</v>
      </c>
      <c r="D890" s="413" t="s">
        <v>6194</v>
      </c>
      <c r="E890" s="413" t="s">
        <v>6195</v>
      </c>
    </row>
    <row r="891" spans="1:5">
      <c r="A891" s="413">
        <v>466828470</v>
      </c>
      <c r="B891" s="413">
        <v>657794552.81497598</v>
      </c>
      <c r="D891" s="413" t="s">
        <v>6196</v>
      </c>
      <c r="E891" s="413" t="s">
        <v>6197</v>
      </c>
    </row>
    <row r="892" spans="1:5">
      <c r="A892" s="413">
        <v>466986833</v>
      </c>
      <c r="B892" s="413">
        <v>657952915.81672704</v>
      </c>
      <c r="D892" s="413" t="s">
        <v>6198</v>
      </c>
      <c r="E892" s="413" t="s">
        <v>6199</v>
      </c>
    </row>
    <row r="893" spans="1:5">
      <c r="A893" s="413">
        <v>466994021</v>
      </c>
      <c r="B893" s="413">
        <v>657960103.81681895</v>
      </c>
      <c r="D893" s="413" t="s">
        <v>6200</v>
      </c>
      <c r="E893" s="413" t="s">
        <v>6201</v>
      </c>
    </row>
    <row r="894" spans="1:5">
      <c r="A894" s="413">
        <v>467246000</v>
      </c>
      <c r="B894" s="413">
        <v>658212082.81961095</v>
      </c>
      <c r="D894" s="413" t="s">
        <v>6202</v>
      </c>
      <c r="E894" s="413" t="s">
        <v>6203</v>
      </c>
    </row>
    <row r="895" spans="1:5">
      <c r="A895" s="413">
        <v>467318017</v>
      </c>
      <c r="B895" s="413">
        <v>658284099.82044196</v>
      </c>
      <c r="D895" s="413" t="s">
        <v>6204</v>
      </c>
      <c r="E895" s="413" t="s">
        <v>6205</v>
      </c>
    </row>
    <row r="896" spans="1:5">
      <c r="A896" s="413">
        <v>467346803</v>
      </c>
      <c r="B896" s="413">
        <v>658312885.82076502</v>
      </c>
      <c r="D896" s="413" t="s">
        <v>6206</v>
      </c>
      <c r="E896" s="413" t="s">
        <v>6207</v>
      </c>
    </row>
    <row r="897" spans="1:5">
      <c r="A897" s="413">
        <v>467577181</v>
      </c>
      <c r="B897" s="413">
        <v>658543263.82332695</v>
      </c>
      <c r="D897" s="413" t="s">
        <v>6208</v>
      </c>
      <c r="E897" s="413" t="s">
        <v>6209</v>
      </c>
    </row>
    <row r="898" spans="1:5">
      <c r="A898" s="413">
        <v>467677947</v>
      </c>
      <c r="B898" s="413">
        <v>658644029.82442701</v>
      </c>
      <c r="D898" s="413" t="s">
        <v>6210</v>
      </c>
      <c r="E898" s="413" t="s">
        <v>6211</v>
      </c>
    </row>
    <row r="899" spans="1:5">
      <c r="A899" s="413">
        <v>467764338</v>
      </c>
      <c r="B899" s="413">
        <v>658730420.82539201</v>
      </c>
      <c r="D899" s="413" t="s">
        <v>6212</v>
      </c>
      <c r="E899" s="413" t="s">
        <v>6213</v>
      </c>
    </row>
    <row r="900" spans="1:5">
      <c r="A900" s="413">
        <v>467843529</v>
      </c>
      <c r="B900" s="413">
        <v>658809611.82625306</v>
      </c>
      <c r="D900" s="413" t="s">
        <v>6214</v>
      </c>
      <c r="E900" s="413" t="s">
        <v>6215</v>
      </c>
    </row>
    <row r="901" spans="1:5">
      <c r="A901" s="413">
        <v>467937114</v>
      </c>
      <c r="B901" s="413">
        <v>658903196.82731104</v>
      </c>
      <c r="D901" s="413" t="s">
        <v>6216</v>
      </c>
      <c r="E901" s="413" t="s">
        <v>6217</v>
      </c>
    </row>
    <row r="902" spans="1:5">
      <c r="A902" s="413">
        <v>467947918</v>
      </c>
      <c r="B902" s="413">
        <v>658914000.82744706</v>
      </c>
      <c r="D902" s="413" t="s">
        <v>6218</v>
      </c>
      <c r="E902" s="413" t="s">
        <v>6219</v>
      </c>
    </row>
    <row r="903" spans="1:5">
      <c r="A903" s="413">
        <v>468196280</v>
      </c>
      <c r="B903" s="413">
        <v>659162362.83018196</v>
      </c>
      <c r="D903" s="413" t="s">
        <v>6220</v>
      </c>
      <c r="E903" s="413" t="s">
        <v>6221</v>
      </c>
    </row>
    <row r="904" spans="1:5">
      <c r="A904" s="413">
        <v>468282673</v>
      </c>
      <c r="B904" s="413">
        <v>659248755.83113599</v>
      </c>
      <c r="D904" s="413" t="s">
        <v>6222</v>
      </c>
      <c r="E904" s="413" t="s">
        <v>6223</v>
      </c>
    </row>
    <row r="905" spans="1:5">
      <c r="A905" s="413">
        <v>468369065</v>
      </c>
      <c r="B905" s="413">
        <v>659335147.83210301</v>
      </c>
      <c r="D905" s="413" t="s">
        <v>6224</v>
      </c>
      <c r="E905" s="413" t="s">
        <v>6225</v>
      </c>
    </row>
    <row r="906" spans="1:5">
      <c r="A906" s="413">
        <v>468455456</v>
      </c>
      <c r="B906" s="413">
        <v>659421538.83305705</v>
      </c>
      <c r="D906" s="413" t="s">
        <v>6226</v>
      </c>
      <c r="E906" s="413" t="s">
        <v>6227</v>
      </c>
    </row>
    <row r="907" spans="1:5">
      <c r="A907" s="413">
        <v>468523865</v>
      </c>
      <c r="B907" s="413">
        <v>659489947.83381605</v>
      </c>
      <c r="D907" s="413" t="s">
        <v>6228</v>
      </c>
      <c r="E907" s="413" t="s">
        <v>6229</v>
      </c>
    </row>
    <row r="908" spans="1:5">
      <c r="A908" s="413">
        <v>468714625</v>
      </c>
      <c r="B908" s="413">
        <v>659680707.83591998</v>
      </c>
      <c r="D908" s="413" t="s">
        <v>6230</v>
      </c>
      <c r="E908" s="413" t="s">
        <v>6231</v>
      </c>
    </row>
    <row r="909" spans="1:5">
      <c r="A909" s="413">
        <v>468801012</v>
      </c>
      <c r="B909" s="413">
        <v>659767094.83688903</v>
      </c>
      <c r="D909" s="413" t="s">
        <v>6232</v>
      </c>
      <c r="E909" s="413" t="s">
        <v>6233</v>
      </c>
    </row>
    <row r="910" spans="1:5">
      <c r="A910" s="413">
        <v>468808224</v>
      </c>
      <c r="B910" s="413">
        <v>659774306.83697605</v>
      </c>
      <c r="D910" s="413" t="s">
        <v>6234</v>
      </c>
      <c r="E910" s="413" t="s">
        <v>6235</v>
      </c>
    </row>
    <row r="911" spans="1:5">
      <c r="A911" s="413">
        <v>468973796</v>
      </c>
      <c r="B911" s="413">
        <v>659939878.83879304</v>
      </c>
      <c r="D911" s="413" t="s">
        <v>6236</v>
      </c>
      <c r="E911" s="413" t="s">
        <v>6237</v>
      </c>
    </row>
    <row r="912" spans="1:5">
      <c r="A912" s="413">
        <v>469139373</v>
      </c>
      <c r="B912" s="413">
        <v>660105455.84060097</v>
      </c>
      <c r="D912" s="413" t="s">
        <v>6238</v>
      </c>
      <c r="E912" s="413" t="s">
        <v>6239</v>
      </c>
    </row>
    <row r="913" spans="1:5">
      <c r="A913" s="413">
        <v>469232968</v>
      </c>
      <c r="B913" s="413">
        <v>660199050.84166205</v>
      </c>
      <c r="D913" s="413" t="s">
        <v>6240</v>
      </c>
      <c r="E913" s="413" t="s">
        <v>6241</v>
      </c>
    </row>
    <row r="914" spans="1:5">
      <c r="A914" s="413">
        <v>469286954</v>
      </c>
      <c r="B914" s="413">
        <v>660253036.84223604</v>
      </c>
      <c r="D914" s="413" t="s">
        <v>6242</v>
      </c>
      <c r="E914" s="413" t="s">
        <v>6243</v>
      </c>
    </row>
    <row r="915" spans="1:5">
      <c r="A915" s="413">
        <v>469376947</v>
      </c>
      <c r="B915" s="413">
        <v>660343029.84323597</v>
      </c>
      <c r="D915" s="413" t="s">
        <v>6244</v>
      </c>
      <c r="E915" s="413" t="s">
        <v>6245</v>
      </c>
    </row>
    <row r="916" spans="1:5">
      <c r="A916" s="413">
        <v>469470552</v>
      </c>
      <c r="B916" s="413">
        <v>660436634.84428501</v>
      </c>
      <c r="D916" s="413" t="s">
        <v>6246</v>
      </c>
      <c r="E916" s="413" t="s">
        <v>6247</v>
      </c>
    </row>
    <row r="917" spans="1:5">
      <c r="A917" s="413">
        <v>469578534</v>
      </c>
      <c r="B917" s="413">
        <v>660544616.84547698</v>
      </c>
      <c r="D917" s="413" t="s">
        <v>6248</v>
      </c>
      <c r="E917" s="413" t="s">
        <v>6249</v>
      </c>
    </row>
    <row r="918" spans="1:5">
      <c r="A918" s="413">
        <v>469636121</v>
      </c>
      <c r="B918" s="413">
        <v>660602203.84609401</v>
      </c>
      <c r="D918" s="413" t="s">
        <v>6250</v>
      </c>
      <c r="E918" s="413" t="s">
        <v>6251</v>
      </c>
    </row>
    <row r="919" spans="1:5">
      <c r="A919" s="413">
        <v>469744114</v>
      </c>
      <c r="B919" s="413">
        <v>660710196.84729099</v>
      </c>
      <c r="D919" s="413" t="s">
        <v>6252</v>
      </c>
      <c r="E919" s="413" t="s">
        <v>6253</v>
      </c>
    </row>
    <row r="920" spans="1:5">
      <c r="A920" s="413">
        <v>469898900</v>
      </c>
      <c r="B920" s="413">
        <v>660864982.84899998</v>
      </c>
      <c r="D920" s="413" t="s">
        <v>6254</v>
      </c>
      <c r="E920" s="413" t="s">
        <v>6255</v>
      </c>
    </row>
    <row r="921" spans="1:5">
      <c r="A921" s="413">
        <v>470010501</v>
      </c>
      <c r="B921" s="413">
        <v>660976583.85023904</v>
      </c>
      <c r="D921" s="413" t="s">
        <v>6256</v>
      </c>
      <c r="E921" s="413" t="s">
        <v>6257</v>
      </c>
    </row>
    <row r="922" spans="1:5">
      <c r="A922" s="413">
        <v>470075309</v>
      </c>
      <c r="B922" s="413">
        <v>661041391.85094702</v>
      </c>
      <c r="D922" s="413" t="s">
        <v>6258</v>
      </c>
      <c r="E922" s="413" t="s">
        <v>6259</v>
      </c>
    </row>
    <row r="923" spans="1:5">
      <c r="A923" s="413">
        <v>470183277</v>
      </c>
      <c r="B923" s="413">
        <v>661149359.852139</v>
      </c>
      <c r="D923" s="413" t="s">
        <v>6260</v>
      </c>
      <c r="E923" s="413" t="s">
        <v>6261</v>
      </c>
    </row>
    <row r="924" spans="1:5">
      <c r="A924" s="413">
        <v>470186872</v>
      </c>
      <c r="B924" s="413">
        <v>661152954.85217202</v>
      </c>
      <c r="D924" s="413" t="s">
        <v>6262</v>
      </c>
      <c r="E924" s="413" t="s">
        <v>6263</v>
      </c>
    </row>
    <row r="925" spans="1:5">
      <c r="A925" s="413">
        <v>470356065</v>
      </c>
      <c r="B925" s="413">
        <v>661322147.85402501</v>
      </c>
      <c r="D925" s="413" t="s">
        <v>6264</v>
      </c>
      <c r="E925" s="413" t="s">
        <v>6265</v>
      </c>
    </row>
    <row r="926" spans="1:5">
      <c r="A926" s="413">
        <v>470359655</v>
      </c>
      <c r="B926" s="413">
        <v>661325737.85408401</v>
      </c>
      <c r="D926" s="413" t="s">
        <v>6266</v>
      </c>
      <c r="E926" s="413" t="s">
        <v>6267</v>
      </c>
    </row>
    <row r="927" spans="1:5">
      <c r="A927" s="413">
        <v>470582835</v>
      </c>
      <c r="B927" s="413">
        <v>661548917.85651195</v>
      </c>
      <c r="D927" s="413" t="s">
        <v>6268</v>
      </c>
      <c r="E927" s="413" t="s">
        <v>6269</v>
      </c>
    </row>
    <row r="928" spans="1:5">
      <c r="A928" s="413">
        <v>470701651</v>
      </c>
      <c r="B928" s="413">
        <v>661667733.85782397</v>
      </c>
      <c r="D928" s="413" t="s">
        <v>6270</v>
      </c>
      <c r="E928" s="413" t="s">
        <v>6271</v>
      </c>
    </row>
    <row r="929" spans="1:5">
      <c r="A929" s="413">
        <v>470777226</v>
      </c>
      <c r="B929" s="413">
        <v>661743308.85864997</v>
      </c>
      <c r="D929" s="413" t="s">
        <v>6272</v>
      </c>
      <c r="E929" s="413" t="s">
        <v>6273</v>
      </c>
    </row>
    <row r="930" spans="1:5">
      <c r="A930" s="413">
        <v>470960862</v>
      </c>
      <c r="B930" s="413">
        <v>661926944.86068106</v>
      </c>
      <c r="D930" s="413" t="s">
        <v>6274</v>
      </c>
      <c r="E930" s="413" t="s">
        <v>6275</v>
      </c>
    </row>
    <row r="931" spans="1:5">
      <c r="A931" s="413">
        <v>471011244</v>
      </c>
      <c r="B931" s="413">
        <v>661977326.86121595</v>
      </c>
      <c r="D931" s="413" t="s">
        <v>6276</v>
      </c>
      <c r="E931" s="413" t="s">
        <v>6277</v>
      </c>
    </row>
    <row r="932" spans="1:5">
      <c r="A932" s="413">
        <v>471392880</v>
      </c>
      <c r="B932" s="413">
        <v>662358962.86541796</v>
      </c>
      <c r="D932" s="413" t="s">
        <v>6278</v>
      </c>
      <c r="E932" s="413" t="s">
        <v>6279</v>
      </c>
    </row>
    <row r="933" spans="1:5">
      <c r="A933" s="413">
        <v>471824793</v>
      </c>
      <c r="B933" s="413">
        <v>662790875.87015104</v>
      </c>
      <c r="D933" s="413" t="s">
        <v>6280</v>
      </c>
      <c r="E933" s="413" t="s">
        <v>6281</v>
      </c>
    </row>
    <row r="934" spans="1:5">
      <c r="A934" s="413">
        <v>471882365</v>
      </c>
      <c r="B934" s="413">
        <v>662848447.87078094</v>
      </c>
      <c r="D934" s="413" t="s">
        <v>6282</v>
      </c>
      <c r="E934" s="413" t="s">
        <v>6283</v>
      </c>
    </row>
    <row r="935" spans="1:5">
      <c r="A935" s="413">
        <v>471975959</v>
      </c>
      <c r="B935" s="413">
        <v>662942041.87176704</v>
      </c>
      <c r="D935" s="413" t="s">
        <v>6284</v>
      </c>
      <c r="E935" s="413" t="s">
        <v>6285</v>
      </c>
    </row>
    <row r="936" spans="1:5">
      <c r="A936" s="413">
        <v>472022826</v>
      </c>
      <c r="B936" s="413">
        <v>662988908.87231195</v>
      </c>
      <c r="D936" s="413" t="s">
        <v>6286</v>
      </c>
      <c r="E936" s="413" t="s">
        <v>6287</v>
      </c>
    </row>
    <row r="937" spans="1:5">
      <c r="A937" s="413">
        <v>472141564</v>
      </c>
      <c r="B937" s="413">
        <v>663107646.87361395</v>
      </c>
      <c r="D937" s="413" t="s">
        <v>6288</v>
      </c>
      <c r="E937" s="413" t="s">
        <v>6289</v>
      </c>
    </row>
    <row r="938" spans="1:5">
      <c r="A938" s="413">
        <v>472206359</v>
      </c>
      <c r="B938" s="413">
        <v>663172441.87429404</v>
      </c>
      <c r="D938" s="413" t="s">
        <v>6290</v>
      </c>
      <c r="E938" s="413" t="s">
        <v>6291</v>
      </c>
    </row>
    <row r="939" spans="1:5">
      <c r="A939" s="413">
        <v>472343227</v>
      </c>
      <c r="B939" s="413">
        <v>663309309.87576103</v>
      </c>
      <c r="D939" s="413" t="s">
        <v>6292</v>
      </c>
      <c r="E939" s="413" t="s">
        <v>6293</v>
      </c>
    </row>
    <row r="940" spans="1:5">
      <c r="A940" s="413">
        <v>472400754</v>
      </c>
      <c r="B940" s="413">
        <v>663366836.87641597</v>
      </c>
      <c r="D940" s="413" t="s">
        <v>6294</v>
      </c>
      <c r="E940" s="413" t="s">
        <v>6295</v>
      </c>
    </row>
    <row r="941" spans="1:5">
      <c r="A941" s="413">
        <v>472706801</v>
      </c>
      <c r="B941" s="413">
        <v>663672883.87971699</v>
      </c>
      <c r="D941" s="413" t="s">
        <v>6296</v>
      </c>
      <c r="E941" s="413" t="s">
        <v>6297</v>
      </c>
    </row>
    <row r="942" spans="1:5">
      <c r="A942" s="413">
        <v>472890328</v>
      </c>
      <c r="B942" s="413">
        <v>663856410.881724</v>
      </c>
      <c r="D942" s="413" t="s">
        <v>6298</v>
      </c>
      <c r="E942" s="413" t="s">
        <v>6299</v>
      </c>
    </row>
    <row r="943" spans="1:5">
      <c r="A943" s="413">
        <v>473117137</v>
      </c>
      <c r="B943" s="413">
        <v>664083219.88417196</v>
      </c>
      <c r="D943" s="413" t="s">
        <v>6300</v>
      </c>
      <c r="E943" s="413" t="s">
        <v>6301</v>
      </c>
    </row>
    <row r="944" spans="1:5">
      <c r="A944" s="413">
        <v>473289918</v>
      </c>
      <c r="B944" s="413">
        <v>664256000.88605905</v>
      </c>
      <c r="D944" s="413" t="s">
        <v>6302</v>
      </c>
      <c r="E944" s="413" t="s">
        <v>6303</v>
      </c>
    </row>
    <row r="945" spans="1:5">
      <c r="A945" s="413">
        <v>473376592</v>
      </c>
      <c r="B945" s="413">
        <v>664342674.88699806</v>
      </c>
      <c r="D945" s="413" t="s">
        <v>6304</v>
      </c>
      <c r="E945" s="413" t="s">
        <v>6305</v>
      </c>
    </row>
    <row r="946" spans="1:5">
      <c r="A946" s="413">
        <v>473426788</v>
      </c>
      <c r="B946" s="413">
        <v>664392870.88753998</v>
      </c>
      <c r="D946" s="413" t="s">
        <v>6306</v>
      </c>
      <c r="E946" s="413" t="s">
        <v>6307</v>
      </c>
    </row>
    <row r="947" spans="1:5">
      <c r="A947" s="413">
        <v>473624686</v>
      </c>
      <c r="B947" s="413">
        <v>664590768.88967001</v>
      </c>
      <c r="D947" s="413" t="s">
        <v>6308</v>
      </c>
      <c r="E947" s="413" t="s">
        <v>6309</v>
      </c>
    </row>
    <row r="948" spans="1:5">
      <c r="A948" s="413">
        <v>473714694</v>
      </c>
      <c r="B948" s="413">
        <v>664680776.89066505</v>
      </c>
      <c r="D948" s="413" t="s">
        <v>6310</v>
      </c>
      <c r="E948" s="413" t="s">
        <v>6311</v>
      </c>
    </row>
    <row r="949" spans="1:5">
      <c r="A949" s="413">
        <v>473797486</v>
      </c>
      <c r="B949" s="413">
        <v>664763568.89155996</v>
      </c>
      <c r="D949" s="413" t="s">
        <v>6312</v>
      </c>
      <c r="E949" s="413" t="s">
        <v>6313</v>
      </c>
    </row>
    <row r="950" spans="1:5">
      <c r="A950" s="413">
        <v>473876679</v>
      </c>
      <c r="B950" s="413">
        <v>664842761.89239395</v>
      </c>
      <c r="D950" s="413" t="s">
        <v>6314</v>
      </c>
      <c r="E950" s="413" t="s">
        <v>6315</v>
      </c>
    </row>
    <row r="951" spans="1:5">
      <c r="A951" s="413">
        <v>473977516</v>
      </c>
      <c r="B951" s="413">
        <v>664943598.89352596</v>
      </c>
      <c r="D951" s="413" t="s">
        <v>6316</v>
      </c>
      <c r="E951" s="413" t="s">
        <v>6317</v>
      </c>
    </row>
    <row r="952" spans="1:5">
      <c r="A952" s="413">
        <v>474236706</v>
      </c>
      <c r="B952" s="413">
        <v>665202788.89632905</v>
      </c>
      <c r="D952" s="413" t="s">
        <v>6318</v>
      </c>
      <c r="E952" s="413" t="s">
        <v>6319</v>
      </c>
    </row>
    <row r="953" spans="1:5">
      <c r="A953" s="413">
        <v>474312278</v>
      </c>
      <c r="B953" s="413">
        <v>665278360.89713395</v>
      </c>
      <c r="D953" s="413" t="s">
        <v>6320</v>
      </c>
      <c r="E953" s="413" t="s">
        <v>6321</v>
      </c>
    </row>
    <row r="954" spans="1:5">
      <c r="A954" s="413">
        <v>474380685</v>
      </c>
      <c r="B954" s="413">
        <v>665346767.89790404</v>
      </c>
      <c r="D954" s="413" t="s">
        <v>6322</v>
      </c>
      <c r="E954" s="413" t="s">
        <v>6323</v>
      </c>
    </row>
    <row r="955" spans="1:5">
      <c r="A955" s="413">
        <v>474477887</v>
      </c>
      <c r="B955" s="413">
        <v>665443969.89893699</v>
      </c>
      <c r="D955" s="413" t="s">
        <v>6324</v>
      </c>
      <c r="E955" s="413" t="s">
        <v>6325</v>
      </c>
    </row>
    <row r="956" spans="1:5">
      <c r="A956" s="413">
        <v>474539072</v>
      </c>
      <c r="B956" s="413">
        <v>665505154.89960504</v>
      </c>
      <c r="D956" s="413" t="s">
        <v>6326</v>
      </c>
      <c r="E956" s="413" t="s">
        <v>6327</v>
      </c>
    </row>
    <row r="957" spans="1:5">
      <c r="A957" s="413">
        <v>474849364</v>
      </c>
      <c r="B957" s="413">
        <v>665815446.90299702</v>
      </c>
      <c r="D957" s="413" t="s">
        <v>6328</v>
      </c>
      <c r="E957" s="413" t="s">
        <v>6329</v>
      </c>
    </row>
    <row r="958" spans="1:5">
      <c r="A958" s="413">
        <v>474927907</v>
      </c>
      <c r="B958" s="413">
        <v>665893989.90387201</v>
      </c>
      <c r="D958" s="413" t="s">
        <v>6330</v>
      </c>
      <c r="E958" s="413" t="s">
        <v>6331</v>
      </c>
    </row>
    <row r="959" spans="1:5">
      <c r="A959" s="413">
        <v>475014305</v>
      </c>
      <c r="B959" s="413">
        <v>665980387.90480602</v>
      </c>
      <c r="D959" s="413" t="s">
        <v>6332</v>
      </c>
      <c r="E959" s="413" t="s">
        <v>6333</v>
      </c>
    </row>
    <row r="960" spans="1:5">
      <c r="A960" s="413">
        <v>475082678</v>
      </c>
      <c r="B960" s="413">
        <v>666048760.90552795</v>
      </c>
      <c r="D960" s="413" t="s">
        <v>6334</v>
      </c>
      <c r="E960" s="413" t="s">
        <v>6335</v>
      </c>
    </row>
    <row r="961" spans="1:5">
      <c r="A961" s="413">
        <v>475176276</v>
      </c>
      <c r="B961" s="413">
        <v>666142358.906564</v>
      </c>
      <c r="D961" s="413" t="s">
        <v>6336</v>
      </c>
      <c r="E961" s="413" t="s">
        <v>6337</v>
      </c>
    </row>
    <row r="962" spans="1:5">
      <c r="A962" s="413">
        <v>475453481</v>
      </c>
      <c r="B962" s="413">
        <v>666419563.90956604</v>
      </c>
      <c r="D962" s="413" t="s">
        <v>6338</v>
      </c>
      <c r="E962" s="413" t="s">
        <v>6339</v>
      </c>
    </row>
    <row r="963" spans="1:5">
      <c r="A963" s="413">
        <v>475529101</v>
      </c>
      <c r="B963" s="413">
        <v>666495183.91042602</v>
      </c>
      <c r="D963" s="413" t="s">
        <v>6340</v>
      </c>
      <c r="E963" s="413" t="s">
        <v>6341</v>
      </c>
    </row>
    <row r="964" spans="1:5">
      <c r="A964" s="413">
        <v>475626288</v>
      </c>
      <c r="B964" s="413">
        <v>666592370.91147101</v>
      </c>
      <c r="D964" s="413" t="s">
        <v>6342</v>
      </c>
      <c r="E964" s="413" t="s">
        <v>6343</v>
      </c>
    </row>
    <row r="965" spans="1:5">
      <c r="A965" s="413">
        <v>475662280</v>
      </c>
      <c r="B965" s="413">
        <v>666628362.91185904</v>
      </c>
      <c r="D965" s="413" t="s">
        <v>6344</v>
      </c>
      <c r="E965" s="413" t="s">
        <v>6345</v>
      </c>
    </row>
    <row r="966" spans="1:5">
      <c r="A966" s="413">
        <v>475799089</v>
      </c>
      <c r="B966" s="413">
        <v>666765171.91335404</v>
      </c>
      <c r="D966" s="413" t="s">
        <v>6346</v>
      </c>
      <c r="E966" s="413" t="s">
        <v>6347</v>
      </c>
    </row>
    <row r="967" spans="1:5">
      <c r="A967" s="413">
        <v>475885488</v>
      </c>
      <c r="B967" s="413">
        <v>666851570.91430295</v>
      </c>
      <c r="D967" s="413" t="s">
        <v>6348</v>
      </c>
      <c r="E967" s="413" t="s">
        <v>6349</v>
      </c>
    </row>
    <row r="968" spans="1:5">
      <c r="A968" s="413">
        <v>475971889</v>
      </c>
      <c r="B968" s="413">
        <v>666937971.91523898</v>
      </c>
      <c r="D968" s="413" t="s">
        <v>6350</v>
      </c>
      <c r="E968" s="413" t="s">
        <v>6351</v>
      </c>
    </row>
    <row r="969" spans="1:5">
      <c r="A969" s="413">
        <v>476007889</v>
      </c>
      <c r="B969" s="413">
        <v>666973971.91564095</v>
      </c>
      <c r="D969" s="413" t="s">
        <v>6352</v>
      </c>
      <c r="E969" s="413" t="s">
        <v>6353</v>
      </c>
    </row>
    <row r="970" spans="1:5">
      <c r="A970" s="413">
        <v>476094291</v>
      </c>
      <c r="B970" s="413">
        <v>667060373.91658604</v>
      </c>
      <c r="D970" s="413" t="s">
        <v>6354</v>
      </c>
      <c r="E970" s="413" t="s">
        <v>6355</v>
      </c>
    </row>
    <row r="971" spans="1:5">
      <c r="A971" s="413">
        <v>476180693</v>
      </c>
      <c r="B971" s="413">
        <v>667146775.91752803</v>
      </c>
      <c r="D971" s="413" t="s">
        <v>6356</v>
      </c>
      <c r="E971" s="413" t="s">
        <v>6357</v>
      </c>
    </row>
    <row r="972" spans="1:5">
      <c r="A972" s="413">
        <v>476267094</v>
      </c>
      <c r="B972" s="413">
        <v>667233176.91847503</v>
      </c>
      <c r="D972" s="413" t="s">
        <v>6358</v>
      </c>
      <c r="E972" s="413" t="s">
        <v>6359</v>
      </c>
    </row>
    <row r="973" spans="1:5">
      <c r="A973" s="413">
        <v>476393097</v>
      </c>
      <c r="B973" s="413">
        <v>667359179.91984403</v>
      </c>
      <c r="D973" s="413" t="s">
        <v>6360</v>
      </c>
      <c r="E973" s="413" t="s">
        <v>6361</v>
      </c>
    </row>
    <row r="974" spans="1:5">
      <c r="A974" s="413">
        <v>476439899</v>
      </c>
      <c r="B974" s="413">
        <v>667405981.92037201</v>
      </c>
      <c r="D974" s="413" t="s">
        <v>6362</v>
      </c>
      <c r="E974" s="413" t="s">
        <v>6363</v>
      </c>
    </row>
    <row r="975" spans="1:5">
      <c r="A975" s="413">
        <v>476547899</v>
      </c>
      <c r="B975" s="413">
        <v>667513981.92154396</v>
      </c>
      <c r="D975" s="413" t="s">
        <v>6364</v>
      </c>
      <c r="E975" s="413" t="s">
        <v>6365</v>
      </c>
    </row>
    <row r="976" spans="1:5">
      <c r="A976" s="413">
        <v>476663106</v>
      </c>
      <c r="B976" s="413">
        <v>667629188.92281306</v>
      </c>
      <c r="D976" s="413" t="s">
        <v>6366</v>
      </c>
      <c r="E976" s="413" t="s">
        <v>6367</v>
      </c>
    </row>
    <row r="977" spans="1:5">
      <c r="A977" s="413">
        <v>476727907</v>
      </c>
      <c r="B977" s="413">
        <v>667693989.92354298</v>
      </c>
      <c r="D977" s="413" t="s">
        <v>6368</v>
      </c>
      <c r="E977" s="413" t="s">
        <v>6369</v>
      </c>
    </row>
    <row r="978" spans="1:5">
      <c r="A978" s="413">
        <v>476785509</v>
      </c>
      <c r="B978" s="413">
        <v>667751591.92416894</v>
      </c>
      <c r="D978" s="413" t="s">
        <v>6370</v>
      </c>
      <c r="E978" s="413" t="s">
        <v>6371</v>
      </c>
    </row>
    <row r="979" spans="1:5">
      <c r="A979" s="413">
        <v>476879119</v>
      </c>
      <c r="B979" s="413">
        <v>667845201.92520702</v>
      </c>
      <c r="D979" s="413" t="s">
        <v>6372</v>
      </c>
      <c r="E979" s="413" t="s">
        <v>6373</v>
      </c>
    </row>
    <row r="980" spans="1:5">
      <c r="A980" s="413">
        <v>476990726</v>
      </c>
      <c r="B980" s="413">
        <v>667956808.92643094</v>
      </c>
      <c r="D980" s="413" t="s">
        <v>6374</v>
      </c>
      <c r="E980" s="413" t="s">
        <v>6375</v>
      </c>
    </row>
    <row r="981" spans="1:5">
      <c r="A981" s="413">
        <v>477077124</v>
      </c>
      <c r="B981" s="413">
        <v>668043206.92737699</v>
      </c>
      <c r="D981" s="413" t="s">
        <v>6376</v>
      </c>
      <c r="E981" s="413" t="s">
        <v>6377</v>
      </c>
    </row>
    <row r="982" spans="1:5">
      <c r="A982" s="413">
        <v>477249938</v>
      </c>
      <c r="B982" s="413">
        <v>668216020.92929101</v>
      </c>
      <c r="D982" s="413" t="s">
        <v>6378</v>
      </c>
      <c r="E982" s="413" t="s">
        <v>6379</v>
      </c>
    </row>
    <row r="983" spans="1:5">
      <c r="A983" s="413">
        <v>477311134</v>
      </c>
      <c r="B983" s="413">
        <v>668277216.92996097</v>
      </c>
      <c r="D983" s="413" t="s">
        <v>6380</v>
      </c>
      <c r="E983" s="413" t="s">
        <v>6381</v>
      </c>
    </row>
    <row r="984" spans="1:5">
      <c r="A984" s="413">
        <v>477397542</v>
      </c>
      <c r="B984" s="413">
        <v>668363624.93091905</v>
      </c>
      <c r="D984" s="413" t="s">
        <v>6382</v>
      </c>
      <c r="E984" s="413" t="s">
        <v>6383</v>
      </c>
    </row>
    <row r="985" spans="1:5">
      <c r="A985" s="413">
        <v>477498336</v>
      </c>
      <c r="B985" s="413">
        <v>668464418.93200195</v>
      </c>
      <c r="D985" s="413" t="s">
        <v>6384</v>
      </c>
      <c r="E985" s="413" t="s">
        <v>6385</v>
      </c>
    </row>
    <row r="986" spans="1:5">
      <c r="A986" s="413">
        <v>477570351</v>
      </c>
      <c r="B986" s="413">
        <v>668536433.93281901</v>
      </c>
      <c r="D986" s="413" t="s">
        <v>6386</v>
      </c>
      <c r="E986" s="413" t="s">
        <v>6387</v>
      </c>
    </row>
    <row r="987" spans="1:5">
      <c r="A987" s="413">
        <v>477663949</v>
      </c>
      <c r="B987" s="413">
        <v>668630031.93382704</v>
      </c>
      <c r="D987" s="413" t="s">
        <v>6388</v>
      </c>
      <c r="E987" s="413" t="s">
        <v>6389</v>
      </c>
    </row>
    <row r="988" spans="1:5">
      <c r="A988" s="413">
        <v>477872751</v>
      </c>
      <c r="B988" s="413">
        <v>668838833.93615901</v>
      </c>
      <c r="D988" s="413" t="s">
        <v>6390</v>
      </c>
      <c r="E988" s="413" t="s">
        <v>6391</v>
      </c>
    </row>
    <row r="989" spans="1:5">
      <c r="A989" s="413">
        <v>477944755</v>
      </c>
      <c r="B989" s="413">
        <v>668910837.93691599</v>
      </c>
      <c r="D989" s="413" t="s">
        <v>6392</v>
      </c>
      <c r="E989" s="413" t="s">
        <v>6393</v>
      </c>
    </row>
    <row r="990" spans="1:5">
      <c r="A990" s="413">
        <v>478020354</v>
      </c>
      <c r="B990" s="413">
        <v>668986436.93777394</v>
      </c>
      <c r="D990" s="413" t="s">
        <v>6394</v>
      </c>
      <c r="E990" s="413" t="s">
        <v>6395</v>
      </c>
    </row>
    <row r="991" spans="1:5">
      <c r="A991" s="413">
        <v>478099555</v>
      </c>
      <c r="B991" s="413">
        <v>669065637.93865299</v>
      </c>
      <c r="D991" s="413" t="s">
        <v>6396</v>
      </c>
      <c r="E991" s="413" t="s">
        <v>6397</v>
      </c>
    </row>
    <row r="992" spans="1:5">
      <c r="A992" s="413">
        <v>478211270</v>
      </c>
      <c r="B992" s="413">
        <v>669177352.93989098</v>
      </c>
      <c r="D992" s="413" t="s">
        <v>6398</v>
      </c>
      <c r="E992" s="413" t="s">
        <v>6399</v>
      </c>
    </row>
    <row r="993" spans="1:5">
      <c r="A993" s="413">
        <v>478257978</v>
      </c>
      <c r="B993" s="413">
        <v>669224060.940418</v>
      </c>
      <c r="D993" s="413" t="s">
        <v>6400</v>
      </c>
      <c r="E993" s="413" t="s">
        <v>6401</v>
      </c>
    </row>
    <row r="994" spans="1:5">
      <c r="A994" s="413">
        <v>478380375</v>
      </c>
      <c r="B994" s="413">
        <v>669346457.94175005</v>
      </c>
      <c r="D994" s="413" t="s">
        <v>6402</v>
      </c>
      <c r="E994" s="413" t="s">
        <v>6403</v>
      </c>
    </row>
    <row r="995" spans="1:5">
      <c r="A995" s="413">
        <v>478477581</v>
      </c>
      <c r="B995" s="413">
        <v>669443663.94283903</v>
      </c>
      <c r="D995" s="413" t="s">
        <v>6404</v>
      </c>
      <c r="E995" s="413" t="s">
        <v>6405</v>
      </c>
    </row>
    <row r="996" spans="1:5">
      <c r="A996" s="413">
        <v>478535294</v>
      </c>
      <c r="B996" s="413">
        <v>669501376.94346905</v>
      </c>
      <c r="D996" s="413" t="s">
        <v>6406</v>
      </c>
      <c r="E996" s="413" t="s">
        <v>6407</v>
      </c>
    </row>
    <row r="997" spans="1:5">
      <c r="A997" s="413">
        <v>478636105</v>
      </c>
      <c r="B997" s="413">
        <v>669602187.94455302</v>
      </c>
      <c r="D997" s="413" t="s">
        <v>6408</v>
      </c>
      <c r="E997" s="413" t="s">
        <v>6409</v>
      </c>
    </row>
    <row r="998" spans="1:5">
      <c r="A998" s="413">
        <v>478689999</v>
      </c>
      <c r="B998" s="413">
        <v>669656081.94520795</v>
      </c>
      <c r="D998" s="413" t="s">
        <v>6410</v>
      </c>
      <c r="E998" s="413" t="s">
        <v>6411</v>
      </c>
    </row>
    <row r="999" spans="1:5">
      <c r="A999" s="413">
        <v>478812393</v>
      </c>
      <c r="B999" s="413">
        <v>669778475.94654298</v>
      </c>
      <c r="D999" s="413" t="s">
        <v>6412</v>
      </c>
      <c r="E999" s="413" t="s">
        <v>6413</v>
      </c>
    </row>
    <row r="1000" spans="1:5">
      <c r="A1000" s="413">
        <v>478905999</v>
      </c>
      <c r="B1000" s="413">
        <v>669872081.94758499</v>
      </c>
      <c r="D1000" s="413" t="s">
        <v>6414</v>
      </c>
      <c r="E1000" s="413" t="s">
        <v>6415</v>
      </c>
    </row>
    <row r="1001" spans="1:5">
      <c r="A1001" s="413">
        <v>478992408</v>
      </c>
      <c r="B1001" s="413">
        <v>669958490.94855905</v>
      </c>
      <c r="D1001" s="413" t="s">
        <v>6416</v>
      </c>
      <c r="E1001" s="413" t="s">
        <v>6417</v>
      </c>
    </row>
    <row r="1002" spans="1:5">
      <c r="A1002" s="413">
        <v>479032010</v>
      </c>
      <c r="B1002" s="413">
        <v>669998092.94900703</v>
      </c>
      <c r="D1002" s="413" t="s">
        <v>6418</v>
      </c>
      <c r="E1002" s="413" t="s">
        <v>6419</v>
      </c>
    </row>
    <row r="1003" spans="1:5">
      <c r="A1003" s="413">
        <v>479168813</v>
      </c>
      <c r="B1003" s="413">
        <v>670134895.95052397</v>
      </c>
      <c r="D1003" s="413" t="s">
        <v>6420</v>
      </c>
      <c r="E1003" s="413" t="s">
        <v>6421</v>
      </c>
    </row>
    <row r="1004" spans="1:5">
      <c r="A1004" s="413">
        <v>479330823</v>
      </c>
      <c r="B1004" s="413">
        <v>670296905.95230603</v>
      </c>
      <c r="D1004" s="413" t="s">
        <v>6422</v>
      </c>
      <c r="E1004" s="413" t="s">
        <v>6423</v>
      </c>
    </row>
    <row r="1005" spans="1:5">
      <c r="A1005" s="413">
        <v>479428028</v>
      </c>
      <c r="B1005" s="413">
        <v>670394110.95340502</v>
      </c>
      <c r="D1005" s="413" t="s">
        <v>6424</v>
      </c>
      <c r="E1005" s="413" t="s">
        <v>6425</v>
      </c>
    </row>
    <row r="1006" spans="1:5">
      <c r="A1006" s="413">
        <v>479514430</v>
      </c>
      <c r="B1006" s="413">
        <v>670480512.95437598</v>
      </c>
      <c r="D1006" s="413" t="s">
        <v>6426</v>
      </c>
      <c r="E1006" s="413" t="s">
        <v>6427</v>
      </c>
    </row>
    <row r="1007" spans="1:5">
      <c r="A1007" s="413">
        <v>479550436</v>
      </c>
      <c r="B1007" s="413">
        <v>670516518.95477295</v>
      </c>
      <c r="D1007" s="413" t="s">
        <v>6428</v>
      </c>
      <c r="E1007" s="413" t="s">
        <v>6429</v>
      </c>
    </row>
    <row r="1008" spans="1:5">
      <c r="A1008" s="413">
        <v>479687244</v>
      </c>
      <c r="B1008" s="413">
        <v>670653326.95630205</v>
      </c>
      <c r="D1008" s="413" t="s">
        <v>6430</v>
      </c>
      <c r="E1008" s="413" t="s">
        <v>6431</v>
      </c>
    </row>
    <row r="1009" spans="1:5">
      <c r="A1009" s="413">
        <v>479737709</v>
      </c>
      <c r="B1009" s="413">
        <v>670703791.95685005</v>
      </c>
      <c r="D1009" s="413" t="s">
        <v>6432</v>
      </c>
      <c r="E1009" s="413" t="s">
        <v>6433</v>
      </c>
    </row>
    <row r="1010" spans="1:5">
      <c r="A1010" s="413">
        <v>479860054</v>
      </c>
      <c r="B1010" s="413">
        <v>670826136.95824099</v>
      </c>
      <c r="D1010" s="413" t="s">
        <v>6434</v>
      </c>
      <c r="E1010" s="413" t="s">
        <v>6435</v>
      </c>
    </row>
    <row r="1011" spans="1:5">
      <c r="A1011" s="413">
        <v>479932049</v>
      </c>
      <c r="B1011" s="413">
        <v>670898131.95902598</v>
      </c>
      <c r="D1011" s="413" t="s">
        <v>6436</v>
      </c>
      <c r="E1011" s="413" t="s">
        <v>6437</v>
      </c>
    </row>
    <row r="1012" spans="1:5">
      <c r="A1012" s="413">
        <v>480014854</v>
      </c>
      <c r="B1012" s="413">
        <v>670980936.95994794</v>
      </c>
      <c r="D1012" s="413" t="s">
        <v>6438</v>
      </c>
      <c r="E1012" s="413" t="s">
        <v>6439</v>
      </c>
    </row>
    <row r="1013" spans="1:5">
      <c r="A1013" s="413">
        <v>480119267</v>
      </c>
      <c r="B1013" s="413">
        <v>671085349.96113801</v>
      </c>
      <c r="D1013" s="413" t="s">
        <v>6440</v>
      </c>
      <c r="E1013" s="413" t="s">
        <v>6441</v>
      </c>
    </row>
    <row r="1014" spans="1:5">
      <c r="A1014" s="413">
        <v>480140857</v>
      </c>
      <c r="B1014" s="413">
        <v>671106939.96134996</v>
      </c>
      <c r="D1014" s="413" t="s">
        <v>6442</v>
      </c>
      <c r="E1014" s="413" t="s">
        <v>6443</v>
      </c>
    </row>
    <row r="1015" spans="1:5">
      <c r="A1015" s="413">
        <v>480292075</v>
      </c>
      <c r="B1015" s="413">
        <v>671258157.96305501</v>
      </c>
      <c r="D1015" s="413" t="s">
        <v>6444</v>
      </c>
      <c r="E1015" s="413" t="s">
        <v>6445</v>
      </c>
    </row>
    <row r="1016" spans="1:5">
      <c r="A1016" s="413">
        <v>480349734</v>
      </c>
      <c r="B1016" s="413">
        <v>671315816.963709</v>
      </c>
      <c r="D1016" s="413" t="s">
        <v>6446</v>
      </c>
      <c r="E1016" s="413" t="s">
        <v>6447</v>
      </c>
    </row>
    <row r="1017" spans="1:5">
      <c r="A1017" s="413">
        <v>480464886</v>
      </c>
      <c r="B1017" s="413">
        <v>671430968.96499002</v>
      </c>
      <c r="D1017" s="413" t="s">
        <v>6448</v>
      </c>
      <c r="E1017" s="413" t="s">
        <v>6449</v>
      </c>
    </row>
    <row r="1018" spans="1:5">
      <c r="A1018" s="413">
        <v>480544086</v>
      </c>
      <c r="B1018" s="413">
        <v>671510168.965873</v>
      </c>
      <c r="D1018" s="413" t="s">
        <v>6450</v>
      </c>
      <c r="E1018" s="413" t="s">
        <v>6451</v>
      </c>
    </row>
    <row r="1019" spans="1:5">
      <c r="A1019" s="413">
        <v>480637705</v>
      </c>
      <c r="B1019" s="413">
        <v>671603787.96692705</v>
      </c>
      <c r="D1019" s="413" t="s">
        <v>6452</v>
      </c>
      <c r="E1019" s="413" t="s">
        <v>6453</v>
      </c>
    </row>
    <row r="1020" spans="1:5">
      <c r="A1020" s="413">
        <v>480720499</v>
      </c>
      <c r="B1020" s="413">
        <v>671686581.96786702</v>
      </c>
      <c r="D1020" s="413" t="s">
        <v>6454</v>
      </c>
      <c r="E1020" s="413" t="s">
        <v>6455</v>
      </c>
    </row>
    <row r="1021" spans="1:5">
      <c r="A1021" s="413">
        <v>480968906</v>
      </c>
      <c r="B1021" s="413">
        <v>671934988.97063303</v>
      </c>
      <c r="D1021" s="413" t="s">
        <v>6456</v>
      </c>
      <c r="E1021" s="413" t="s">
        <v>6457</v>
      </c>
    </row>
    <row r="1022" spans="1:5">
      <c r="A1022" s="413">
        <v>481040971</v>
      </c>
      <c r="B1022" s="413">
        <v>672007053.97148001</v>
      </c>
      <c r="D1022" s="413" t="s">
        <v>6458</v>
      </c>
      <c r="E1022" s="413" t="s">
        <v>6459</v>
      </c>
    </row>
    <row r="1023" spans="1:5">
      <c r="A1023" s="413">
        <v>481148919</v>
      </c>
      <c r="B1023" s="413">
        <v>672115001.97268105</v>
      </c>
      <c r="D1023" s="413" t="s">
        <v>6460</v>
      </c>
      <c r="E1023" s="413" t="s">
        <v>6461</v>
      </c>
    </row>
    <row r="1024" spans="1:5">
      <c r="A1024" s="413">
        <v>481238924</v>
      </c>
      <c r="B1024" s="413">
        <v>672205006.97369301</v>
      </c>
      <c r="D1024" s="413" t="s">
        <v>6462</v>
      </c>
      <c r="E1024" s="413" t="s">
        <v>6463</v>
      </c>
    </row>
    <row r="1025" spans="1:5">
      <c r="A1025" s="413">
        <v>481415335</v>
      </c>
      <c r="B1025" s="413">
        <v>672381417.97568595</v>
      </c>
      <c r="D1025" s="413" t="s">
        <v>6464</v>
      </c>
      <c r="E1025" s="413" t="s">
        <v>6465</v>
      </c>
    </row>
    <row r="1026" spans="1:5">
      <c r="A1026" s="413">
        <v>481469398</v>
      </c>
      <c r="B1026" s="413">
        <v>672435480.97630095</v>
      </c>
      <c r="D1026" s="413" t="s">
        <v>6466</v>
      </c>
      <c r="E1026" s="413" t="s">
        <v>6467</v>
      </c>
    </row>
    <row r="1027" spans="1:5">
      <c r="A1027" s="413">
        <v>481555738</v>
      </c>
      <c r="B1027" s="413">
        <v>672521820.97723103</v>
      </c>
      <c r="D1027" s="413" t="s">
        <v>6468</v>
      </c>
      <c r="E1027" s="413" t="s">
        <v>6469</v>
      </c>
    </row>
    <row r="1028" spans="1:5">
      <c r="A1028" s="413">
        <v>481667342</v>
      </c>
      <c r="B1028" s="413">
        <v>672633424.97851396</v>
      </c>
      <c r="D1028" s="413" t="s">
        <v>6470</v>
      </c>
      <c r="E1028" s="413" t="s">
        <v>6471</v>
      </c>
    </row>
    <row r="1029" spans="1:5">
      <c r="A1029" s="413">
        <v>481753746</v>
      </c>
      <c r="B1029" s="413">
        <v>672719828.97948897</v>
      </c>
      <c r="D1029" s="413" t="s">
        <v>6472</v>
      </c>
      <c r="E1029" s="413" t="s">
        <v>6473</v>
      </c>
    </row>
    <row r="1030" spans="1:5">
      <c r="A1030" s="413">
        <v>481847358</v>
      </c>
      <c r="B1030" s="413">
        <v>672813440.98055506</v>
      </c>
      <c r="D1030" s="413" t="s">
        <v>6474</v>
      </c>
      <c r="E1030" s="413" t="s">
        <v>6475</v>
      </c>
    </row>
    <row r="1031" spans="1:5">
      <c r="A1031" s="413">
        <v>481933765</v>
      </c>
      <c r="B1031" s="413">
        <v>672899847.98153102</v>
      </c>
      <c r="D1031" s="413" t="s">
        <v>6476</v>
      </c>
      <c r="E1031" s="413" t="s">
        <v>6477</v>
      </c>
    </row>
    <row r="1032" spans="1:5">
      <c r="A1032" s="413">
        <v>482005759</v>
      </c>
      <c r="B1032" s="413">
        <v>672971841.98232901</v>
      </c>
      <c r="D1032" s="413" t="s">
        <v>6478</v>
      </c>
      <c r="E1032" s="413" t="s">
        <v>6479</v>
      </c>
    </row>
    <row r="1033" spans="1:5">
      <c r="A1033" s="413">
        <v>482095764</v>
      </c>
      <c r="B1033" s="413">
        <v>673061846.98335099</v>
      </c>
      <c r="D1033" s="413" t="s">
        <v>6480</v>
      </c>
      <c r="E1033" s="413" t="s">
        <v>6481</v>
      </c>
    </row>
    <row r="1034" spans="1:5">
      <c r="A1034" s="413">
        <v>482192982</v>
      </c>
      <c r="B1034" s="413">
        <v>673159064.98445904</v>
      </c>
      <c r="D1034" s="413" t="s">
        <v>6482</v>
      </c>
      <c r="E1034" s="413" t="s">
        <v>6483</v>
      </c>
    </row>
    <row r="1035" spans="1:5">
      <c r="A1035" s="413">
        <v>482250582</v>
      </c>
      <c r="B1035" s="413">
        <v>673216664.98512101</v>
      </c>
      <c r="D1035" s="413" t="s">
        <v>6484</v>
      </c>
      <c r="E1035" s="413" t="s">
        <v>6485</v>
      </c>
    </row>
    <row r="1036" spans="1:5">
      <c r="A1036" s="413">
        <v>482358572</v>
      </c>
      <c r="B1036" s="413">
        <v>673324654.98633599</v>
      </c>
      <c r="D1036" s="413" t="s">
        <v>6486</v>
      </c>
      <c r="E1036" s="413" t="s">
        <v>6487</v>
      </c>
    </row>
    <row r="1037" spans="1:5">
      <c r="A1037" s="413">
        <v>482617815</v>
      </c>
      <c r="B1037" s="413">
        <v>673583897.98927402</v>
      </c>
      <c r="D1037" s="413" t="s">
        <v>6488</v>
      </c>
      <c r="E1037" s="413" t="s">
        <v>6489</v>
      </c>
    </row>
    <row r="1038" spans="1:5">
      <c r="A1038" s="413">
        <v>483046233</v>
      </c>
      <c r="B1038" s="413">
        <v>674012315.99412203</v>
      </c>
      <c r="D1038" s="413" t="s">
        <v>6490</v>
      </c>
      <c r="E1038" s="413" t="s">
        <v>6491</v>
      </c>
    </row>
    <row r="1039" spans="1:5">
      <c r="A1039" s="413">
        <v>483078594</v>
      </c>
      <c r="B1039" s="413">
        <v>674044676.99448502</v>
      </c>
      <c r="D1039" s="413" t="s">
        <v>6492</v>
      </c>
      <c r="E1039" s="413" t="s">
        <v>6493</v>
      </c>
    </row>
    <row r="1040" spans="1:5">
      <c r="A1040" s="413">
        <v>483258633</v>
      </c>
      <c r="B1040" s="413">
        <v>674224715.99653399</v>
      </c>
      <c r="D1040" s="413" t="s">
        <v>6494</v>
      </c>
      <c r="E1040" s="413" t="s">
        <v>6495</v>
      </c>
    </row>
    <row r="1041" spans="1:5">
      <c r="A1041" s="413">
        <v>483402648</v>
      </c>
      <c r="B1041" s="413">
        <v>674368730.99815702</v>
      </c>
      <c r="D1041" s="413" t="s">
        <v>6496</v>
      </c>
      <c r="E1041" s="413" t="s">
        <v>6497</v>
      </c>
    </row>
    <row r="1042" spans="1:5">
      <c r="A1042" s="413">
        <v>483489052</v>
      </c>
      <c r="B1042" s="413">
        <v>674455134.999143</v>
      </c>
      <c r="D1042" s="413" t="s">
        <v>6498</v>
      </c>
      <c r="E1042" s="413" t="s">
        <v>6499</v>
      </c>
    </row>
    <row r="1043" spans="1:5">
      <c r="A1043" s="413">
        <v>483568221</v>
      </c>
      <c r="B1043" s="413">
        <v>674534304.00004399</v>
      </c>
      <c r="D1043" s="413" t="s">
        <v>6500</v>
      </c>
      <c r="E1043" s="413" t="s">
        <v>6501</v>
      </c>
    </row>
    <row r="1044" spans="1:5">
      <c r="A1044" s="413">
        <v>483647420</v>
      </c>
      <c r="B1044" s="413">
        <v>674613503.00093305</v>
      </c>
      <c r="D1044" s="413" t="s">
        <v>6502</v>
      </c>
      <c r="E1044" s="413" t="s">
        <v>6503</v>
      </c>
    </row>
    <row r="1045" spans="1:5">
      <c r="A1045" s="413">
        <v>483748261</v>
      </c>
      <c r="B1045" s="413">
        <v>674714344.00207102</v>
      </c>
      <c r="D1045" s="413" t="s">
        <v>6504</v>
      </c>
      <c r="E1045" s="413" t="s">
        <v>6505</v>
      </c>
    </row>
    <row r="1046" spans="1:5">
      <c r="A1046" s="413">
        <v>483802249</v>
      </c>
      <c r="B1046" s="413">
        <v>674768332.00268805</v>
      </c>
      <c r="D1046" s="413" t="s">
        <v>6506</v>
      </c>
      <c r="E1046" s="413" t="s">
        <v>6507</v>
      </c>
    </row>
    <row r="1047" spans="1:5">
      <c r="A1047" s="413">
        <v>483913833</v>
      </c>
      <c r="B1047" s="413">
        <v>674879916.00396299</v>
      </c>
      <c r="D1047" s="413" t="s">
        <v>6508</v>
      </c>
      <c r="E1047" s="413" t="s">
        <v>6509</v>
      </c>
    </row>
    <row r="1048" spans="1:5">
      <c r="A1048" s="413">
        <v>484003848</v>
      </c>
      <c r="B1048" s="413">
        <v>674969931.00498903</v>
      </c>
      <c r="D1048" s="413" t="s">
        <v>6510</v>
      </c>
      <c r="E1048" s="413" t="s">
        <v>6511</v>
      </c>
    </row>
    <row r="1049" spans="1:5">
      <c r="A1049" s="413">
        <v>484090285</v>
      </c>
      <c r="B1049" s="413">
        <v>675056368.00596499</v>
      </c>
      <c r="D1049" s="413" t="s">
        <v>6512</v>
      </c>
      <c r="E1049" s="413" t="s">
        <v>6513</v>
      </c>
    </row>
    <row r="1050" spans="1:5">
      <c r="A1050" s="413">
        <v>484147857</v>
      </c>
      <c r="B1050" s="413">
        <v>675113940.00661695</v>
      </c>
      <c r="D1050" s="413" t="s">
        <v>6514</v>
      </c>
      <c r="E1050" s="413" t="s">
        <v>6515</v>
      </c>
    </row>
    <row r="1051" spans="1:5">
      <c r="A1051" s="413">
        <v>484267331</v>
      </c>
      <c r="B1051" s="413">
        <v>675233414.00795197</v>
      </c>
      <c r="D1051" s="413" t="s">
        <v>6516</v>
      </c>
      <c r="E1051" s="413" t="s">
        <v>6517</v>
      </c>
    </row>
    <row r="1052" spans="1:5">
      <c r="A1052" s="413">
        <v>484345846</v>
      </c>
      <c r="B1052" s="413">
        <v>675311929.00887001</v>
      </c>
      <c r="D1052" s="413" t="s">
        <v>6518</v>
      </c>
      <c r="E1052" s="413" t="s">
        <v>6519</v>
      </c>
    </row>
    <row r="1053" spans="1:5">
      <c r="A1053" s="413">
        <v>484407073</v>
      </c>
      <c r="B1053" s="413">
        <v>675373156.00956798</v>
      </c>
      <c r="D1053" s="413" t="s">
        <v>6520</v>
      </c>
      <c r="E1053" s="413" t="s">
        <v>6521</v>
      </c>
    </row>
    <row r="1054" spans="1:5">
      <c r="A1054" s="413">
        <v>484515045</v>
      </c>
      <c r="B1054" s="413">
        <v>675481128.01079905</v>
      </c>
      <c r="D1054" s="413" t="s">
        <v>6522</v>
      </c>
      <c r="E1054" s="413" t="s">
        <v>6523</v>
      </c>
    </row>
    <row r="1055" spans="1:5">
      <c r="A1055" s="413">
        <v>484612312</v>
      </c>
      <c r="B1055" s="413">
        <v>675578395.01188302</v>
      </c>
      <c r="D1055" s="413" t="s">
        <v>6524</v>
      </c>
      <c r="E1055" s="413" t="s">
        <v>6525</v>
      </c>
    </row>
    <row r="1056" spans="1:5">
      <c r="A1056" s="413">
        <v>484695075</v>
      </c>
      <c r="B1056" s="413">
        <v>675661158.01284599</v>
      </c>
      <c r="D1056" s="413" t="s">
        <v>6526</v>
      </c>
      <c r="E1056" s="413" t="s">
        <v>6527</v>
      </c>
    </row>
    <row r="1057" spans="1:5">
      <c r="A1057" s="413">
        <v>484767044</v>
      </c>
      <c r="B1057" s="413">
        <v>675733127.013641</v>
      </c>
      <c r="D1057" s="413" t="s">
        <v>6528</v>
      </c>
      <c r="E1057" s="413" t="s">
        <v>6529</v>
      </c>
    </row>
    <row r="1058" spans="1:5">
      <c r="A1058" s="413">
        <v>484831848</v>
      </c>
      <c r="B1058" s="413">
        <v>675797931.01439297</v>
      </c>
      <c r="D1058" s="413" t="s">
        <v>6530</v>
      </c>
      <c r="E1058" s="413" t="s">
        <v>6531</v>
      </c>
    </row>
    <row r="1059" spans="1:5">
      <c r="A1059" s="413">
        <v>484918252</v>
      </c>
      <c r="B1059" s="413">
        <v>675884335.01537704</v>
      </c>
      <c r="D1059" s="413" t="s">
        <v>6532</v>
      </c>
      <c r="E1059" s="413" t="s">
        <v>6533</v>
      </c>
    </row>
    <row r="1060" spans="1:5">
      <c r="A1060" s="413">
        <v>485033455</v>
      </c>
      <c r="B1060" s="413">
        <v>675999538.01669002</v>
      </c>
      <c r="D1060" s="413" t="s">
        <v>6534</v>
      </c>
      <c r="E1060" s="413" t="s">
        <v>6535</v>
      </c>
    </row>
    <row r="1061" spans="1:5">
      <c r="A1061" s="413">
        <v>485130720</v>
      </c>
      <c r="B1061" s="413">
        <v>676096803.01775396</v>
      </c>
      <c r="D1061" s="413" t="s">
        <v>6536</v>
      </c>
      <c r="E1061" s="413" t="s">
        <v>6537</v>
      </c>
    </row>
    <row r="1062" spans="1:5">
      <c r="A1062" s="413">
        <v>485209863</v>
      </c>
      <c r="B1062" s="413">
        <v>676175946.01870799</v>
      </c>
      <c r="D1062" s="413" t="s">
        <v>6538</v>
      </c>
      <c r="E1062" s="413" t="s">
        <v>6539</v>
      </c>
    </row>
    <row r="1063" spans="1:5">
      <c r="A1063" s="413">
        <v>485289053</v>
      </c>
      <c r="B1063" s="413">
        <v>676255136.019593</v>
      </c>
      <c r="D1063" s="413" t="s">
        <v>6540</v>
      </c>
      <c r="E1063" s="413" t="s">
        <v>6541</v>
      </c>
    </row>
    <row r="1064" spans="1:5">
      <c r="A1064" s="413">
        <v>485555471</v>
      </c>
      <c r="B1064" s="413">
        <v>676521554.02264595</v>
      </c>
      <c r="D1064" s="413" t="s">
        <v>6542</v>
      </c>
      <c r="E1064" s="413" t="s">
        <v>6543</v>
      </c>
    </row>
    <row r="1065" spans="1:5">
      <c r="A1065" s="413">
        <v>485641873</v>
      </c>
      <c r="B1065" s="413">
        <v>676607956.02364004</v>
      </c>
      <c r="D1065" s="413" t="s">
        <v>6544</v>
      </c>
      <c r="E1065" s="413" t="s">
        <v>6545</v>
      </c>
    </row>
    <row r="1066" spans="1:5">
      <c r="A1066" s="413">
        <v>485724662</v>
      </c>
      <c r="B1066" s="413">
        <v>676690745.02457297</v>
      </c>
      <c r="D1066" s="413" t="s">
        <v>6546</v>
      </c>
      <c r="E1066" s="413" t="s">
        <v>6547</v>
      </c>
    </row>
    <row r="1067" spans="1:5">
      <c r="A1067" s="413">
        <v>485814687</v>
      </c>
      <c r="B1067" s="413">
        <v>676780770.02560902</v>
      </c>
      <c r="D1067" s="413" t="s">
        <v>6548</v>
      </c>
      <c r="E1067" s="413" t="s">
        <v>6549</v>
      </c>
    </row>
    <row r="1068" spans="1:5">
      <c r="A1068" s="413">
        <v>485890251</v>
      </c>
      <c r="B1068" s="413">
        <v>676856334.02646601</v>
      </c>
      <c r="D1068" s="413" t="s">
        <v>6550</v>
      </c>
      <c r="E1068" s="413" t="s">
        <v>6551</v>
      </c>
    </row>
    <row r="1069" spans="1:5">
      <c r="A1069" s="413">
        <v>485987485</v>
      </c>
      <c r="B1069" s="413">
        <v>676953568.02758002</v>
      </c>
      <c r="D1069" s="413" t="s">
        <v>6552</v>
      </c>
      <c r="E1069" s="413" t="s">
        <v>6553</v>
      </c>
    </row>
    <row r="1070" spans="1:5">
      <c r="A1070" s="413">
        <v>486034246</v>
      </c>
      <c r="B1070" s="413">
        <v>677000329.02808404</v>
      </c>
      <c r="D1070" s="413" t="s">
        <v>6554</v>
      </c>
      <c r="E1070" s="413" t="s">
        <v>6555</v>
      </c>
    </row>
    <row r="1071" spans="1:5">
      <c r="A1071" s="413">
        <v>486135046</v>
      </c>
      <c r="B1071" s="413">
        <v>677101129.02923095</v>
      </c>
      <c r="D1071" s="413" t="s">
        <v>6556</v>
      </c>
      <c r="E1071" s="413" t="s">
        <v>6557</v>
      </c>
    </row>
    <row r="1072" spans="1:5">
      <c r="A1072" s="413">
        <v>486221445</v>
      </c>
      <c r="B1072" s="413">
        <v>677187528.03022003</v>
      </c>
      <c r="D1072" s="413" t="s">
        <v>6558</v>
      </c>
      <c r="E1072" s="413" t="s">
        <v>6559</v>
      </c>
    </row>
    <row r="1073" spans="1:5">
      <c r="A1073" s="413">
        <v>486340919</v>
      </c>
      <c r="B1073" s="413">
        <v>677307002.03159499</v>
      </c>
      <c r="D1073" s="413" t="s">
        <v>6560</v>
      </c>
      <c r="E1073" s="413" t="s">
        <v>6561</v>
      </c>
    </row>
    <row r="1074" spans="1:5">
      <c r="A1074" s="413">
        <v>486415861</v>
      </c>
      <c r="B1074" s="413">
        <v>677381944.03246605</v>
      </c>
      <c r="D1074" s="413" t="s">
        <v>6562</v>
      </c>
      <c r="E1074" s="413" t="s">
        <v>6563</v>
      </c>
    </row>
    <row r="1075" spans="1:5">
      <c r="A1075" s="413">
        <v>486491443</v>
      </c>
      <c r="B1075" s="413">
        <v>677457526.03332698</v>
      </c>
      <c r="D1075" s="413" t="s">
        <v>6564</v>
      </c>
      <c r="E1075" s="413" t="s">
        <v>6565</v>
      </c>
    </row>
    <row r="1076" spans="1:5">
      <c r="A1076" s="413">
        <v>486574242</v>
      </c>
      <c r="B1076" s="413">
        <v>677540325.034271</v>
      </c>
      <c r="D1076" s="413" t="s">
        <v>6566</v>
      </c>
      <c r="E1076" s="413" t="s">
        <v>6567</v>
      </c>
    </row>
    <row r="1077" spans="1:5">
      <c r="A1077" s="413">
        <v>486671444</v>
      </c>
      <c r="B1077" s="413">
        <v>677637527.03538299</v>
      </c>
      <c r="D1077" s="413" t="s">
        <v>6568</v>
      </c>
      <c r="E1077" s="413" t="s">
        <v>6569</v>
      </c>
    </row>
    <row r="1078" spans="1:5">
      <c r="A1078" s="413">
        <v>486732665</v>
      </c>
      <c r="B1078" s="413">
        <v>677698748.03607297</v>
      </c>
      <c r="D1078" s="413" t="s">
        <v>6570</v>
      </c>
      <c r="E1078" s="413" t="s">
        <v>6571</v>
      </c>
    </row>
    <row r="1079" spans="1:5">
      <c r="A1079" s="413">
        <v>486847878</v>
      </c>
      <c r="B1079" s="413">
        <v>677813961.03740001</v>
      </c>
      <c r="D1079" s="413" t="s">
        <v>6572</v>
      </c>
      <c r="E1079" s="413" t="s">
        <v>6573</v>
      </c>
    </row>
    <row r="1080" spans="1:5">
      <c r="A1080" s="413">
        <v>486945111</v>
      </c>
      <c r="B1080" s="413">
        <v>677911194.03848004</v>
      </c>
      <c r="D1080" s="413" t="s">
        <v>6574</v>
      </c>
      <c r="E1080" s="413" t="s">
        <v>6575</v>
      </c>
    </row>
    <row r="1081" spans="1:5">
      <c r="A1081" s="413">
        <v>487032695</v>
      </c>
      <c r="B1081" s="413">
        <v>677998778.03949106</v>
      </c>
      <c r="D1081" s="413" t="s">
        <v>6576</v>
      </c>
      <c r="E1081" s="413" t="s">
        <v>6577</v>
      </c>
    </row>
    <row r="1082" spans="1:5">
      <c r="A1082" s="413">
        <v>487103445</v>
      </c>
      <c r="B1082" s="413">
        <v>678069528.04033005</v>
      </c>
      <c r="D1082" s="413" t="s">
        <v>6578</v>
      </c>
      <c r="E1082" s="413" t="s">
        <v>6579</v>
      </c>
    </row>
    <row r="1083" spans="1:5">
      <c r="A1083" s="413">
        <v>487164655</v>
      </c>
      <c r="B1083" s="413">
        <v>678130738.04102898</v>
      </c>
      <c r="D1083" s="413" t="s">
        <v>6580</v>
      </c>
      <c r="E1083" s="413" t="s">
        <v>6581</v>
      </c>
    </row>
    <row r="1084" spans="1:5">
      <c r="A1084" s="413">
        <v>487247452</v>
      </c>
      <c r="B1084" s="413">
        <v>678213535.04196596</v>
      </c>
      <c r="D1084" s="413" t="s">
        <v>6582</v>
      </c>
      <c r="E1084" s="413" t="s">
        <v>6583</v>
      </c>
    </row>
    <row r="1085" spans="1:5">
      <c r="A1085" s="413">
        <v>487333848</v>
      </c>
      <c r="B1085" s="413">
        <v>678299931.04295897</v>
      </c>
      <c r="D1085" s="413" t="s">
        <v>6584</v>
      </c>
      <c r="E1085" s="413" t="s">
        <v>6585</v>
      </c>
    </row>
    <row r="1086" spans="1:5">
      <c r="A1086" s="413">
        <v>487463511</v>
      </c>
      <c r="B1086" s="413">
        <v>678429594.04441702</v>
      </c>
      <c r="D1086" s="413" t="s">
        <v>6586</v>
      </c>
      <c r="E1086" s="413" t="s">
        <v>6587</v>
      </c>
    </row>
    <row r="1087" spans="1:5">
      <c r="A1087" s="413">
        <v>487531825</v>
      </c>
      <c r="B1087" s="413">
        <v>678497908.04521298</v>
      </c>
      <c r="D1087" s="413" t="s">
        <v>6588</v>
      </c>
      <c r="E1087" s="413" t="s">
        <v>6589</v>
      </c>
    </row>
    <row r="1088" spans="1:5">
      <c r="A1088" s="413">
        <v>487596612</v>
      </c>
      <c r="B1088" s="413">
        <v>678562695.04592705</v>
      </c>
      <c r="D1088" s="413" t="s">
        <v>6590</v>
      </c>
      <c r="E1088" s="413" t="s">
        <v>6591</v>
      </c>
    </row>
    <row r="1089" spans="1:5">
      <c r="A1089" s="413">
        <v>487704617</v>
      </c>
      <c r="B1089" s="413">
        <v>678670700.04718804</v>
      </c>
      <c r="D1089" s="413" t="s">
        <v>6592</v>
      </c>
      <c r="E1089" s="413" t="s">
        <v>6593</v>
      </c>
    </row>
    <row r="1090" spans="1:5">
      <c r="A1090" s="413">
        <v>487809112</v>
      </c>
      <c r="B1090" s="413">
        <v>678775195.04836297</v>
      </c>
      <c r="D1090" s="413" t="s">
        <v>6594</v>
      </c>
      <c r="E1090" s="413" t="s">
        <v>6595</v>
      </c>
    </row>
    <row r="1091" spans="1:5">
      <c r="A1091" s="413">
        <v>487881018</v>
      </c>
      <c r="B1091" s="413">
        <v>678847101.04920995</v>
      </c>
      <c r="D1091" s="413" t="s">
        <v>6596</v>
      </c>
      <c r="E1091" s="413" t="s">
        <v>6597</v>
      </c>
    </row>
    <row r="1092" spans="1:5">
      <c r="A1092" s="413">
        <v>487938632</v>
      </c>
      <c r="B1092" s="413">
        <v>678904715.04986095</v>
      </c>
      <c r="D1092" s="413" t="s">
        <v>6598</v>
      </c>
      <c r="E1092" s="413" t="s">
        <v>6599</v>
      </c>
    </row>
    <row r="1093" spans="1:5">
      <c r="A1093" s="413">
        <v>488042994</v>
      </c>
      <c r="B1093" s="413">
        <v>679009077.05104601</v>
      </c>
      <c r="D1093" s="413" t="s">
        <v>6600</v>
      </c>
      <c r="E1093" s="413" t="s">
        <v>6601</v>
      </c>
    </row>
    <row r="1094" spans="1:5">
      <c r="A1094" s="413">
        <v>488140230</v>
      </c>
      <c r="B1094" s="413">
        <v>679106313.05217803</v>
      </c>
      <c r="D1094" s="413" t="s">
        <v>6602</v>
      </c>
      <c r="E1094" s="413" t="s">
        <v>6603</v>
      </c>
    </row>
    <row r="1095" spans="1:5">
      <c r="A1095" s="413">
        <v>488241082</v>
      </c>
      <c r="B1095" s="413">
        <v>679207165.05330598</v>
      </c>
      <c r="D1095" s="413" t="s">
        <v>6604</v>
      </c>
      <c r="E1095" s="413" t="s">
        <v>6605</v>
      </c>
    </row>
    <row r="1096" spans="1:5">
      <c r="A1096" s="413">
        <v>488309391</v>
      </c>
      <c r="B1096" s="413">
        <v>679275474.05410004</v>
      </c>
      <c r="D1096" s="413" t="s">
        <v>6606</v>
      </c>
      <c r="E1096" s="413" t="s">
        <v>6607</v>
      </c>
    </row>
    <row r="1097" spans="1:5">
      <c r="A1097" s="413">
        <v>488399414</v>
      </c>
      <c r="B1097" s="413">
        <v>679365497.05513597</v>
      </c>
      <c r="D1097" s="413" t="s">
        <v>6608</v>
      </c>
      <c r="E1097" s="413" t="s">
        <v>6609</v>
      </c>
    </row>
    <row r="1098" spans="1:5">
      <c r="A1098" s="413">
        <v>488471373</v>
      </c>
      <c r="B1098" s="413">
        <v>679437456.05594504</v>
      </c>
      <c r="D1098" s="413" t="s">
        <v>6610</v>
      </c>
      <c r="E1098" s="413" t="s">
        <v>6611</v>
      </c>
    </row>
    <row r="1099" spans="1:5">
      <c r="A1099" s="413">
        <v>488572203</v>
      </c>
      <c r="B1099" s="413">
        <v>679538286.05711401</v>
      </c>
      <c r="D1099" s="413" t="s">
        <v>6612</v>
      </c>
      <c r="E1099" s="413" t="s">
        <v>6613</v>
      </c>
    </row>
    <row r="1100" spans="1:5">
      <c r="A1100" s="413">
        <v>488636963</v>
      </c>
      <c r="B1100" s="413">
        <v>679603046.05782998</v>
      </c>
      <c r="D1100" s="413" t="s">
        <v>6614</v>
      </c>
      <c r="E1100" s="413" t="s">
        <v>6615</v>
      </c>
    </row>
    <row r="1101" spans="1:5">
      <c r="A1101" s="413">
        <v>488759376</v>
      </c>
      <c r="B1101" s="413">
        <v>679725459.05923104</v>
      </c>
      <c r="D1101" s="413" t="s">
        <v>6616</v>
      </c>
      <c r="E1101" s="413" t="s">
        <v>6617</v>
      </c>
    </row>
    <row r="1102" spans="1:5">
      <c r="A1102" s="413">
        <v>488831396</v>
      </c>
      <c r="B1102" s="413">
        <v>679797479.06006396</v>
      </c>
      <c r="D1102" s="413" t="s">
        <v>6618</v>
      </c>
      <c r="E1102" s="413" t="s">
        <v>6619</v>
      </c>
    </row>
    <row r="1103" spans="1:5">
      <c r="A1103" s="413">
        <v>488910558</v>
      </c>
      <c r="B1103" s="413">
        <v>679876641.06096399</v>
      </c>
      <c r="D1103" s="413" t="s">
        <v>6620</v>
      </c>
      <c r="E1103" s="413" t="s">
        <v>6621</v>
      </c>
    </row>
    <row r="1104" spans="1:5">
      <c r="A1104" s="413">
        <v>489000557</v>
      </c>
      <c r="B1104" s="413">
        <v>679966640.06200302</v>
      </c>
      <c r="D1104" s="413" t="s">
        <v>6622</v>
      </c>
      <c r="E1104" s="413" t="s">
        <v>6623</v>
      </c>
    </row>
    <row r="1105" spans="1:5">
      <c r="A1105" s="413">
        <v>489104949</v>
      </c>
      <c r="B1105" s="413">
        <v>680071032.06317306</v>
      </c>
      <c r="D1105" s="413" t="s">
        <v>6624</v>
      </c>
      <c r="E1105" s="413" t="s">
        <v>6625</v>
      </c>
    </row>
    <row r="1106" spans="1:5">
      <c r="A1106" s="413">
        <v>489191342</v>
      </c>
      <c r="B1106" s="413">
        <v>680157425.064165</v>
      </c>
      <c r="D1106" s="413" t="s">
        <v>6626</v>
      </c>
      <c r="E1106" s="413" t="s">
        <v>6627</v>
      </c>
    </row>
    <row r="1107" spans="1:5">
      <c r="A1107" s="413">
        <v>489277740</v>
      </c>
      <c r="B1107" s="413">
        <v>680243823.06515002</v>
      </c>
      <c r="D1107" s="413" t="s">
        <v>6628</v>
      </c>
      <c r="E1107" s="413" t="s">
        <v>6629</v>
      </c>
    </row>
    <row r="1108" spans="1:5">
      <c r="A1108" s="413">
        <v>489338922</v>
      </c>
      <c r="B1108" s="413">
        <v>680305005.06586802</v>
      </c>
      <c r="D1108" s="413" t="s">
        <v>6630</v>
      </c>
      <c r="E1108" s="413" t="s">
        <v>6631</v>
      </c>
    </row>
    <row r="1109" spans="1:5">
      <c r="A1109" s="413">
        <v>489450530</v>
      </c>
      <c r="B1109" s="413">
        <v>680416613.067114</v>
      </c>
      <c r="D1109" s="413" t="s">
        <v>6632</v>
      </c>
      <c r="E1109" s="413" t="s">
        <v>6633</v>
      </c>
    </row>
    <row r="1110" spans="1:5">
      <c r="A1110" s="413">
        <v>489536920</v>
      </c>
      <c r="B1110" s="413">
        <v>680503003.06809902</v>
      </c>
      <c r="D1110" s="413" t="s">
        <v>6634</v>
      </c>
      <c r="E1110" s="413" t="s">
        <v>6635</v>
      </c>
    </row>
    <row r="1111" spans="1:5">
      <c r="A1111" s="413">
        <v>489605337</v>
      </c>
      <c r="B1111" s="413">
        <v>680571420.06889498</v>
      </c>
      <c r="D1111" s="413" t="s">
        <v>6636</v>
      </c>
      <c r="E1111" s="413" t="s">
        <v>6637</v>
      </c>
    </row>
    <row r="1112" spans="1:5">
      <c r="A1112" s="413">
        <v>489691735</v>
      </c>
      <c r="B1112" s="413">
        <v>680657818.06988704</v>
      </c>
      <c r="D1112" s="413" t="s">
        <v>6638</v>
      </c>
      <c r="E1112" s="413" t="s">
        <v>6639</v>
      </c>
    </row>
    <row r="1113" spans="1:5">
      <c r="A1113" s="413">
        <v>489778177</v>
      </c>
      <c r="B1113" s="413">
        <v>680744260.07086301</v>
      </c>
      <c r="D1113" s="413" t="s">
        <v>6640</v>
      </c>
      <c r="E1113" s="413" t="s">
        <v>6641</v>
      </c>
    </row>
    <row r="1114" spans="1:5">
      <c r="A1114" s="413">
        <v>489853744</v>
      </c>
      <c r="B1114" s="413">
        <v>680819827.07172894</v>
      </c>
      <c r="D1114" s="413" t="s">
        <v>6642</v>
      </c>
      <c r="E1114" s="413" t="s">
        <v>6643</v>
      </c>
    </row>
    <row r="1115" spans="1:5">
      <c r="A1115" s="413">
        <v>489940146</v>
      </c>
      <c r="B1115" s="413">
        <v>680906229.07271194</v>
      </c>
      <c r="D1115" s="413" t="s">
        <v>6644</v>
      </c>
      <c r="E1115" s="413" t="s">
        <v>6645</v>
      </c>
    </row>
    <row r="1116" spans="1:5">
      <c r="A1116" s="413">
        <v>490037300</v>
      </c>
      <c r="B1116" s="413">
        <v>681003383.07382095</v>
      </c>
      <c r="D1116" s="413" t="s">
        <v>6646</v>
      </c>
      <c r="E1116" s="413" t="s">
        <v>6647</v>
      </c>
    </row>
    <row r="1117" spans="1:5">
      <c r="A1117" s="413">
        <v>490141672</v>
      </c>
      <c r="B1117" s="413">
        <v>681107755.07499301</v>
      </c>
      <c r="D1117" s="413" t="s">
        <v>6648</v>
      </c>
      <c r="E1117" s="413" t="s">
        <v>6649</v>
      </c>
    </row>
    <row r="1118" spans="1:5">
      <c r="A1118" s="413">
        <v>490228068</v>
      </c>
      <c r="B1118" s="413">
        <v>681194151.07599199</v>
      </c>
      <c r="D1118" s="413" t="s">
        <v>6650</v>
      </c>
      <c r="E1118" s="413" t="s">
        <v>6651</v>
      </c>
    </row>
    <row r="1119" spans="1:5">
      <c r="A1119" s="413">
        <v>490314463</v>
      </c>
      <c r="B1119" s="413">
        <v>681280546.07696795</v>
      </c>
      <c r="D1119" s="413" t="s">
        <v>6652</v>
      </c>
      <c r="E1119" s="413" t="s">
        <v>6653</v>
      </c>
    </row>
    <row r="1120" spans="1:5">
      <c r="A1120" s="413">
        <v>490400851</v>
      </c>
      <c r="B1120" s="413">
        <v>681366934.07795501</v>
      </c>
      <c r="D1120" s="413" t="s">
        <v>6654</v>
      </c>
      <c r="E1120" s="413" t="s">
        <v>6655</v>
      </c>
    </row>
    <row r="1121" spans="1:5">
      <c r="A1121" s="413">
        <v>490487248</v>
      </c>
      <c r="B1121" s="413">
        <v>681453331.07894003</v>
      </c>
      <c r="D1121" s="413" t="s">
        <v>6656</v>
      </c>
      <c r="E1121" s="413" t="s">
        <v>6657</v>
      </c>
    </row>
    <row r="1122" spans="1:5">
      <c r="A1122" s="413">
        <v>490552088</v>
      </c>
      <c r="B1122" s="413">
        <v>681518171.07968295</v>
      </c>
      <c r="D1122" s="413" t="s">
        <v>6658</v>
      </c>
      <c r="E1122" s="413" t="s">
        <v>6659</v>
      </c>
    </row>
    <row r="1123" spans="1:5">
      <c r="A1123" s="413">
        <v>490660033</v>
      </c>
      <c r="B1123" s="413">
        <v>681626116.08089197</v>
      </c>
      <c r="D1123" s="413" t="s">
        <v>6660</v>
      </c>
      <c r="E1123" s="413" t="s">
        <v>6661</v>
      </c>
    </row>
    <row r="1124" spans="1:5">
      <c r="A1124" s="413">
        <v>490696039</v>
      </c>
      <c r="B1124" s="413">
        <v>681662122.08131003</v>
      </c>
      <c r="D1124" s="413" t="s">
        <v>6662</v>
      </c>
      <c r="E1124" s="413" t="s">
        <v>6663</v>
      </c>
    </row>
    <row r="1125" spans="1:5">
      <c r="A1125" s="413">
        <v>490832816</v>
      </c>
      <c r="B1125" s="413">
        <v>681798899.08286405</v>
      </c>
      <c r="D1125" s="413" t="s">
        <v>6664</v>
      </c>
      <c r="E1125" s="413" t="s">
        <v>6665</v>
      </c>
    </row>
    <row r="1126" spans="1:5">
      <c r="A1126" s="413">
        <v>490919322</v>
      </c>
      <c r="B1126" s="413">
        <v>681885405.08384097</v>
      </c>
      <c r="D1126" s="413" t="s">
        <v>6666</v>
      </c>
      <c r="E1126" s="413" t="s">
        <v>6667</v>
      </c>
    </row>
    <row r="1127" spans="1:5">
      <c r="A1127" s="413">
        <v>491005598</v>
      </c>
      <c r="B1127" s="413">
        <v>681971681.08483195</v>
      </c>
      <c r="D1127" s="413" t="s">
        <v>6668</v>
      </c>
      <c r="E1127" s="413" t="s">
        <v>6669</v>
      </c>
    </row>
    <row r="1128" spans="1:5">
      <c r="A1128" s="413">
        <v>491091990</v>
      </c>
      <c r="B1128" s="413">
        <v>682058073.08580399</v>
      </c>
      <c r="D1128" s="413" t="s">
        <v>6670</v>
      </c>
      <c r="E1128" s="413" t="s">
        <v>6671</v>
      </c>
    </row>
    <row r="1129" spans="1:5">
      <c r="A1129" s="413">
        <v>491153174</v>
      </c>
      <c r="B1129" s="413">
        <v>682119257.08651197</v>
      </c>
      <c r="D1129" s="413" t="s">
        <v>6672</v>
      </c>
      <c r="E1129" s="413" t="s">
        <v>6673</v>
      </c>
    </row>
    <row r="1130" spans="1:5">
      <c r="A1130" s="413">
        <v>491264857</v>
      </c>
      <c r="B1130" s="413">
        <v>682230940.08777797</v>
      </c>
      <c r="D1130" s="413" t="s">
        <v>6674</v>
      </c>
      <c r="E1130" s="413" t="s">
        <v>6675</v>
      </c>
    </row>
    <row r="1131" spans="1:5">
      <c r="A1131" s="413">
        <v>491351169</v>
      </c>
      <c r="B1131" s="413">
        <v>682317252.08875597</v>
      </c>
      <c r="D1131" s="413" t="s">
        <v>6676</v>
      </c>
      <c r="E1131" s="413" t="s">
        <v>6677</v>
      </c>
    </row>
    <row r="1132" spans="1:5">
      <c r="A1132" s="413">
        <v>491383576</v>
      </c>
      <c r="B1132" s="413">
        <v>682349659.08912599</v>
      </c>
      <c r="D1132" s="413" t="s">
        <v>6678</v>
      </c>
      <c r="E1132" s="413" t="s">
        <v>6679</v>
      </c>
    </row>
    <row r="1133" spans="1:5">
      <c r="A1133" s="413">
        <v>491469967</v>
      </c>
      <c r="B1133" s="413">
        <v>682436050.09010303</v>
      </c>
      <c r="D1133" s="413" t="s">
        <v>6680</v>
      </c>
      <c r="E1133" s="413" t="s">
        <v>6681</v>
      </c>
    </row>
    <row r="1134" spans="1:5">
      <c r="A1134" s="413">
        <v>491610339</v>
      </c>
      <c r="B1134" s="413">
        <v>682576422.091681</v>
      </c>
      <c r="D1134" s="413" t="s">
        <v>6682</v>
      </c>
      <c r="E1134" s="413" t="s">
        <v>6683</v>
      </c>
    </row>
    <row r="1135" spans="1:5">
      <c r="A1135" s="413">
        <v>491696735</v>
      </c>
      <c r="B1135" s="413">
        <v>682662818.09267199</v>
      </c>
      <c r="D1135" s="413" t="s">
        <v>6684</v>
      </c>
      <c r="E1135" s="413" t="s">
        <v>6685</v>
      </c>
    </row>
    <row r="1136" spans="1:5">
      <c r="A1136" s="413">
        <v>491772315</v>
      </c>
      <c r="B1136" s="413">
        <v>682738398.09350395</v>
      </c>
      <c r="D1136" s="413" t="s">
        <v>6686</v>
      </c>
      <c r="E1136" s="413" t="s">
        <v>6687</v>
      </c>
    </row>
    <row r="1137" spans="1:5">
      <c r="A1137" s="413">
        <v>491840696</v>
      </c>
      <c r="B1137" s="413">
        <v>682806779.09431303</v>
      </c>
      <c r="D1137" s="413" t="s">
        <v>6688</v>
      </c>
      <c r="E1137" s="413" t="s">
        <v>6689</v>
      </c>
    </row>
    <row r="1138" spans="1:5">
      <c r="A1138" s="413">
        <v>491955905</v>
      </c>
      <c r="B1138" s="413">
        <v>682921988.09560299</v>
      </c>
      <c r="D1138" s="413" t="s">
        <v>6690</v>
      </c>
      <c r="E1138" s="413" t="s">
        <v>6691</v>
      </c>
    </row>
    <row r="1139" spans="1:5">
      <c r="A1139" s="413">
        <v>491988300</v>
      </c>
      <c r="B1139" s="413">
        <v>682954383.09596598</v>
      </c>
      <c r="D1139" s="413" t="s">
        <v>6692</v>
      </c>
      <c r="E1139" s="413" t="s">
        <v>6693</v>
      </c>
    </row>
    <row r="1140" spans="1:5">
      <c r="A1140" s="413">
        <v>492128687</v>
      </c>
      <c r="B1140" s="413">
        <v>683094770.09756005</v>
      </c>
      <c r="D1140" s="413" t="s">
        <v>6694</v>
      </c>
      <c r="E1140" s="413" t="s">
        <v>6695</v>
      </c>
    </row>
    <row r="1141" spans="1:5">
      <c r="A1141" s="413">
        <v>492175452</v>
      </c>
      <c r="B1141" s="413">
        <v>683141535.09808099</v>
      </c>
      <c r="D1141" s="413" t="s">
        <v>6696</v>
      </c>
      <c r="E1141" s="413" t="s">
        <v>6697</v>
      </c>
    </row>
    <row r="1142" spans="1:5">
      <c r="A1142" s="413">
        <v>492387857</v>
      </c>
      <c r="B1142" s="413">
        <v>683353940.10048497</v>
      </c>
      <c r="D1142" s="413" t="s">
        <v>6698</v>
      </c>
      <c r="E1142" s="413" t="s">
        <v>6699</v>
      </c>
    </row>
    <row r="1143" spans="1:5">
      <c r="A1143" s="413">
        <v>492474243</v>
      </c>
      <c r="B1143" s="413">
        <v>683440326.10415697</v>
      </c>
      <c r="D1143" s="413" t="s">
        <v>6700</v>
      </c>
      <c r="E1143" s="413" t="s">
        <v>6701</v>
      </c>
    </row>
    <row r="1144" spans="1:5">
      <c r="A1144" s="413">
        <v>492524607</v>
      </c>
      <c r="B1144" s="413">
        <v>683490690.10474396</v>
      </c>
      <c r="D1144" s="413" t="s">
        <v>6702</v>
      </c>
      <c r="E1144" s="413" t="s">
        <v>6703</v>
      </c>
    </row>
    <row r="1145" spans="1:5">
      <c r="A1145" s="413">
        <v>492618212</v>
      </c>
      <c r="B1145" s="413">
        <v>683584295.10582101</v>
      </c>
      <c r="D1145" s="413" t="s">
        <v>6704</v>
      </c>
      <c r="E1145" s="413" t="s">
        <v>6705</v>
      </c>
    </row>
    <row r="1146" spans="1:5">
      <c r="A1146" s="413">
        <v>492675818</v>
      </c>
      <c r="B1146" s="413">
        <v>683641901.10646701</v>
      </c>
      <c r="D1146" s="413" t="s">
        <v>6706</v>
      </c>
      <c r="E1146" s="413" t="s">
        <v>6707</v>
      </c>
    </row>
    <row r="1147" spans="1:5">
      <c r="A1147" s="413">
        <v>492819800</v>
      </c>
      <c r="B1147" s="413">
        <v>683785883.10809803</v>
      </c>
      <c r="D1147" s="413" t="s">
        <v>6708</v>
      </c>
      <c r="E1147" s="413" t="s">
        <v>6709</v>
      </c>
    </row>
    <row r="1148" spans="1:5">
      <c r="A1148" s="413">
        <v>492877390</v>
      </c>
      <c r="B1148" s="413">
        <v>683843473.10878098</v>
      </c>
      <c r="D1148" s="413" t="s">
        <v>6710</v>
      </c>
      <c r="E1148" s="413" t="s">
        <v>6711</v>
      </c>
    </row>
    <row r="1149" spans="1:5">
      <c r="A1149" s="413">
        <v>492992591</v>
      </c>
      <c r="B1149" s="413">
        <v>683958674.11006904</v>
      </c>
      <c r="D1149" s="413" t="s">
        <v>6712</v>
      </c>
      <c r="E1149" s="413" t="s">
        <v>6713</v>
      </c>
    </row>
    <row r="1150" spans="1:5">
      <c r="A1150" s="413">
        <v>493078973</v>
      </c>
      <c r="B1150" s="413">
        <v>684045056.111063</v>
      </c>
      <c r="D1150" s="413" t="s">
        <v>6714</v>
      </c>
      <c r="E1150" s="413" t="s">
        <v>6715</v>
      </c>
    </row>
    <row r="1151" spans="1:5">
      <c r="A1151" s="413">
        <v>493100601</v>
      </c>
      <c r="B1151" s="413">
        <v>684066684.11129797</v>
      </c>
      <c r="D1151" s="413" t="s">
        <v>6716</v>
      </c>
      <c r="E1151" s="413" t="s">
        <v>6717</v>
      </c>
    </row>
    <row r="1152" spans="1:5">
      <c r="A1152" s="413">
        <v>493251760</v>
      </c>
      <c r="B1152" s="413">
        <v>684217843.11303997</v>
      </c>
      <c r="D1152" s="413" t="s">
        <v>6718</v>
      </c>
      <c r="E1152" s="413" t="s">
        <v>6719</v>
      </c>
    </row>
    <row r="1153" spans="1:5">
      <c r="A1153" s="413">
        <v>493269709</v>
      </c>
      <c r="B1153" s="413">
        <v>684235792.11323404</v>
      </c>
      <c r="D1153" s="413" t="s">
        <v>6720</v>
      </c>
      <c r="E1153" s="413" t="s">
        <v>6721</v>
      </c>
    </row>
    <row r="1154" spans="1:5">
      <c r="A1154" s="413">
        <v>493420925</v>
      </c>
      <c r="B1154" s="413">
        <v>684387008.11495697</v>
      </c>
      <c r="D1154" s="413" t="s">
        <v>6722</v>
      </c>
      <c r="E1154" s="413" t="s">
        <v>6723</v>
      </c>
    </row>
    <row r="1155" spans="1:5">
      <c r="A1155" s="413">
        <v>493474892</v>
      </c>
      <c r="B1155" s="413">
        <v>684440975.11556697</v>
      </c>
      <c r="D1155" s="413" t="s">
        <v>6724</v>
      </c>
      <c r="E1155" s="413" t="s">
        <v>6725</v>
      </c>
    </row>
    <row r="1156" spans="1:5">
      <c r="A1156" s="413">
        <v>493593695</v>
      </c>
      <c r="B1156" s="413">
        <v>684559778.11692297</v>
      </c>
      <c r="D1156" s="413" t="s">
        <v>6726</v>
      </c>
      <c r="E1156" s="413" t="s">
        <v>6727</v>
      </c>
    </row>
    <row r="1157" spans="1:5">
      <c r="A1157" s="413">
        <v>493683700</v>
      </c>
      <c r="B1157" s="413">
        <v>684649783.11795199</v>
      </c>
      <c r="D1157" s="413" t="s">
        <v>6728</v>
      </c>
      <c r="E1157" s="413" t="s">
        <v>6729</v>
      </c>
    </row>
    <row r="1158" spans="1:5">
      <c r="A1158" s="413">
        <v>493771733</v>
      </c>
      <c r="B1158" s="413">
        <v>684737816.11890304</v>
      </c>
      <c r="D1158" s="413" t="s">
        <v>6730</v>
      </c>
      <c r="E1158" s="413" t="s">
        <v>6731</v>
      </c>
    </row>
    <row r="1159" spans="1:5">
      <c r="A1159" s="413">
        <v>493856482</v>
      </c>
      <c r="B1159" s="413">
        <v>684822565.11990201</v>
      </c>
      <c r="D1159" s="413" t="s">
        <v>6732</v>
      </c>
      <c r="E1159" s="413" t="s">
        <v>6733</v>
      </c>
    </row>
    <row r="1160" spans="1:5">
      <c r="A1160" s="413">
        <v>493939252</v>
      </c>
      <c r="B1160" s="413">
        <v>684905335.12084305</v>
      </c>
      <c r="D1160" s="413" t="s">
        <v>6734</v>
      </c>
      <c r="E1160" s="413" t="s">
        <v>6735</v>
      </c>
    </row>
    <row r="1161" spans="1:5">
      <c r="A1161" s="413">
        <v>494025656</v>
      </c>
      <c r="B1161" s="413">
        <v>684991739.121822</v>
      </c>
      <c r="D1161" s="413" t="s">
        <v>6736</v>
      </c>
      <c r="E1161" s="413" t="s">
        <v>6737</v>
      </c>
    </row>
    <row r="1162" spans="1:5">
      <c r="A1162" s="413">
        <v>494083231</v>
      </c>
      <c r="B1162" s="413">
        <v>685049314.122473</v>
      </c>
      <c r="D1162" s="413" t="s">
        <v>6738</v>
      </c>
      <c r="E1162" s="413" t="s">
        <v>6739</v>
      </c>
    </row>
    <row r="1163" spans="1:5">
      <c r="A1163" s="413">
        <v>494137199</v>
      </c>
      <c r="B1163" s="413">
        <v>685103282.12307596</v>
      </c>
      <c r="D1163" s="413" t="s">
        <v>6740</v>
      </c>
      <c r="E1163" s="413" t="s">
        <v>6741</v>
      </c>
    </row>
    <row r="1164" spans="1:5">
      <c r="A1164" s="413">
        <v>494281204</v>
      </c>
      <c r="B1164" s="413">
        <v>685247287.12471604</v>
      </c>
      <c r="D1164" s="413" t="s">
        <v>6742</v>
      </c>
      <c r="E1164" s="413" t="s">
        <v>6743</v>
      </c>
    </row>
    <row r="1165" spans="1:5">
      <c r="A1165" s="413">
        <v>494371197</v>
      </c>
      <c r="B1165" s="413">
        <v>685337280.12573504</v>
      </c>
      <c r="D1165" s="413" t="s">
        <v>6744</v>
      </c>
      <c r="E1165" s="413" t="s">
        <v>6745</v>
      </c>
    </row>
    <row r="1166" spans="1:5">
      <c r="A1166" s="413">
        <v>494457589</v>
      </c>
      <c r="B1166" s="413">
        <v>685423672.12671399</v>
      </c>
      <c r="D1166" s="413" t="s">
        <v>6746</v>
      </c>
      <c r="E1166" s="413" t="s">
        <v>6747</v>
      </c>
    </row>
    <row r="1167" spans="1:5">
      <c r="A1167" s="413">
        <v>494504347</v>
      </c>
      <c r="B1167" s="413">
        <v>685470430.127249</v>
      </c>
      <c r="D1167" s="413" t="s">
        <v>6748</v>
      </c>
      <c r="E1167" s="413" t="s">
        <v>6749</v>
      </c>
    </row>
    <row r="1168" spans="1:5">
      <c r="A1168" s="413">
        <v>494893173</v>
      </c>
      <c r="B1168" s="413">
        <v>685859256.13159895</v>
      </c>
      <c r="D1168" s="413" t="s">
        <v>6750</v>
      </c>
      <c r="E1168" s="413" t="s">
        <v>6751</v>
      </c>
    </row>
    <row r="1169" spans="1:5">
      <c r="A1169" s="413">
        <v>494914981</v>
      </c>
      <c r="B1169" s="413">
        <v>685881064.13187099</v>
      </c>
      <c r="D1169" s="413" t="s">
        <v>6752</v>
      </c>
      <c r="E1169" s="413" t="s">
        <v>6753</v>
      </c>
    </row>
    <row r="1170" spans="1:5">
      <c r="A1170" s="413">
        <v>495375433</v>
      </c>
      <c r="B1170" s="413">
        <v>686341516.13706303</v>
      </c>
      <c r="D1170" s="413" t="s">
        <v>6754</v>
      </c>
      <c r="E1170" s="413" t="s">
        <v>6755</v>
      </c>
    </row>
    <row r="1171" spans="1:5">
      <c r="A1171" s="413">
        <v>495490639</v>
      </c>
      <c r="B1171" s="413">
        <v>686456722.138345</v>
      </c>
      <c r="D1171" s="413" t="s">
        <v>6756</v>
      </c>
      <c r="E1171" s="413" t="s">
        <v>6757</v>
      </c>
    </row>
    <row r="1172" spans="1:5">
      <c r="A1172" s="413">
        <v>495584219</v>
      </c>
      <c r="B1172" s="413">
        <v>686550302.139377</v>
      </c>
      <c r="D1172" s="413" t="s">
        <v>6758</v>
      </c>
      <c r="E1172" s="413" t="s">
        <v>6759</v>
      </c>
    </row>
    <row r="1173" spans="1:5">
      <c r="A1173" s="413">
        <v>495605818</v>
      </c>
      <c r="B1173" s="413">
        <v>686571901.13962996</v>
      </c>
      <c r="D1173" s="413" t="s">
        <v>6760</v>
      </c>
      <c r="E1173" s="413" t="s">
        <v>6761</v>
      </c>
    </row>
    <row r="1174" spans="1:5">
      <c r="A1174" s="413">
        <v>495756994</v>
      </c>
      <c r="B1174" s="413">
        <v>686723077.14129806</v>
      </c>
      <c r="D1174" s="413" t="s">
        <v>6762</v>
      </c>
      <c r="E1174" s="413" t="s">
        <v>6763</v>
      </c>
    </row>
    <row r="1175" spans="1:5">
      <c r="A1175" s="413">
        <v>495836252</v>
      </c>
      <c r="B1175" s="413">
        <v>686802335.14221096</v>
      </c>
      <c r="D1175" s="413" t="s">
        <v>6764</v>
      </c>
      <c r="E1175" s="413" t="s">
        <v>6765</v>
      </c>
    </row>
    <row r="1176" spans="1:5">
      <c r="A1176" s="413">
        <v>495886547</v>
      </c>
      <c r="B1176" s="413">
        <v>686852630.14277899</v>
      </c>
      <c r="D1176" s="413" t="s">
        <v>6766</v>
      </c>
      <c r="E1176" s="413" t="s">
        <v>6767</v>
      </c>
    </row>
    <row r="1177" spans="1:5">
      <c r="A1177" s="413">
        <v>495976548</v>
      </c>
      <c r="B1177" s="413">
        <v>686942631.14378202</v>
      </c>
      <c r="D1177" s="413" t="s">
        <v>6768</v>
      </c>
      <c r="E1177" s="413" t="s">
        <v>6769</v>
      </c>
    </row>
    <row r="1178" spans="1:5">
      <c r="A1178" s="413">
        <v>496095364</v>
      </c>
      <c r="B1178" s="413">
        <v>687061447.145105</v>
      </c>
      <c r="D1178" s="413" t="s">
        <v>6770</v>
      </c>
      <c r="E1178" s="413" t="s">
        <v>6771</v>
      </c>
    </row>
    <row r="1179" spans="1:5">
      <c r="A1179" s="413">
        <v>496275313</v>
      </c>
      <c r="B1179" s="413">
        <v>687241396.14708805</v>
      </c>
      <c r="D1179" s="413" t="s">
        <v>6772</v>
      </c>
      <c r="E1179" s="413" t="s">
        <v>6773</v>
      </c>
    </row>
    <row r="1180" spans="1:5">
      <c r="A1180" s="413">
        <v>496350906</v>
      </c>
      <c r="B1180" s="413">
        <v>687316989.14795494</v>
      </c>
      <c r="D1180" s="413" t="s">
        <v>6774</v>
      </c>
      <c r="E1180" s="413" t="s">
        <v>6775</v>
      </c>
    </row>
    <row r="1181" spans="1:5">
      <c r="A1181" s="413">
        <v>496440909</v>
      </c>
      <c r="B1181" s="413">
        <v>687406992.14895904</v>
      </c>
      <c r="D1181" s="413" t="s">
        <v>6776</v>
      </c>
      <c r="E1181" s="413" t="s">
        <v>6777</v>
      </c>
    </row>
    <row r="1182" spans="1:5">
      <c r="A1182" s="413">
        <v>496498501</v>
      </c>
      <c r="B1182" s="413">
        <v>687464584.14960802</v>
      </c>
      <c r="D1182" s="413" t="s">
        <v>6778</v>
      </c>
      <c r="E1182" s="413" t="s">
        <v>6779</v>
      </c>
    </row>
    <row r="1183" spans="1:5">
      <c r="A1183" s="413">
        <v>496620865</v>
      </c>
      <c r="B1183" s="413">
        <v>687586948.15093303</v>
      </c>
      <c r="D1183" s="413" t="s">
        <v>6780</v>
      </c>
      <c r="E1183" s="413" t="s">
        <v>6781</v>
      </c>
    </row>
    <row r="1184" spans="1:5">
      <c r="A1184" s="413">
        <v>496635248</v>
      </c>
      <c r="B1184" s="413">
        <v>687601331.15110898</v>
      </c>
      <c r="D1184" s="413" t="s">
        <v>6782</v>
      </c>
      <c r="E1184" s="413" t="s">
        <v>6783</v>
      </c>
    </row>
    <row r="1185" spans="1:5">
      <c r="A1185" s="413">
        <v>496793635</v>
      </c>
      <c r="B1185" s="413">
        <v>687759718.15285099</v>
      </c>
      <c r="D1185" s="413" t="s">
        <v>6784</v>
      </c>
      <c r="E1185" s="413" t="s">
        <v>6785</v>
      </c>
    </row>
    <row r="1186" spans="1:5">
      <c r="A1186" s="413">
        <v>496811641</v>
      </c>
      <c r="B1186" s="413">
        <v>687777724.15307403</v>
      </c>
      <c r="D1186" s="413" t="s">
        <v>6786</v>
      </c>
      <c r="E1186" s="413" t="s">
        <v>6787</v>
      </c>
    </row>
    <row r="1187" spans="1:5">
      <c r="A1187" s="413">
        <v>496952014</v>
      </c>
      <c r="B1187" s="413">
        <v>687918097.15463102</v>
      </c>
      <c r="D1187" s="413" t="s">
        <v>6788</v>
      </c>
      <c r="E1187" s="413" t="s">
        <v>6789</v>
      </c>
    </row>
    <row r="1188" spans="1:5">
      <c r="A1188" s="413">
        <v>497013203</v>
      </c>
      <c r="B1188" s="413">
        <v>687979286.15531397</v>
      </c>
      <c r="D1188" s="413" t="s">
        <v>6790</v>
      </c>
      <c r="E1188" s="413" t="s">
        <v>6791</v>
      </c>
    </row>
    <row r="1189" spans="1:5">
      <c r="A1189" s="413">
        <v>497099598</v>
      </c>
      <c r="B1189" s="413">
        <v>688065681.15628004</v>
      </c>
      <c r="D1189" s="413" t="s">
        <v>6792</v>
      </c>
      <c r="E1189" s="413" t="s">
        <v>6793</v>
      </c>
    </row>
    <row r="1190" spans="1:5">
      <c r="A1190" s="413">
        <v>497225572</v>
      </c>
      <c r="B1190" s="413">
        <v>688191655.15763998</v>
      </c>
      <c r="D1190" s="413" t="s">
        <v>6794</v>
      </c>
      <c r="E1190" s="413" t="s">
        <v>6795</v>
      </c>
    </row>
    <row r="1191" spans="1:5">
      <c r="A1191" s="413">
        <v>497301183</v>
      </c>
      <c r="B1191" s="413">
        <v>688267266.15850401</v>
      </c>
      <c r="D1191" s="413" t="s">
        <v>6796</v>
      </c>
      <c r="E1191" s="413" t="s">
        <v>6797</v>
      </c>
    </row>
    <row r="1192" spans="1:5">
      <c r="A1192" s="413">
        <v>497398347</v>
      </c>
      <c r="B1192" s="413">
        <v>688364430.159567</v>
      </c>
      <c r="D1192" s="413" t="s">
        <v>6798</v>
      </c>
      <c r="E1192" s="413" t="s">
        <v>6799</v>
      </c>
    </row>
    <row r="1193" spans="1:5">
      <c r="A1193" s="413">
        <v>497484735</v>
      </c>
      <c r="B1193" s="413">
        <v>688450818.16052902</v>
      </c>
      <c r="D1193" s="413" t="s">
        <v>6800</v>
      </c>
      <c r="E1193" s="413" t="s">
        <v>6801</v>
      </c>
    </row>
    <row r="1194" spans="1:5">
      <c r="A1194" s="413">
        <v>497560350</v>
      </c>
      <c r="B1194" s="413">
        <v>688526433.16138196</v>
      </c>
      <c r="D1194" s="413" t="s">
        <v>6802</v>
      </c>
      <c r="E1194" s="413" t="s">
        <v>6803</v>
      </c>
    </row>
    <row r="1195" spans="1:5">
      <c r="A1195" s="413">
        <v>497657512</v>
      </c>
      <c r="B1195" s="413">
        <v>688623595.16243398</v>
      </c>
      <c r="D1195" s="413" t="s">
        <v>6804</v>
      </c>
      <c r="E1195" s="413" t="s">
        <v>6805</v>
      </c>
    </row>
    <row r="1196" spans="1:5">
      <c r="A1196" s="413">
        <v>497725994</v>
      </c>
      <c r="B1196" s="413">
        <v>688692077.16323102</v>
      </c>
      <c r="D1196" s="413" t="s">
        <v>6806</v>
      </c>
      <c r="E1196" s="413" t="s">
        <v>6807</v>
      </c>
    </row>
    <row r="1197" spans="1:5">
      <c r="A1197" s="413">
        <v>497787083</v>
      </c>
      <c r="B1197" s="413">
        <v>688753166.16389501</v>
      </c>
      <c r="D1197" s="413" t="s">
        <v>6808</v>
      </c>
      <c r="E1197" s="413" t="s">
        <v>6809</v>
      </c>
    </row>
    <row r="1198" spans="1:5">
      <c r="A1198" s="413">
        <v>497916677</v>
      </c>
      <c r="B1198" s="413">
        <v>688882760.16530299</v>
      </c>
      <c r="D1198" s="413" t="s">
        <v>6810</v>
      </c>
      <c r="E1198" s="413" t="s">
        <v>6811</v>
      </c>
    </row>
    <row r="1199" spans="1:5">
      <c r="A1199" s="413">
        <v>497931080</v>
      </c>
      <c r="B1199" s="413">
        <v>688897163.165465</v>
      </c>
      <c r="D1199" s="413" t="s">
        <v>6812</v>
      </c>
      <c r="E1199" s="413" t="s">
        <v>6813</v>
      </c>
    </row>
    <row r="1200" spans="1:5">
      <c r="A1200" s="413">
        <v>498075065</v>
      </c>
      <c r="B1200" s="413">
        <v>689041148.16705501</v>
      </c>
      <c r="D1200" s="413" t="s">
        <v>6814</v>
      </c>
      <c r="E1200" s="413" t="s">
        <v>6815</v>
      </c>
    </row>
    <row r="1201" spans="1:5">
      <c r="A1201" s="413">
        <v>498175840</v>
      </c>
      <c r="B1201" s="413">
        <v>689141923.16814697</v>
      </c>
      <c r="D1201" s="413" t="s">
        <v>6816</v>
      </c>
      <c r="E1201" s="413" t="s">
        <v>6817</v>
      </c>
    </row>
    <row r="1202" spans="1:5">
      <c r="A1202" s="413">
        <v>498190253</v>
      </c>
      <c r="B1202" s="413">
        <v>689156336.16833699</v>
      </c>
      <c r="D1202" s="413" t="s">
        <v>6818</v>
      </c>
      <c r="E1202" s="413" t="s">
        <v>6819</v>
      </c>
    </row>
    <row r="1203" spans="1:5">
      <c r="A1203" s="413">
        <v>498280198</v>
      </c>
      <c r="B1203" s="413">
        <v>689246281.169294</v>
      </c>
      <c r="D1203" s="413" t="s">
        <v>6820</v>
      </c>
      <c r="E1203" s="413" t="s">
        <v>6821</v>
      </c>
    </row>
    <row r="1204" spans="1:5">
      <c r="A1204" s="413">
        <v>498420621</v>
      </c>
      <c r="B1204" s="413">
        <v>689386704.17085302</v>
      </c>
      <c r="D1204" s="413" t="s">
        <v>6822</v>
      </c>
      <c r="E1204" s="413" t="s">
        <v>6823</v>
      </c>
    </row>
    <row r="1205" spans="1:5">
      <c r="A1205" s="413">
        <v>498607782</v>
      </c>
      <c r="B1205" s="413">
        <v>689573865.172894</v>
      </c>
      <c r="D1205" s="413" t="s">
        <v>6824</v>
      </c>
      <c r="E1205" s="413" t="s">
        <v>6825</v>
      </c>
    </row>
    <row r="1206" spans="1:5">
      <c r="A1206" s="413">
        <v>498694171</v>
      </c>
      <c r="B1206" s="413">
        <v>689660254.17385805</v>
      </c>
      <c r="D1206" s="413" t="s">
        <v>6826</v>
      </c>
      <c r="E1206" s="413" t="s">
        <v>6827</v>
      </c>
    </row>
    <row r="1207" spans="1:5">
      <c r="A1207" s="413">
        <v>498762574</v>
      </c>
      <c r="B1207" s="413">
        <v>689728657.17461801</v>
      </c>
      <c r="D1207" s="413" t="s">
        <v>6828</v>
      </c>
      <c r="E1207" s="413" t="s">
        <v>6829</v>
      </c>
    </row>
    <row r="1208" spans="1:5">
      <c r="A1208" s="413">
        <v>498820142</v>
      </c>
      <c r="B1208" s="413">
        <v>689786225.17525303</v>
      </c>
      <c r="D1208" s="413" t="s">
        <v>6830</v>
      </c>
      <c r="E1208" s="413" t="s">
        <v>6831</v>
      </c>
    </row>
    <row r="1209" spans="1:5">
      <c r="A1209" s="413">
        <v>498895724</v>
      </c>
      <c r="B1209" s="413">
        <v>689861807.17608094</v>
      </c>
      <c r="D1209" s="413" t="s">
        <v>6832</v>
      </c>
      <c r="E1209" s="413" t="s">
        <v>6833</v>
      </c>
    </row>
    <row r="1210" spans="1:5">
      <c r="A1210" s="413">
        <v>499126748</v>
      </c>
      <c r="B1210" s="413">
        <v>690092831.17856801</v>
      </c>
      <c r="D1210" s="413" t="s">
        <v>6834</v>
      </c>
      <c r="E1210" s="413" t="s">
        <v>6835</v>
      </c>
    </row>
    <row r="1211" spans="1:5">
      <c r="A1211" s="413">
        <v>499212505</v>
      </c>
      <c r="B1211" s="413">
        <v>690178588.17954195</v>
      </c>
      <c r="D1211" s="413" t="s">
        <v>6836</v>
      </c>
      <c r="E1211" s="413" t="s">
        <v>6837</v>
      </c>
    </row>
    <row r="1212" spans="1:5">
      <c r="A1212" s="413">
        <v>499223319</v>
      </c>
      <c r="B1212" s="413">
        <v>690189402.17967296</v>
      </c>
      <c r="D1212" s="413" t="s">
        <v>6838</v>
      </c>
      <c r="E1212" s="413" t="s">
        <v>6839</v>
      </c>
    </row>
    <row r="1213" spans="1:5">
      <c r="A1213" s="413">
        <v>499367315</v>
      </c>
      <c r="B1213" s="413">
        <v>690333398.18124604</v>
      </c>
      <c r="D1213" s="413" t="s">
        <v>6840</v>
      </c>
      <c r="E1213" s="413" t="s">
        <v>6841</v>
      </c>
    </row>
    <row r="1214" spans="1:5">
      <c r="A1214" s="413">
        <v>499471669</v>
      </c>
      <c r="B1214" s="413">
        <v>690437752.18236601</v>
      </c>
      <c r="D1214" s="413" t="s">
        <v>6842</v>
      </c>
      <c r="E1214" s="413" t="s">
        <v>6843</v>
      </c>
    </row>
    <row r="1215" spans="1:5">
      <c r="A1215" s="413">
        <v>499496849</v>
      </c>
      <c r="B1215" s="413">
        <v>690462932.18265295</v>
      </c>
      <c r="D1215" s="413" t="s">
        <v>6844</v>
      </c>
      <c r="E1215" s="413" t="s">
        <v>6845</v>
      </c>
    </row>
    <row r="1216" spans="1:5">
      <c r="A1216" s="413">
        <v>499730840</v>
      </c>
      <c r="B1216" s="413">
        <v>690696923.18520701</v>
      </c>
      <c r="D1216" s="413" t="s">
        <v>6846</v>
      </c>
      <c r="E1216" s="413" t="s">
        <v>6847</v>
      </c>
    </row>
    <row r="1217" spans="1:5">
      <c r="A1217" s="413">
        <v>499795641</v>
      </c>
      <c r="B1217" s="413">
        <v>690761724.18591702</v>
      </c>
      <c r="D1217" s="413" t="s">
        <v>6848</v>
      </c>
      <c r="E1217" s="413" t="s">
        <v>6849</v>
      </c>
    </row>
    <row r="1218" spans="1:5">
      <c r="A1218" s="413">
        <v>499903619</v>
      </c>
      <c r="B1218" s="413">
        <v>690869702.18710101</v>
      </c>
      <c r="D1218" s="413" t="s">
        <v>6850</v>
      </c>
      <c r="E1218" s="413" t="s">
        <v>6851</v>
      </c>
    </row>
    <row r="1219" spans="1:5">
      <c r="A1219" s="413">
        <v>499964804</v>
      </c>
      <c r="B1219" s="413">
        <v>690930887.18777394</v>
      </c>
      <c r="D1219" s="413" t="s">
        <v>6852</v>
      </c>
      <c r="E1219" s="413" t="s">
        <v>6853</v>
      </c>
    </row>
    <row r="1220" spans="1:5">
      <c r="A1220" s="413">
        <v>500026007</v>
      </c>
      <c r="B1220" s="413">
        <v>690992090.18845105</v>
      </c>
      <c r="D1220" s="413" t="s">
        <v>6854</v>
      </c>
      <c r="E1220" s="413" t="s">
        <v>6855</v>
      </c>
    </row>
    <row r="1221" spans="1:5">
      <c r="A1221" s="413">
        <v>500162787</v>
      </c>
      <c r="B1221" s="413">
        <v>691128870.18991899</v>
      </c>
      <c r="D1221" s="413" t="s">
        <v>6856</v>
      </c>
      <c r="E1221" s="413" t="s">
        <v>6857</v>
      </c>
    </row>
    <row r="1222" spans="1:5">
      <c r="A1222" s="413">
        <v>500173597</v>
      </c>
      <c r="B1222" s="413">
        <v>691139680.19004798</v>
      </c>
      <c r="D1222" s="413" t="s">
        <v>6858</v>
      </c>
      <c r="E1222" s="413" t="s">
        <v>6859</v>
      </c>
    </row>
    <row r="1223" spans="1:5">
      <c r="A1223" s="413">
        <v>500403986</v>
      </c>
      <c r="B1223" s="413">
        <v>691370069.19256699</v>
      </c>
      <c r="D1223" s="413" t="s">
        <v>6860</v>
      </c>
      <c r="E1223" s="413" t="s">
        <v>6861</v>
      </c>
    </row>
    <row r="1224" spans="1:5">
      <c r="A1224" s="413">
        <v>500573158</v>
      </c>
      <c r="B1224" s="413">
        <v>691539241.19440198</v>
      </c>
      <c r="D1224" s="413" t="s">
        <v>6862</v>
      </c>
      <c r="E1224" s="413" t="s">
        <v>6863</v>
      </c>
    </row>
    <row r="1225" spans="1:5">
      <c r="A1225" s="413">
        <v>500767527</v>
      </c>
      <c r="B1225" s="413">
        <v>691733610.19651794</v>
      </c>
      <c r="D1225" s="413" t="s">
        <v>6864</v>
      </c>
      <c r="E1225" s="413" t="s">
        <v>6865</v>
      </c>
    </row>
    <row r="1226" spans="1:5">
      <c r="A1226" s="413">
        <v>500853916</v>
      </c>
      <c r="B1226" s="413">
        <v>691819999.19745505</v>
      </c>
      <c r="D1226" s="413" t="s">
        <v>6866</v>
      </c>
      <c r="E1226" s="413" t="s">
        <v>6867</v>
      </c>
    </row>
    <row r="1227" spans="1:5">
      <c r="A1227" s="413">
        <v>500915119</v>
      </c>
      <c r="B1227" s="413">
        <v>691881202.19811296</v>
      </c>
      <c r="D1227" s="413" t="s">
        <v>6868</v>
      </c>
      <c r="E1227" s="413" t="s">
        <v>6869</v>
      </c>
    </row>
    <row r="1228" spans="1:5">
      <c r="A1228" s="413">
        <v>501005110</v>
      </c>
      <c r="B1228" s="413">
        <v>691971193.19910598</v>
      </c>
      <c r="D1228" s="413" t="s">
        <v>6870</v>
      </c>
      <c r="E1228" s="413" t="s">
        <v>6871</v>
      </c>
    </row>
    <row r="1229" spans="1:5">
      <c r="A1229" s="413">
        <v>501087897</v>
      </c>
      <c r="B1229" s="413">
        <v>692053980.20000196</v>
      </c>
      <c r="D1229" s="413" t="s">
        <v>6872</v>
      </c>
      <c r="E1229" s="413" t="s">
        <v>6873</v>
      </c>
    </row>
    <row r="1230" spans="1:5">
      <c r="A1230" s="413">
        <v>501285879</v>
      </c>
      <c r="B1230" s="413">
        <v>692251962.20215094</v>
      </c>
      <c r="D1230" s="413" t="s">
        <v>6874</v>
      </c>
      <c r="E1230" s="413" t="s">
        <v>6875</v>
      </c>
    </row>
    <row r="1231" spans="1:5">
      <c r="A1231" s="413">
        <v>501293086</v>
      </c>
      <c r="B1231" s="413">
        <v>692259169.20223796</v>
      </c>
      <c r="D1231" s="413" t="s">
        <v>6876</v>
      </c>
      <c r="E1231" s="413" t="s">
        <v>6877</v>
      </c>
    </row>
    <row r="1232" spans="1:5">
      <c r="A1232" s="413">
        <v>501437079</v>
      </c>
      <c r="B1232" s="413">
        <v>692403162.20378494</v>
      </c>
      <c r="D1232" s="413" t="s">
        <v>6878</v>
      </c>
      <c r="E1232" s="413" t="s">
        <v>6879</v>
      </c>
    </row>
    <row r="1233" spans="1:5">
      <c r="A1233" s="413">
        <v>501545054</v>
      </c>
      <c r="B1233" s="413">
        <v>692511137.20495296</v>
      </c>
      <c r="D1233" s="413" t="s">
        <v>6880</v>
      </c>
      <c r="E1233" s="413" t="s">
        <v>6881</v>
      </c>
    </row>
    <row r="1234" spans="1:5">
      <c r="A1234" s="413">
        <v>501631450</v>
      </c>
      <c r="B1234" s="413">
        <v>692597533.20589697</v>
      </c>
      <c r="D1234" s="413" t="s">
        <v>6882</v>
      </c>
      <c r="E1234" s="413" t="s">
        <v>6883</v>
      </c>
    </row>
    <row r="1235" spans="1:5">
      <c r="A1235" s="413">
        <v>501635052</v>
      </c>
      <c r="B1235" s="413">
        <v>692601135.20594203</v>
      </c>
      <c r="D1235" s="413" t="s">
        <v>6884</v>
      </c>
      <c r="E1235" s="413" t="s">
        <v>6885</v>
      </c>
    </row>
    <row r="1236" spans="1:5">
      <c r="A1236" s="413">
        <v>501782652</v>
      </c>
      <c r="B1236" s="413">
        <v>692748735.20753801</v>
      </c>
      <c r="D1236" s="413" t="s">
        <v>6886</v>
      </c>
      <c r="E1236" s="413" t="s">
        <v>6887</v>
      </c>
    </row>
    <row r="1237" spans="1:5">
      <c r="A1237" s="413">
        <v>502038233</v>
      </c>
      <c r="B1237" s="413">
        <v>693004316.21031106</v>
      </c>
      <c r="D1237" s="413" t="s">
        <v>6888</v>
      </c>
      <c r="E1237" s="413" t="s">
        <v>6889</v>
      </c>
    </row>
    <row r="1238" spans="1:5">
      <c r="A1238" s="413">
        <v>502095806</v>
      </c>
      <c r="B1238" s="413">
        <v>693061889.210953</v>
      </c>
      <c r="D1238" s="413" t="s">
        <v>6890</v>
      </c>
      <c r="E1238" s="413" t="s">
        <v>6891</v>
      </c>
    </row>
    <row r="1239" spans="1:5">
      <c r="A1239" s="413">
        <v>502211013</v>
      </c>
      <c r="B1239" s="413">
        <v>693177096.21217895</v>
      </c>
      <c r="D1239" s="413" t="s">
        <v>6892</v>
      </c>
      <c r="E1239" s="413" t="s">
        <v>6893</v>
      </c>
    </row>
    <row r="1240" spans="1:5">
      <c r="A1240" s="413">
        <v>502383809</v>
      </c>
      <c r="B1240" s="413">
        <v>693349892.21406996</v>
      </c>
      <c r="D1240" s="413" t="s">
        <v>6894</v>
      </c>
      <c r="E1240" s="413" t="s">
        <v>6895</v>
      </c>
    </row>
    <row r="1241" spans="1:5">
      <c r="A1241" s="413">
        <v>502495376</v>
      </c>
      <c r="B1241" s="413">
        <v>693461459.21527398</v>
      </c>
      <c r="D1241" s="413" t="s">
        <v>6896</v>
      </c>
      <c r="E1241" s="413" t="s">
        <v>6897</v>
      </c>
    </row>
    <row r="1242" spans="1:5">
      <c r="A1242" s="413">
        <v>502498981</v>
      </c>
      <c r="B1242" s="413">
        <v>693465064.215307</v>
      </c>
      <c r="D1242" s="413" t="s">
        <v>6898</v>
      </c>
      <c r="E1242" s="413" t="s">
        <v>6899</v>
      </c>
    </row>
    <row r="1243" spans="1:5">
      <c r="A1243" s="413">
        <v>502754553</v>
      </c>
      <c r="B1243" s="413">
        <v>693720636.21804297</v>
      </c>
      <c r="D1243" s="413" t="s">
        <v>6900</v>
      </c>
      <c r="E1243" s="413" t="s">
        <v>6901</v>
      </c>
    </row>
    <row r="1244" spans="1:5">
      <c r="A1244" s="413">
        <v>502776125</v>
      </c>
      <c r="B1244" s="413">
        <v>693742208.21830499</v>
      </c>
      <c r="D1244" s="413" t="s">
        <v>6902</v>
      </c>
      <c r="E1244" s="413" t="s">
        <v>6903</v>
      </c>
    </row>
    <row r="1245" spans="1:5">
      <c r="A1245" s="413">
        <v>502927482</v>
      </c>
      <c r="B1245" s="413">
        <v>693893565.21995294</v>
      </c>
      <c r="D1245" s="413" t="s">
        <v>6904</v>
      </c>
      <c r="E1245" s="413" t="s">
        <v>6905</v>
      </c>
    </row>
    <row r="1246" spans="1:5">
      <c r="A1246" s="413">
        <v>502988564</v>
      </c>
      <c r="B1246" s="413">
        <v>693954647.22062099</v>
      </c>
      <c r="D1246" s="413" t="s">
        <v>6906</v>
      </c>
      <c r="E1246" s="413" t="s">
        <v>6907</v>
      </c>
    </row>
    <row r="1247" spans="1:5">
      <c r="A1247" s="413">
        <v>503074957</v>
      </c>
      <c r="B1247" s="413">
        <v>694041040.22155905</v>
      </c>
      <c r="D1247" s="413" t="s">
        <v>6908</v>
      </c>
      <c r="E1247" s="413" t="s">
        <v>6909</v>
      </c>
    </row>
    <row r="1248" spans="1:5">
      <c r="A1248" s="413">
        <v>503330522</v>
      </c>
      <c r="B1248" s="413">
        <v>694296605.22431302</v>
      </c>
      <c r="D1248" s="413" t="s">
        <v>6910</v>
      </c>
      <c r="E1248" s="413" t="s">
        <v>6911</v>
      </c>
    </row>
    <row r="1249" spans="1:5">
      <c r="A1249" s="413">
        <v>503445701</v>
      </c>
      <c r="B1249" s="413">
        <v>694411784.22553396</v>
      </c>
      <c r="D1249" s="413" t="s">
        <v>6912</v>
      </c>
      <c r="E1249" s="413" t="s">
        <v>6913</v>
      </c>
    </row>
    <row r="1250" spans="1:5">
      <c r="A1250" s="413">
        <v>503503312</v>
      </c>
      <c r="B1250" s="413">
        <v>694469395.22618997</v>
      </c>
      <c r="D1250" s="413" t="s">
        <v>6914</v>
      </c>
      <c r="E1250" s="413" t="s">
        <v>6915</v>
      </c>
    </row>
    <row r="1251" spans="1:5">
      <c r="A1251" s="413">
        <v>503647303</v>
      </c>
      <c r="B1251" s="413">
        <v>694613386.22776198</v>
      </c>
      <c r="D1251" s="413" t="s">
        <v>6916</v>
      </c>
      <c r="E1251" s="413" t="s">
        <v>6917</v>
      </c>
    </row>
    <row r="1252" spans="1:5">
      <c r="A1252" s="413">
        <v>503791288</v>
      </c>
      <c r="B1252" s="413">
        <v>694757371.22928703</v>
      </c>
      <c r="D1252" s="413" t="s">
        <v>6918</v>
      </c>
      <c r="E1252" s="413" t="s">
        <v>6919</v>
      </c>
    </row>
    <row r="1253" spans="1:5">
      <c r="A1253" s="413">
        <v>503935313</v>
      </c>
      <c r="B1253" s="413">
        <v>694901396.23088002</v>
      </c>
      <c r="D1253" s="413" t="s">
        <v>6920</v>
      </c>
      <c r="E1253" s="413" t="s">
        <v>6921</v>
      </c>
    </row>
    <row r="1254" spans="1:5">
      <c r="A1254" s="413">
        <v>504021706</v>
      </c>
      <c r="B1254" s="413">
        <v>694987789.23179901</v>
      </c>
      <c r="D1254" s="413" t="s">
        <v>6922</v>
      </c>
      <c r="E1254" s="413" t="s">
        <v>6923</v>
      </c>
    </row>
    <row r="1255" spans="1:5">
      <c r="A1255" s="413">
        <v>504072062</v>
      </c>
      <c r="B1255" s="413">
        <v>695038145.23233402</v>
      </c>
      <c r="D1255" s="413" t="s">
        <v>6924</v>
      </c>
      <c r="E1255" s="413" t="s">
        <v>6925</v>
      </c>
    </row>
    <row r="1256" spans="1:5">
      <c r="A1256" s="413">
        <v>504306067</v>
      </c>
      <c r="B1256" s="413">
        <v>695272150.234815</v>
      </c>
      <c r="D1256" s="413" t="s">
        <v>6926</v>
      </c>
      <c r="E1256" s="413" t="s">
        <v>6927</v>
      </c>
    </row>
    <row r="1257" spans="1:5">
      <c r="A1257" s="413">
        <v>504482458</v>
      </c>
      <c r="B1257" s="413">
        <v>695448541.23672605</v>
      </c>
      <c r="D1257" s="413" t="s">
        <v>6928</v>
      </c>
      <c r="E1257" s="413" t="s">
        <v>6929</v>
      </c>
    </row>
    <row r="1258" spans="1:5">
      <c r="A1258" s="413">
        <v>504568854</v>
      </c>
      <c r="B1258" s="413">
        <v>695534937.23765194</v>
      </c>
      <c r="D1258" s="413" t="s">
        <v>6930</v>
      </c>
      <c r="E1258" s="413" t="s">
        <v>6931</v>
      </c>
    </row>
    <row r="1259" spans="1:5">
      <c r="A1259" s="413">
        <v>504655251</v>
      </c>
      <c r="B1259" s="413">
        <v>695621334.238585</v>
      </c>
      <c r="D1259" s="413" t="s">
        <v>6932</v>
      </c>
      <c r="E1259" s="413" t="s">
        <v>6933</v>
      </c>
    </row>
    <row r="1260" spans="1:5">
      <c r="A1260" s="413">
        <v>504676852</v>
      </c>
      <c r="B1260" s="413">
        <v>695642935.23886597</v>
      </c>
      <c r="D1260" s="413" t="s">
        <v>6934</v>
      </c>
      <c r="E1260" s="413" t="s">
        <v>6935</v>
      </c>
    </row>
    <row r="1261" spans="1:5">
      <c r="A1261" s="413">
        <v>505083643</v>
      </c>
      <c r="B1261" s="413">
        <v>696049726.24320996</v>
      </c>
      <c r="D1261" s="413" t="s">
        <v>6936</v>
      </c>
      <c r="E1261" s="413" t="s">
        <v>6937</v>
      </c>
    </row>
    <row r="1262" spans="1:5">
      <c r="A1262" s="413">
        <v>505173638</v>
      </c>
      <c r="B1262" s="413">
        <v>696139721.24417806</v>
      </c>
      <c r="D1262" s="413" t="s">
        <v>6938</v>
      </c>
      <c r="E1262" s="413" t="s">
        <v>6939</v>
      </c>
    </row>
    <row r="1263" spans="1:5">
      <c r="A1263" s="413">
        <v>505198861</v>
      </c>
      <c r="B1263" s="413">
        <v>696164944.24448705</v>
      </c>
      <c r="D1263" s="413" t="s">
        <v>6940</v>
      </c>
      <c r="E1263" s="413" t="s">
        <v>6941</v>
      </c>
    </row>
    <row r="1264" spans="1:5">
      <c r="A1264" s="413">
        <v>505281626</v>
      </c>
      <c r="B1264" s="413">
        <v>696247709.24538398</v>
      </c>
      <c r="D1264" s="413" t="s">
        <v>6942</v>
      </c>
      <c r="E1264" s="413" t="s">
        <v>6943</v>
      </c>
    </row>
    <row r="1265" spans="1:5">
      <c r="A1265" s="413">
        <v>505396837</v>
      </c>
      <c r="B1265" s="413">
        <v>696362920.24662304</v>
      </c>
      <c r="D1265" s="413" t="s">
        <v>6944</v>
      </c>
      <c r="E1265" s="413" t="s">
        <v>6945</v>
      </c>
    </row>
    <row r="1266" spans="1:5">
      <c r="A1266" s="413">
        <v>505476028</v>
      </c>
      <c r="B1266" s="413">
        <v>696442111.24745905</v>
      </c>
      <c r="D1266" s="413" t="s">
        <v>6946</v>
      </c>
      <c r="E1266" s="413" t="s">
        <v>6947</v>
      </c>
    </row>
    <row r="1267" spans="1:5">
      <c r="A1267" s="413">
        <v>505627231</v>
      </c>
      <c r="B1267" s="413">
        <v>696593314.24911201</v>
      </c>
      <c r="D1267" s="413" t="s">
        <v>6948</v>
      </c>
      <c r="E1267" s="413" t="s">
        <v>6949</v>
      </c>
    </row>
    <row r="1268" spans="1:5">
      <c r="A1268" s="413">
        <v>505746066</v>
      </c>
      <c r="B1268" s="413">
        <v>696712149.25040305</v>
      </c>
      <c r="D1268" s="413" t="s">
        <v>6950</v>
      </c>
      <c r="E1268" s="413" t="s">
        <v>6951</v>
      </c>
    </row>
    <row r="1269" spans="1:5">
      <c r="A1269" s="413">
        <v>505828847</v>
      </c>
      <c r="B1269" s="413">
        <v>696794930.251284</v>
      </c>
      <c r="D1269" s="413" t="s">
        <v>6952</v>
      </c>
      <c r="E1269" s="413" t="s">
        <v>6953</v>
      </c>
    </row>
    <row r="1270" spans="1:5">
      <c r="A1270" s="413">
        <v>505915261</v>
      </c>
      <c r="B1270" s="413">
        <v>696881344.25221598</v>
      </c>
      <c r="D1270" s="413" t="s">
        <v>6954</v>
      </c>
      <c r="E1270" s="413" t="s">
        <v>6955</v>
      </c>
    </row>
    <row r="1271" spans="1:5">
      <c r="A1271" s="413">
        <v>506037627</v>
      </c>
      <c r="B1271" s="413">
        <v>697003710.25352502</v>
      </c>
      <c r="D1271" s="413" t="s">
        <v>6956</v>
      </c>
      <c r="E1271" s="413" t="s">
        <v>6957</v>
      </c>
    </row>
    <row r="1272" spans="1:5">
      <c r="A1272" s="413">
        <v>506048411</v>
      </c>
      <c r="B1272" s="413">
        <v>697014494.25366199</v>
      </c>
      <c r="D1272" s="413" t="s">
        <v>6958</v>
      </c>
      <c r="E1272" s="413" t="s">
        <v>6959</v>
      </c>
    </row>
    <row r="1273" spans="1:5">
      <c r="A1273" s="413">
        <v>506296832</v>
      </c>
      <c r="B1273" s="413">
        <v>697262915.25633502</v>
      </c>
      <c r="D1273" s="413" t="s">
        <v>6960</v>
      </c>
      <c r="E1273" s="413" t="s">
        <v>6961</v>
      </c>
    </row>
    <row r="1274" spans="1:5">
      <c r="A1274" s="413">
        <v>506376050</v>
      </c>
      <c r="B1274" s="413">
        <v>697342133.257218</v>
      </c>
      <c r="D1274" s="413" t="s">
        <v>6962</v>
      </c>
      <c r="E1274" s="413" t="s">
        <v>6963</v>
      </c>
    </row>
    <row r="1275" spans="1:5">
      <c r="A1275" s="413">
        <v>506469631</v>
      </c>
      <c r="B1275" s="413">
        <v>697435714.25819898</v>
      </c>
      <c r="D1275" s="413" t="s">
        <v>6964</v>
      </c>
      <c r="E1275" s="413" t="s">
        <v>6965</v>
      </c>
    </row>
    <row r="1276" spans="1:5">
      <c r="A1276" s="413">
        <v>506545236</v>
      </c>
      <c r="B1276" s="413">
        <v>697511319.25901198</v>
      </c>
      <c r="D1276" s="413" t="s">
        <v>6966</v>
      </c>
      <c r="E1276" s="413" t="s">
        <v>6967</v>
      </c>
    </row>
    <row r="1277" spans="1:5">
      <c r="A1277" s="413">
        <v>506635263</v>
      </c>
      <c r="B1277" s="413">
        <v>697601346.26002002</v>
      </c>
      <c r="D1277" s="413" t="s">
        <v>6968</v>
      </c>
      <c r="E1277" s="413" t="s">
        <v>6969</v>
      </c>
    </row>
    <row r="1278" spans="1:5">
      <c r="A1278" s="413">
        <v>506730029</v>
      </c>
      <c r="B1278" s="413">
        <v>697696112.26103306</v>
      </c>
      <c r="D1278" s="413" t="s">
        <v>6970</v>
      </c>
      <c r="E1278" s="413" t="s">
        <v>6971</v>
      </c>
    </row>
    <row r="1279" spans="1:5">
      <c r="A1279" s="413">
        <v>506739612</v>
      </c>
      <c r="B1279" s="413">
        <v>697705695.26114297</v>
      </c>
      <c r="D1279" s="413" t="s">
        <v>6972</v>
      </c>
      <c r="E1279" s="413" t="s">
        <v>6973</v>
      </c>
    </row>
    <row r="1280" spans="1:5">
      <c r="A1280" s="413">
        <v>506826048</v>
      </c>
      <c r="B1280" s="413">
        <v>697792131.26207995</v>
      </c>
      <c r="D1280" s="413" t="s">
        <v>6974</v>
      </c>
      <c r="E1280" s="413" t="s">
        <v>6975</v>
      </c>
    </row>
    <row r="1281" spans="1:5">
      <c r="A1281" s="413">
        <v>506988064</v>
      </c>
      <c r="B1281" s="413">
        <v>697954147.26383305</v>
      </c>
      <c r="D1281" s="413" t="s">
        <v>6976</v>
      </c>
      <c r="E1281" s="413" t="s">
        <v>6977</v>
      </c>
    </row>
    <row r="1282" spans="1:5">
      <c r="A1282" s="413">
        <v>507074433</v>
      </c>
      <c r="B1282" s="413">
        <v>698040516.26476097</v>
      </c>
      <c r="D1282" s="413" t="s">
        <v>6978</v>
      </c>
      <c r="E1282" s="413" t="s">
        <v>6979</v>
      </c>
    </row>
    <row r="1283" spans="1:5">
      <c r="A1283" s="413">
        <v>507135635</v>
      </c>
      <c r="B1283" s="413">
        <v>698101718.26542795</v>
      </c>
      <c r="D1283" s="413" t="s">
        <v>6980</v>
      </c>
      <c r="E1283" s="413" t="s">
        <v>6981</v>
      </c>
    </row>
    <row r="1284" spans="1:5">
      <c r="A1284" s="413">
        <v>507283234</v>
      </c>
      <c r="B1284" s="413">
        <v>698249317.26753998</v>
      </c>
      <c r="D1284" s="413" t="s">
        <v>6982</v>
      </c>
      <c r="E1284" s="413" t="s">
        <v>6983</v>
      </c>
    </row>
    <row r="1285" spans="1:5">
      <c r="A1285" s="413">
        <v>507420039</v>
      </c>
      <c r="B1285" s="413">
        <v>698386122.26902997</v>
      </c>
      <c r="D1285" s="413" t="s">
        <v>6984</v>
      </c>
      <c r="E1285" s="413" t="s">
        <v>6985</v>
      </c>
    </row>
    <row r="1286" spans="1:5">
      <c r="A1286" s="413">
        <v>507502842</v>
      </c>
      <c r="B1286" s="413">
        <v>698468925.26992202</v>
      </c>
      <c r="D1286" s="413" t="s">
        <v>6986</v>
      </c>
      <c r="E1286" s="413" t="s">
        <v>6987</v>
      </c>
    </row>
    <row r="1287" spans="1:5">
      <c r="A1287" s="413">
        <v>507592841</v>
      </c>
      <c r="B1287" s="413">
        <v>698558924.27091396</v>
      </c>
      <c r="D1287" s="413" t="s">
        <v>6988</v>
      </c>
      <c r="E1287" s="413" t="s">
        <v>6989</v>
      </c>
    </row>
    <row r="1288" spans="1:5">
      <c r="A1288" s="413">
        <v>507679246</v>
      </c>
      <c r="B1288" s="413">
        <v>698645329.27186704</v>
      </c>
      <c r="D1288" s="413" t="s">
        <v>6990</v>
      </c>
      <c r="E1288" s="413" t="s">
        <v>6991</v>
      </c>
    </row>
    <row r="1289" spans="1:5">
      <c r="A1289" s="413">
        <v>507722457</v>
      </c>
      <c r="B1289" s="413">
        <v>698688540.27233803</v>
      </c>
      <c r="D1289" s="413" t="s">
        <v>6992</v>
      </c>
      <c r="E1289" s="413" t="s">
        <v>6993</v>
      </c>
    </row>
    <row r="1290" spans="1:5">
      <c r="A1290" s="413">
        <v>507826843</v>
      </c>
      <c r="B1290" s="413">
        <v>698792926.27346694</v>
      </c>
      <c r="D1290" s="413" t="s">
        <v>6994</v>
      </c>
      <c r="E1290" s="413" t="s">
        <v>6995</v>
      </c>
    </row>
    <row r="1291" spans="1:5">
      <c r="A1291" s="413">
        <v>507895251</v>
      </c>
      <c r="B1291" s="413">
        <v>698861334.27423</v>
      </c>
      <c r="D1291" s="413" t="s">
        <v>6996</v>
      </c>
      <c r="E1291" s="413" t="s">
        <v>6997</v>
      </c>
    </row>
    <row r="1292" spans="1:5">
      <c r="A1292" s="413">
        <v>507956478</v>
      </c>
      <c r="B1292" s="413">
        <v>698922561.27491605</v>
      </c>
      <c r="D1292" s="413" t="s">
        <v>6998</v>
      </c>
      <c r="E1292" s="413" t="s">
        <v>6999</v>
      </c>
    </row>
    <row r="1293" spans="1:5">
      <c r="A1293" s="413">
        <v>508197656</v>
      </c>
      <c r="B1293" s="413">
        <v>699163739.27752995</v>
      </c>
      <c r="D1293" s="413" t="s">
        <v>7000</v>
      </c>
      <c r="E1293" s="413" t="s">
        <v>7001</v>
      </c>
    </row>
    <row r="1294" spans="1:5">
      <c r="A1294" s="413">
        <v>508266074</v>
      </c>
      <c r="B1294" s="413">
        <v>699232157.27829504</v>
      </c>
      <c r="D1294" s="413" t="s">
        <v>7002</v>
      </c>
      <c r="E1294" s="413" t="s">
        <v>7003</v>
      </c>
    </row>
    <row r="1295" spans="1:5">
      <c r="A1295" s="413">
        <v>508320056</v>
      </c>
      <c r="B1295" s="413">
        <v>699286139.27887106</v>
      </c>
      <c r="D1295" s="413" t="s">
        <v>7004</v>
      </c>
      <c r="E1295" s="413" t="s">
        <v>7005</v>
      </c>
    </row>
    <row r="1296" spans="1:5">
      <c r="A1296" s="413">
        <v>508413679</v>
      </c>
      <c r="B1296" s="413">
        <v>699379762.27991104</v>
      </c>
      <c r="D1296" s="413" t="s">
        <v>7006</v>
      </c>
      <c r="E1296" s="413" t="s">
        <v>7007</v>
      </c>
    </row>
    <row r="1297" spans="1:5">
      <c r="A1297" s="413">
        <v>508503694</v>
      </c>
      <c r="B1297" s="413">
        <v>699469777.2809</v>
      </c>
      <c r="D1297" s="413" t="s">
        <v>7008</v>
      </c>
      <c r="E1297" s="413" t="s">
        <v>7009</v>
      </c>
    </row>
    <row r="1298" spans="1:5">
      <c r="A1298" s="413">
        <v>508701694</v>
      </c>
      <c r="B1298" s="413">
        <v>699667777.28307498</v>
      </c>
      <c r="D1298" s="413" t="s">
        <v>7010</v>
      </c>
      <c r="E1298" s="413" t="s">
        <v>7011</v>
      </c>
    </row>
    <row r="1299" spans="1:5">
      <c r="A1299" s="413">
        <v>508802480</v>
      </c>
      <c r="B1299" s="413">
        <v>699768563.28417397</v>
      </c>
      <c r="D1299" s="413" t="s">
        <v>7012</v>
      </c>
      <c r="E1299" s="413" t="s">
        <v>7013</v>
      </c>
    </row>
    <row r="1300" spans="1:5">
      <c r="A1300" s="413">
        <v>508863680</v>
      </c>
      <c r="B1300" s="413">
        <v>699829763.284832</v>
      </c>
      <c r="D1300" s="413" t="s">
        <v>7014</v>
      </c>
      <c r="E1300" s="413" t="s">
        <v>7015</v>
      </c>
    </row>
    <row r="1301" spans="1:5">
      <c r="A1301" s="413">
        <v>508960899</v>
      </c>
      <c r="B1301" s="413">
        <v>699926982.28591597</v>
      </c>
      <c r="D1301" s="413" t="s">
        <v>7016</v>
      </c>
      <c r="E1301" s="413" t="s">
        <v>7017</v>
      </c>
    </row>
    <row r="1302" spans="1:5">
      <c r="A1302" s="413">
        <v>509047438</v>
      </c>
      <c r="B1302" s="413">
        <v>700013521.28687704</v>
      </c>
      <c r="D1302" s="413" t="s">
        <v>7018</v>
      </c>
      <c r="E1302" s="413" t="s">
        <v>7019</v>
      </c>
    </row>
    <row r="1303" spans="1:5">
      <c r="A1303" s="413">
        <v>509101291</v>
      </c>
      <c r="B1303" s="413">
        <v>700067374.28746402</v>
      </c>
      <c r="D1303" s="413" t="s">
        <v>7020</v>
      </c>
      <c r="E1303" s="413" t="s">
        <v>7021</v>
      </c>
    </row>
    <row r="1304" spans="1:5">
      <c r="A1304" s="413">
        <v>509320900</v>
      </c>
      <c r="B1304" s="413">
        <v>700286983.28986394</v>
      </c>
      <c r="D1304" s="413" t="s">
        <v>7022</v>
      </c>
      <c r="E1304" s="413" t="s">
        <v>7023</v>
      </c>
    </row>
    <row r="1305" spans="1:5">
      <c r="A1305" s="413">
        <v>509331690</v>
      </c>
      <c r="B1305" s="413">
        <v>700297773.290012</v>
      </c>
      <c r="D1305" s="413" t="s">
        <v>7024</v>
      </c>
      <c r="E1305" s="413" t="s">
        <v>7025</v>
      </c>
    </row>
    <row r="1306" spans="1:5">
      <c r="A1306" s="413">
        <v>509565704</v>
      </c>
      <c r="B1306" s="413">
        <v>700531787.29254794</v>
      </c>
      <c r="D1306" s="413" t="s">
        <v>7026</v>
      </c>
      <c r="E1306" s="413" t="s">
        <v>7027</v>
      </c>
    </row>
    <row r="1307" spans="1:5">
      <c r="A1307" s="413">
        <v>509641313</v>
      </c>
      <c r="B1307" s="413">
        <v>700607396.29339802</v>
      </c>
      <c r="D1307" s="413" t="s">
        <v>7028</v>
      </c>
      <c r="E1307" s="413" t="s">
        <v>7029</v>
      </c>
    </row>
    <row r="1308" spans="1:5">
      <c r="A1308" s="413">
        <v>509706122</v>
      </c>
      <c r="B1308" s="413">
        <v>700672205.29413402</v>
      </c>
      <c r="D1308" s="413" t="s">
        <v>7030</v>
      </c>
      <c r="E1308" s="413" t="s">
        <v>7031</v>
      </c>
    </row>
    <row r="1309" spans="1:5">
      <c r="A1309" s="413">
        <v>509806914</v>
      </c>
      <c r="B1309" s="413">
        <v>700772997.29523098</v>
      </c>
      <c r="D1309" s="413" t="s">
        <v>7032</v>
      </c>
      <c r="E1309" s="413" t="s">
        <v>7033</v>
      </c>
    </row>
    <row r="1310" spans="1:5">
      <c r="A1310" s="413">
        <v>509911325</v>
      </c>
      <c r="B1310" s="413">
        <v>700877408.29637802</v>
      </c>
      <c r="D1310" s="413" t="s">
        <v>7034</v>
      </c>
      <c r="E1310" s="413" t="s">
        <v>7035</v>
      </c>
    </row>
    <row r="1311" spans="1:5">
      <c r="A1311" s="413">
        <v>510012131</v>
      </c>
      <c r="B1311" s="413">
        <v>700978214.29751301</v>
      </c>
      <c r="D1311" s="413" t="s">
        <v>7036</v>
      </c>
      <c r="E1311" s="413" t="s">
        <v>7037</v>
      </c>
    </row>
    <row r="1312" spans="1:5">
      <c r="A1312" s="413">
        <v>510080563</v>
      </c>
      <c r="B1312" s="413">
        <v>701046646.29826796</v>
      </c>
      <c r="D1312" s="413" t="s">
        <v>7038</v>
      </c>
      <c r="E1312" s="413" t="s">
        <v>7039</v>
      </c>
    </row>
    <row r="1313" spans="1:5">
      <c r="A1313" s="413">
        <v>510134541</v>
      </c>
      <c r="B1313" s="413">
        <v>701100624.29885697</v>
      </c>
      <c r="D1313" s="413" t="s">
        <v>7040</v>
      </c>
      <c r="E1313" s="413" t="s">
        <v>7041</v>
      </c>
    </row>
    <row r="1314" spans="1:5">
      <c r="A1314" s="413">
        <v>510264143</v>
      </c>
      <c r="B1314" s="413">
        <v>701230226.30028701</v>
      </c>
      <c r="D1314" s="413" t="s">
        <v>7042</v>
      </c>
      <c r="E1314" s="413" t="s">
        <v>7043</v>
      </c>
    </row>
    <row r="1315" spans="1:5">
      <c r="A1315" s="413">
        <v>510307346</v>
      </c>
      <c r="B1315" s="413">
        <v>701273429.30076396</v>
      </c>
      <c r="D1315" s="413" t="s">
        <v>7044</v>
      </c>
      <c r="E1315" s="413" t="s">
        <v>7045</v>
      </c>
    </row>
    <row r="1316" spans="1:5">
      <c r="A1316" s="413">
        <v>510382939</v>
      </c>
      <c r="B1316" s="413">
        <v>701349022.30158305</v>
      </c>
      <c r="D1316" s="413" t="s">
        <v>7046</v>
      </c>
      <c r="E1316" s="413" t="s">
        <v>7047</v>
      </c>
    </row>
    <row r="1317" spans="1:5">
      <c r="A1317" s="413">
        <v>510595378</v>
      </c>
      <c r="B1317" s="413">
        <v>701561461.30397797</v>
      </c>
      <c r="D1317" s="413" t="s">
        <v>7048</v>
      </c>
      <c r="E1317" s="413" t="s">
        <v>7049</v>
      </c>
    </row>
    <row r="1318" spans="1:5">
      <c r="A1318" s="413">
        <v>510703365</v>
      </c>
      <c r="B1318" s="413">
        <v>701669448.30517304</v>
      </c>
      <c r="D1318" s="413" t="s">
        <v>7050</v>
      </c>
      <c r="E1318" s="413" t="s">
        <v>7051</v>
      </c>
    </row>
    <row r="1319" spans="1:5">
      <c r="A1319" s="413">
        <v>510764573</v>
      </c>
      <c r="B1319" s="413">
        <v>701730656.30583704</v>
      </c>
      <c r="D1319" s="413" t="s">
        <v>7052</v>
      </c>
      <c r="E1319" s="413" t="s">
        <v>7053</v>
      </c>
    </row>
    <row r="1320" spans="1:5">
      <c r="A1320" s="413">
        <v>510814966</v>
      </c>
      <c r="B1320" s="413">
        <v>701781049.30638504</v>
      </c>
      <c r="D1320" s="413" t="s">
        <v>7054</v>
      </c>
      <c r="E1320" s="413" t="s">
        <v>7055</v>
      </c>
    </row>
    <row r="1321" spans="1:5">
      <c r="A1321" s="413">
        <v>510955377</v>
      </c>
      <c r="B1321" s="413">
        <v>701921460.30795705</v>
      </c>
      <c r="D1321" s="413" t="s">
        <v>7056</v>
      </c>
      <c r="E1321" s="413" t="s">
        <v>7057</v>
      </c>
    </row>
    <row r="1322" spans="1:5">
      <c r="A1322" s="413">
        <v>510984170</v>
      </c>
      <c r="B1322" s="413">
        <v>701950253.30825603</v>
      </c>
      <c r="D1322" s="413" t="s">
        <v>7058</v>
      </c>
      <c r="E1322" s="413" t="s">
        <v>7059</v>
      </c>
    </row>
    <row r="1323" spans="1:5">
      <c r="A1323" s="413">
        <v>511117383</v>
      </c>
      <c r="B1323" s="413">
        <v>702083466.309726</v>
      </c>
      <c r="D1323" s="413" t="s">
        <v>7060</v>
      </c>
      <c r="E1323" s="413" t="s">
        <v>7061</v>
      </c>
    </row>
    <row r="1324" spans="1:5">
      <c r="A1324" s="413">
        <v>511221795</v>
      </c>
      <c r="B1324" s="413">
        <v>702187878.31092095</v>
      </c>
      <c r="D1324" s="413" t="s">
        <v>7062</v>
      </c>
      <c r="E1324" s="413" t="s">
        <v>7063</v>
      </c>
    </row>
    <row r="1325" spans="1:5">
      <c r="A1325" s="413">
        <v>511286608</v>
      </c>
      <c r="B1325" s="413">
        <v>702252691.31164098</v>
      </c>
      <c r="D1325" s="413" t="s">
        <v>7064</v>
      </c>
      <c r="E1325" s="413" t="s">
        <v>7065</v>
      </c>
    </row>
    <row r="1326" spans="1:5">
      <c r="A1326" s="413">
        <v>511387400</v>
      </c>
      <c r="B1326" s="413">
        <v>702353483.312765</v>
      </c>
      <c r="D1326" s="413" t="s">
        <v>7066</v>
      </c>
      <c r="E1326" s="413" t="s">
        <v>7067</v>
      </c>
    </row>
    <row r="1327" spans="1:5">
      <c r="A1327" s="413">
        <v>511423401</v>
      </c>
      <c r="B1327" s="413">
        <v>702389484.31315303</v>
      </c>
      <c r="D1327" s="413" t="s">
        <v>7068</v>
      </c>
      <c r="E1327" s="413" t="s">
        <v>7069</v>
      </c>
    </row>
    <row r="1328" spans="1:5">
      <c r="A1328" s="413">
        <v>511621415</v>
      </c>
      <c r="B1328" s="413">
        <v>702587498.31536305</v>
      </c>
      <c r="D1328" s="413" t="s">
        <v>7070</v>
      </c>
      <c r="E1328" s="413" t="s">
        <v>7071</v>
      </c>
    </row>
    <row r="1329" spans="1:5">
      <c r="A1329" s="413">
        <v>511707820</v>
      </c>
      <c r="B1329" s="413">
        <v>702673903.31631804</v>
      </c>
      <c r="D1329" s="413" t="s">
        <v>7072</v>
      </c>
      <c r="E1329" s="413" t="s">
        <v>7073</v>
      </c>
    </row>
    <row r="1330" spans="1:5">
      <c r="A1330" s="413">
        <v>511819422</v>
      </c>
      <c r="B1330" s="413">
        <v>702785505.31758106</v>
      </c>
      <c r="D1330" s="413" t="s">
        <v>7074</v>
      </c>
      <c r="E1330" s="413" t="s">
        <v>7075</v>
      </c>
    </row>
    <row r="1331" spans="1:5">
      <c r="A1331" s="413">
        <v>511877022</v>
      </c>
      <c r="B1331" s="413">
        <v>702843105.31821799</v>
      </c>
      <c r="D1331" s="413" t="s">
        <v>7076</v>
      </c>
      <c r="E1331" s="413" t="s">
        <v>7077</v>
      </c>
    </row>
    <row r="1332" spans="1:5">
      <c r="A1332" s="413">
        <v>511992232</v>
      </c>
      <c r="B1332" s="413">
        <v>702958315.31950402</v>
      </c>
      <c r="D1332" s="413" t="s">
        <v>7078</v>
      </c>
      <c r="E1332" s="413" t="s">
        <v>7079</v>
      </c>
    </row>
    <row r="1333" spans="1:5">
      <c r="A1333" s="413">
        <v>512085846</v>
      </c>
      <c r="B1333" s="413">
        <v>703051929.32057095</v>
      </c>
      <c r="D1333" s="413" t="s">
        <v>7080</v>
      </c>
      <c r="E1333" s="413" t="s">
        <v>7081</v>
      </c>
    </row>
    <row r="1334" spans="1:5">
      <c r="A1334" s="413">
        <v>512165042</v>
      </c>
      <c r="B1334" s="413">
        <v>703131125.32145095</v>
      </c>
      <c r="D1334" s="413" t="s">
        <v>7082</v>
      </c>
      <c r="E1334" s="413" t="s">
        <v>7083</v>
      </c>
    </row>
    <row r="1335" spans="1:5">
      <c r="A1335" s="413">
        <v>512193835</v>
      </c>
      <c r="B1335" s="413">
        <v>703159918.32176101</v>
      </c>
      <c r="D1335" s="413" t="s">
        <v>7084</v>
      </c>
      <c r="E1335" s="413" t="s">
        <v>7085</v>
      </c>
    </row>
    <row r="1336" spans="1:5">
      <c r="A1336" s="413">
        <v>512345061</v>
      </c>
      <c r="B1336" s="413">
        <v>703311144.32346499</v>
      </c>
      <c r="D1336" s="413" t="s">
        <v>7086</v>
      </c>
      <c r="E1336" s="413" t="s">
        <v>7087</v>
      </c>
    </row>
    <row r="1337" spans="1:5">
      <c r="A1337" s="413">
        <v>512406276</v>
      </c>
      <c r="B1337" s="413">
        <v>703372359.32414603</v>
      </c>
      <c r="D1337" s="413" t="s">
        <v>7088</v>
      </c>
      <c r="E1337" s="413" t="s">
        <v>7089</v>
      </c>
    </row>
    <row r="1338" spans="1:5">
      <c r="A1338" s="413">
        <v>512489062</v>
      </c>
      <c r="B1338" s="413">
        <v>703455145.32506895</v>
      </c>
      <c r="D1338" s="413" t="s">
        <v>7090</v>
      </c>
      <c r="E1338" s="413" t="s">
        <v>7091</v>
      </c>
    </row>
    <row r="1339" spans="1:5">
      <c r="A1339" s="413">
        <v>512597064</v>
      </c>
      <c r="B1339" s="413">
        <v>703563147.32629204</v>
      </c>
      <c r="D1339" s="413" t="s">
        <v>7092</v>
      </c>
      <c r="E1339" s="413" t="s">
        <v>7093</v>
      </c>
    </row>
    <row r="1340" spans="1:5">
      <c r="A1340" s="413">
        <v>512683468</v>
      </c>
      <c r="B1340" s="413">
        <v>703649551.32724798</v>
      </c>
      <c r="D1340" s="413" t="s">
        <v>7094</v>
      </c>
      <c r="E1340" s="413" t="s">
        <v>7095</v>
      </c>
    </row>
    <row r="1341" spans="1:5">
      <c r="A1341" s="413">
        <v>512715870</v>
      </c>
      <c r="B1341" s="413">
        <v>703681953.32761896</v>
      </c>
      <c r="D1341" s="413" t="s">
        <v>7096</v>
      </c>
      <c r="E1341" s="413" t="s">
        <v>7097</v>
      </c>
    </row>
    <row r="1342" spans="1:5">
      <c r="A1342" s="413">
        <v>512888672</v>
      </c>
      <c r="B1342" s="413">
        <v>703854755.32954895</v>
      </c>
      <c r="D1342" s="413" t="s">
        <v>7098</v>
      </c>
      <c r="E1342" s="413" t="s">
        <v>7099</v>
      </c>
    </row>
    <row r="1343" spans="1:5">
      <c r="A1343" s="413">
        <v>512982299</v>
      </c>
      <c r="B1343" s="413">
        <v>703948382.33061099</v>
      </c>
      <c r="D1343" s="413" t="s">
        <v>7100</v>
      </c>
      <c r="E1343" s="413" t="s">
        <v>7101</v>
      </c>
    </row>
    <row r="1344" spans="1:5">
      <c r="A1344" s="413">
        <v>513111890</v>
      </c>
      <c r="B1344" s="413">
        <v>704077973.33205795</v>
      </c>
      <c r="D1344" s="413" t="s">
        <v>7102</v>
      </c>
      <c r="E1344" s="413" t="s">
        <v>7103</v>
      </c>
    </row>
    <row r="1345" spans="1:5">
      <c r="A1345" s="413">
        <v>513180301</v>
      </c>
      <c r="B1345" s="413">
        <v>704146384.33283401</v>
      </c>
      <c r="D1345" s="413" t="s">
        <v>7104</v>
      </c>
      <c r="E1345" s="413" t="s">
        <v>7105</v>
      </c>
    </row>
    <row r="1346" spans="1:5">
      <c r="A1346" s="413">
        <v>513255893</v>
      </c>
      <c r="B1346" s="413">
        <v>704221976.33366597</v>
      </c>
      <c r="D1346" s="413" t="s">
        <v>7106</v>
      </c>
      <c r="E1346" s="413" t="s">
        <v>7107</v>
      </c>
    </row>
    <row r="1347" spans="1:5">
      <c r="A1347" s="413">
        <v>513374703</v>
      </c>
      <c r="B1347" s="413">
        <v>704340786.33501804</v>
      </c>
      <c r="D1347" s="413" t="s">
        <v>7108</v>
      </c>
      <c r="E1347" s="413" t="s">
        <v>7109</v>
      </c>
    </row>
    <row r="1348" spans="1:5">
      <c r="A1348" s="413">
        <v>513464710</v>
      </c>
      <c r="B1348" s="413">
        <v>704430793.33603299</v>
      </c>
      <c r="D1348" s="413" t="s">
        <v>7110</v>
      </c>
      <c r="E1348" s="413" t="s">
        <v>7111</v>
      </c>
    </row>
    <row r="1349" spans="1:5">
      <c r="A1349" s="413">
        <v>513554723</v>
      </c>
      <c r="B1349" s="413">
        <v>704520806.33706796</v>
      </c>
      <c r="D1349" s="413" t="s">
        <v>7112</v>
      </c>
      <c r="E1349" s="413" t="s">
        <v>7113</v>
      </c>
    </row>
    <row r="1350" spans="1:5">
      <c r="A1350" s="413">
        <v>513641135</v>
      </c>
      <c r="B1350" s="413">
        <v>704607218.33802903</v>
      </c>
      <c r="D1350" s="413" t="s">
        <v>7114</v>
      </c>
      <c r="E1350" s="413" t="s">
        <v>7115</v>
      </c>
    </row>
    <row r="1351" spans="1:5">
      <c r="A1351" s="413">
        <v>513716719</v>
      </c>
      <c r="B1351" s="413">
        <v>704682802.33886802</v>
      </c>
      <c r="D1351" s="413" t="s">
        <v>7116</v>
      </c>
      <c r="E1351" s="413" t="s">
        <v>7117</v>
      </c>
    </row>
    <row r="1352" spans="1:5">
      <c r="A1352" s="413">
        <v>513806745</v>
      </c>
      <c r="B1352" s="413">
        <v>704772828.33988905</v>
      </c>
      <c r="D1352" s="413" t="s">
        <v>7118</v>
      </c>
      <c r="E1352" s="413" t="s">
        <v>7119</v>
      </c>
    </row>
    <row r="1353" spans="1:5">
      <c r="A1353" s="413">
        <v>513835556</v>
      </c>
      <c r="B1353" s="413">
        <v>704801639.34021103</v>
      </c>
      <c r="D1353" s="413" t="s">
        <v>7120</v>
      </c>
      <c r="E1353" s="413" t="s">
        <v>7121</v>
      </c>
    </row>
    <row r="1354" spans="1:5">
      <c r="A1354" s="413">
        <v>513925573</v>
      </c>
      <c r="B1354" s="413">
        <v>704891656.341223</v>
      </c>
      <c r="D1354" s="413" t="s">
        <v>7122</v>
      </c>
      <c r="E1354" s="413" t="s">
        <v>7123</v>
      </c>
    </row>
    <row r="1355" spans="1:5">
      <c r="A1355" s="413">
        <v>514101996</v>
      </c>
      <c r="B1355" s="413">
        <v>705068079.34322798</v>
      </c>
      <c r="D1355" s="413" t="s">
        <v>7124</v>
      </c>
      <c r="E1355" s="413" t="s">
        <v>7125</v>
      </c>
    </row>
    <row r="1356" spans="1:5">
      <c r="A1356" s="413">
        <v>514246007</v>
      </c>
      <c r="B1356" s="413">
        <v>705212090.34486496</v>
      </c>
      <c r="D1356" s="413" t="s">
        <v>7126</v>
      </c>
      <c r="E1356" s="413" t="s">
        <v>7127</v>
      </c>
    </row>
    <row r="1357" spans="1:5">
      <c r="A1357" s="413">
        <v>514325174</v>
      </c>
      <c r="B1357" s="413">
        <v>705291257.34574795</v>
      </c>
      <c r="D1357" s="413" t="s">
        <v>7128</v>
      </c>
      <c r="E1357" s="413" t="s">
        <v>7129</v>
      </c>
    </row>
    <row r="1358" spans="1:5">
      <c r="A1358" s="413">
        <v>514357605</v>
      </c>
      <c r="B1358" s="413">
        <v>705323688.34611499</v>
      </c>
      <c r="D1358" s="413" t="s">
        <v>7130</v>
      </c>
      <c r="E1358" s="413" t="s">
        <v>7131</v>
      </c>
    </row>
    <row r="1359" spans="1:5">
      <c r="A1359" s="413">
        <v>514447635</v>
      </c>
      <c r="B1359" s="413">
        <v>705413718.34713697</v>
      </c>
      <c r="D1359" s="413" t="s">
        <v>7132</v>
      </c>
      <c r="E1359" s="413" t="s">
        <v>7133</v>
      </c>
    </row>
    <row r="1360" spans="1:5">
      <c r="A1360" s="413">
        <v>514555595</v>
      </c>
      <c r="B1360" s="413">
        <v>705521678.34834599</v>
      </c>
      <c r="D1360" s="413" t="s">
        <v>7134</v>
      </c>
      <c r="E1360" s="413" t="s">
        <v>7135</v>
      </c>
    </row>
    <row r="1361" spans="1:5">
      <c r="A1361" s="413">
        <v>514613183</v>
      </c>
      <c r="B1361" s="413">
        <v>705579266.34898996</v>
      </c>
      <c r="D1361" s="413" t="s">
        <v>7136</v>
      </c>
      <c r="E1361" s="413" t="s">
        <v>7137</v>
      </c>
    </row>
    <row r="1362" spans="1:5">
      <c r="A1362" s="413">
        <v>514735647</v>
      </c>
      <c r="B1362" s="413">
        <v>705701730.35040605</v>
      </c>
      <c r="D1362" s="413" t="s">
        <v>7138</v>
      </c>
      <c r="E1362" s="413" t="s">
        <v>7139</v>
      </c>
    </row>
    <row r="1363" spans="1:5">
      <c r="A1363" s="413">
        <v>514814804</v>
      </c>
      <c r="B1363" s="413">
        <v>705780887.35129094</v>
      </c>
      <c r="D1363" s="413" t="s">
        <v>7140</v>
      </c>
      <c r="E1363" s="413" t="s">
        <v>7141</v>
      </c>
    </row>
    <row r="1364" spans="1:5">
      <c r="A1364" s="413">
        <v>514904973</v>
      </c>
      <c r="B1364" s="413">
        <v>705871056.35231996</v>
      </c>
      <c r="D1364" s="413" t="s">
        <v>7142</v>
      </c>
      <c r="E1364" s="413" t="s">
        <v>7143</v>
      </c>
    </row>
    <row r="1365" spans="1:5">
      <c r="A1365" s="413">
        <v>514984007</v>
      </c>
      <c r="B1365" s="413">
        <v>705950090.35319602</v>
      </c>
      <c r="D1365" s="413" t="s">
        <v>7144</v>
      </c>
      <c r="E1365" s="413" t="s">
        <v>7145</v>
      </c>
    </row>
    <row r="1366" spans="1:5">
      <c r="A1366" s="413">
        <v>515041592</v>
      </c>
      <c r="B1366" s="413">
        <v>706007675.35384297</v>
      </c>
      <c r="D1366" s="413" t="s">
        <v>7146</v>
      </c>
      <c r="E1366" s="413" t="s">
        <v>7147</v>
      </c>
    </row>
    <row r="1367" spans="1:5">
      <c r="A1367" s="413">
        <v>515164041</v>
      </c>
      <c r="B1367" s="413">
        <v>706130124.35526204</v>
      </c>
      <c r="D1367" s="413" t="s">
        <v>7148</v>
      </c>
      <c r="E1367" s="413" t="s">
        <v>7149</v>
      </c>
    </row>
    <row r="1368" spans="1:5">
      <c r="A1368" s="413">
        <v>515214399</v>
      </c>
      <c r="B1368" s="413">
        <v>706180482.35581398</v>
      </c>
      <c r="D1368" s="413" t="s">
        <v>7150</v>
      </c>
      <c r="E1368" s="413" t="s">
        <v>7151</v>
      </c>
    </row>
    <row r="1369" spans="1:5">
      <c r="A1369" s="413">
        <v>515326015</v>
      </c>
      <c r="B1369" s="413">
        <v>706292098.35707796</v>
      </c>
      <c r="D1369" s="413" t="s">
        <v>7152</v>
      </c>
      <c r="E1369" s="413" t="s">
        <v>7153</v>
      </c>
    </row>
    <row r="1370" spans="1:5">
      <c r="A1370" s="413">
        <v>515445699</v>
      </c>
      <c r="B1370" s="413">
        <v>706411782.35779297</v>
      </c>
      <c r="D1370" s="413" t="s">
        <v>7154</v>
      </c>
      <c r="E1370" s="413" t="s">
        <v>7155</v>
      </c>
    </row>
    <row r="1371" spans="1:5">
      <c r="A1371" s="413">
        <v>515509684</v>
      </c>
      <c r="B1371" s="413">
        <v>706475767.35918903</v>
      </c>
      <c r="D1371" s="413" t="s">
        <v>7156</v>
      </c>
      <c r="E1371" s="413" t="s">
        <v>7157</v>
      </c>
    </row>
    <row r="1372" spans="1:5">
      <c r="A1372" s="413">
        <v>515585217</v>
      </c>
      <c r="B1372" s="413">
        <v>706551300.36002696</v>
      </c>
      <c r="D1372" s="413" t="s">
        <v>7158</v>
      </c>
      <c r="E1372" s="413" t="s">
        <v>7159</v>
      </c>
    </row>
    <row r="1373" spans="1:5">
      <c r="A1373" s="413">
        <v>515650023</v>
      </c>
      <c r="B1373" s="413">
        <v>706616106.36077404</v>
      </c>
      <c r="D1373" s="413" t="s">
        <v>7160</v>
      </c>
      <c r="E1373" s="413" t="s">
        <v>7161</v>
      </c>
    </row>
    <row r="1374" spans="1:5">
      <c r="A1374" s="413">
        <v>515736500</v>
      </c>
      <c r="B1374" s="413">
        <v>706702583.36176205</v>
      </c>
      <c r="D1374" s="413" t="s">
        <v>7162</v>
      </c>
      <c r="E1374" s="413" t="s">
        <v>7163</v>
      </c>
    </row>
    <row r="1375" spans="1:5">
      <c r="A1375" s="413">
        <v>515851707</v>
      </c>
      <c r="B1375" s="413">
        <v>706817790.36307502</v>
      </c>
      <c r="D1375" s="413" t="s">
        <v>7164</v>
      </c>
      <c r="E1375" s="413" t="s">
        <v>7165</v>
      </c>
    </row>
    <row r="1376" spans="1:5">
      <c r="A1376" s="413">
        <v>515960510</v>
      </c>
      <c r="B1376" s="413">
        <v>706926593.36372697</v>
      </c>
      <c r="D1376" s="413" t="s">
        <v>7166</v>
      </c>
      <c r="E1376" s="413" t="s">
        <v>7167</v>
      </c>
    </row>
    <row r="1377" spans="1:5">
      <c r="A1377" s="413">
        <v>516049736</v>
      </c>
      <c r="B1377" s="413">
        <v>707015819.36533201</v>
      </c>
      <c r="D1377" s="413" t="s">
        <v>7168</v>
      </c>
      <c r="E1377" s="413" t="s">
        <v>7169</v>
      </c>
    </row>
    <row r="1378" spans="1:5">
      <c r="A1378" s="413">
        <v>516110911</v>
      </c>
      <c r="B1378" s="413">
        <v>707076994.36602497</v>
      </c>
      <c r="D1378" s="413" t="s">
        <v>7170</v>
      </c>
      <c r="E1378" s="413" t="s">
        <v>7171</v>
      </c>
    </row>
    <row r="1379" spans="1:5">
      <c r="A1379" s="413">
        <v>516218929</v>
      </c>
      <c r="B1379" s="413">
        <v>707185012.36724102</v>
      </c>
      <c r="D1379" s="413" t="s">
        <v>7172</v>
      </c>
      <c r="E1379" s="413" t="s">
        <v>7173</v>
      </c>
    </row>
    <row r="1380" spans="1:5">
      <c r="A1380" s="413">
        <v>516287328</v>
      </c>
      <c r="B1380" s="413">
        <v>707253411.36800098</v>
      </c>
      <c r="D1380" s="413" t="s">
        <v>7174</v>
      </c>
      <c r="E1380" s="413" t="s">
        <v>7175</v>
      </c>
    </row>
    <row r="1381" spans="1:5">
      <c r="A1381" s="413">
        <v>516395247</v>
      </c>
      <c r="B1381" s="413">
        <v>707361330.36925697</v>
      </c>
      <c r="D1381" s="413" t="s">
        <v>7176</v>
      </c>
      <c r="E1381" s="413" t="s">
        <v>7177</v>
      </c>
    </row>
    <row r="1382" spans="1:5">
      <c r="A1382" s="413">
        <v>539991576</v>
      </c>
      <c r="B1382" s="413">
        <v>730957659.62999701</v>
      </c>
      <c r="D1382" s="413" t="s">
        <v>7178</v>
      </c>
      <c r="E1382" s="413" t="s">
        <v>7179</v>
      </c>
    </row>
    <row r="1383" spans="1:5">
      <c r="A1383" s="413">
        <v>540057121</v>
      </c>
      <c r="B1383" s="413">
        <v>731023204.63011599</v>
      </c>
      <c r="D1383" s="413" t="s">
        <v>7180</v>
      </c>
      <c r="E1383" s="413" t="s">
        <v>7181</v>
      </c>
    </row>
    <row r="1384" spans="1:5">
      <c r="A1384" s="413">
        <v>540164401</v>
      </c>
      <c r="B1384" s="413">
        <v>731130484.63191402</v>
      </c>
      <c r="D1384" s="413" t="s">
        <v>7182</v>
      </c>
      <c r="E1384" s="413" t="s">
        <v>7183</v>
      </c>
    </row>
    <row r="1385" spans="1:5">
      <c r="A1385" s="413">
        <v>540236397</v>
      </c>
      <c r="B1385" s="413">
        <v>731202480.63269103</v>
      </c>
      <c r="D1385" s="413" t="s">
        <v>7184</v>
      </c>
      <c r="E1385" s="413" t="s">
        <v>7185</v>
      </c>
    </row>
    <row r="1386" spans="1:5">
      <c r="A1386" s="413">
        <v>540322807</v>
      </c>
      <c r="B1386" s="413">
        <v>731288890.63358498</v>
      </c>
      <c r="D1386" s="413" t="s">
        <v>7186</v>
      </c>
      <c r="E1386" s="413" t="s">
        <v>7187</v>
      </c>
    </row>
    <row r="1387" spans="1:5">
      <c r="A1387" s="413">
        <v>540495478</v>
      </c>
      <c r="B1387" s="413">
        <v>731461561.63551605</v>
      </c>
      <c r="D1387" s="413" t="s">
        <v>7188</v>
      </c>
      <c r="E1387" s="413" t="s">
        <v>7189</v>
      </c>
    </row>
    <row r="1388" spans="1:5">
      <c r="A1388" s="413">
        <v>540545956</v>
      </c>
      <c r="B1388" s="413">
        <v>731512039.63606095</v>
      </c>
      <c r="D1388" s="413" t="s">
        <v>7190</v>
      </c>
      <c r="E1388" s="413" t="s">
        <v>7191</v>
      </c>
    </row>
    <row r="1389" spans="1:5">
      <c r="A1389" s="413">
        <v>540653846</v>
      </c>
      <c r="B1389" s="413">
        <v>731619929.63720405</v>
      </c>
      <c r="D1389" s="413" t="s">
        <v>7192</v>
      </c>
      <c r="E1389" s="413" t="s">
        <v>7193</v>
      </c>
    </row>
    <row r="1390" spans="1:5">
      <c r="A1390" s="413">
        <v>540754690</v>
      </c>
      <c r="B1390" s="413">
        <v>731720773.63832498</v>
      </c>
      <c r="D1390" s="413" t="s">
        <v>7194</v>
      </c>
      <c r="E1390" s="413" t="s">
        <v>7195</v>
      </c>
    </row>
    <row r="1391" spans="1:5">
      <c r="A1391" s="413">
        <v>540833862</v>
      </c>
      <c r="B1391" s="413">
        <v>731799945.63918698</v>
      </c>
      <c r="D1391" s="413" t="s">
        <v>7196</v>
      </c>
      <c r="E1391" s="413" t="s">
        <v>7197</v>
      </c>
    </row>
    <row r="1392" spans="1:5">
      <c r="A1392" s="413">
        <v>540941999</v>
      </c>
      <c r="B1392" s="413">
        <v>731908082.64033902</v>
      </c>
      <c r="D1392" s="413" t="s">
        <v>7198</v>
      </c>
      <c r="E1392" s="413" t="s">
        <v>7199</v>
      </c>
    </row>
    <row r="1393" spans="1:5">
      <c r="A1393" s="413">
        <v>541013901</v>
      </c>
      <c r="B1393" s="413">
        <v>731979984.64114106</v>
      </c>
      <c r="D1393" s="413" t="s">
        <v>7200</v>
      </c>
      <c r="E1393" s="413" t="s">
        <v>7201</v>
      </c>
    </row>
    <row r="1394" spans="1:5">
      <c r="A1394" s="413">
        <v>541089463</v>
      </c>
      <c r="B1394" s="413">
        <v>732055546.64196002</v>
      </c>
      <c r="D1394" s="413" t="s">
        <v>7202</v>
      </c>
      <c r="E1394" s="413" t="s">
        <v>7203</v>
      </c>
    </row>
    <row r="1395" spans="1:5">
      <c r="A1395" s="413">
        <v>541186707</v>
      </c>
      <c r="B1395" s="413">
        <v>732152790.64303005</v>
      </c>
      <c r="D1395" s="413" t="s">
        <v>7204</v>
      </c>
      <c r="E1395" s="413" t="s">
        <v>7205</v>
      </c>
    </row>
    <row r="1396" spans="1:5">
      <c r="A1396" s="413">
        <v>541287599</v>
      </c>
      <c r="B1396" s="413">
        <v>732253682.64411795</v>
      </c>
      <c r="D1396" s="413" t="s">
        <v>7206</v>
      </c>
      <c r="E1396" s="413" t="s">
        <v>7207</v>
      </c>
    </row>
    <row r="1397" spans="1:5">
      <c r="A1397" s="413">
        <v>541355926</v>
      </c>
      <c r="B1397" s="413">
        <v>732322009.64487505</v>
      </c>
      <c r="D1397" s="413" t="s">
        <v>7208</v>
      </c>
      <c r="E1397" s="413" t="s">
        <v>7209</v>
      </c>
    </row>
    <row r="1398" spans="1:5">
      <c r="A1398" s="413">
        <v>541402806</v>
      </c>
      <c r="B1398" s="413">
        <v>732368889.64534795</v>
      </c>
      <c r="D1398" s="413" t="s">
        <v>7210</v>
      </c>
      <c r="E1398" s="413" t="s">
        <v>7211</v>
      </c>
    </row>
    <row r="1399" spans="1:5">
      <c r="A1399" s="413">
        <v>541514286</v>
      </c>
      <c r="B1399" s="413">
        <v>732480369.64657903</v>
      </c>
      <c r="D1399" s="413" t="s">
        <v>7212</v>
      </c>
      <c r="E1399" s="413" t="s">
        <v>7213</v>
      </c>
    </row>
    <row r="1400" spans="1:5">
      <c r="A1400" s="413">
        <v>541607888</v>
      </c>
      <c r="B1400" s="413">
        <v>732573971.64760602</v>
      </c>
      <c r="D1400" s="413" t="s">
        <v>7214</v>
      </c>
      <c r="E1400" s="413" t="s">
        <v>7215</v>
      </c>
    </row>
    <row r="1401" spans="1:5">
      <c r="A1401" s="413">
        <v>541806026</v>
      </c>
      <c r="B1401" s="413">
        <v>732772109.64976799</v>
      </c>
      <c r="D1401" s="413" t="s">
        <v>7216</v>
      </c>
      <c r="E1401" s="413" t="s">
        <v>7217</v>
      </c>
    </row>
    <row r="1402" spans="1:5">
      <c r="A1402" s="413">
        <v>541874350</v>
      </c>
      <c r="B1402" s="413">
        <v>732840433.65052402</v>
      </c>
      <c r="D1402" s="413" t="s">
        <v>7218</v>
      </c>
      <c r="E1402" s="413" t="s">
        <v>7219</v>
      </c>
    </row>
    <row r="1403" spans="1:5">
      <c r="A1403" s="413">
        <v>541960744</v>
      </c>
      <c r="B1403" s="413">
        <v>732926827.651474</v>
      </c>
      <c r="D1403" s="413" t="s">
        <v>7220</v>
      </c>
      <c r="E1403" s="413" t="s">
        <v>7221</v>
      </c>
    </row>
    <row r="1404" spans="1:5">
      <c r="A1404" s="413">
        <v>542011108</v>
      </c>
      <c r="B1404" s="413">
        <v>732977191.65201294</v>
      </c>
      <c r="D1404" s="413" t="s">
        <v>7222</v>
      </c>
      <c r="E1404" s="413" t="s">
        <v>7223</v>
      </c>
    </row>
    <row r="1405" spans="1:5">
      <c r="A1405" s="413">
        <v>542122714</v>
      </c>
      <c r="B1405" s="413">
        <v>733088797.65323901</v>
      </c>
      <c r="D1405" s="413" t="s">
        <v>7224</v>
      </c>
      <c r="E1405" s="413" t="s">
        <v>7225</v>
      </c>
    </row>
    <row r="1406" spans="1:5">
      <c r="A1406" s="413">
        <v>542306368</v>
      </c>
      <c r="B1406" s="413">
        <v>733272451.65526402</v>
      </c>
      <c r="D1406" s="413" t="s">
        <v>7226</v>
      </c>
      <c r="E1406" s="413" t="s">
        <v>7227</v>
      </c>
    </row>
    <row r="1407" spans="1:5">
      <c r="A1407" s="413">
        <v>542360343</v>
      </c>
      <c r="B1407" s="413">
        <v>733326426.65584397</v>
      </c>
      <c r="D1407" s="413" t="s">
        <v>7228</v>
      </c>
      <c r="E1407" s="413" t="s">
        <v>7229</v>
      </c>
    </row>
    <row r="1408" spans="1:5">
      <c r="A1408" s="413">
        <v>542464729</v>
      </c>
      <c r="B1408" s="413">
        <v>733430812.65698195</v>
      </c>
      <c r="D1408" s="413" t="s">
        <v>7230</v>
      </c>
      <c r="E1408" s="413" t="s">
        <v>7231</v>
      </c>
    </row>
    <row r="1409" spans="1:5">
      <c r="A1409" s="413">
        <v>542583664</v>
      </c>
      <c r="B1409" s="413">
        <v>733549747.65826797</v>
      </c>
      <c r="D1409" s="413" t="s">
        <v>7232</v>
      </c>
      <c r="E1409" s="413" t="s">
        <v>7233</v>
      </c>
    </row>
    <row r="1410" spans="1:5">
      <c r="A1410" s="413">
        <v>542648385</v>
      </c>
      <c r="B1410" s="413">
        <v>733614468.65901399</v>
      </c>
      <c r="D1410" s="413" t="s">
        <v>7234</v>
      </c>
      <c r="E1410" s="413" t="s">
        <v>7235</v>
      </c>
    </row>
    <row r="1411" spans="1:5">
      <c r="A1411" s="413">
        <v>542723944</v>
      </c>
      <c r="B1411" s="413">
        <v>733690027.65981305</v>
      </c>
      <c r="D1411" s="413" t="s">
        <v>7236</v>
      </c>
      <c r="E1411" s="413" t="s">
        <v>7237</v>
      </c>
    </row>
    <row r="1412" spans="1:5">
      <c r="A1412" s="413">
        <v>542821191</v>
      </c>
      <c r="B1412" s="413">
        <v>733787274.66090798</v>
      </c>
      <c r="D1412" s="413" t="s">
        <v>7238</v>
      </c>
      <c r="E1412" s="413" t="s">
        <v>7239</v>
      </c>
    </row>
    <row r="1413" spans="1:5">
      <c r="A1413" s="413">
        <v>542893148</v>
      </c>
      <c r="B1413" s="413">
        <v>733859231.66167295</v>
      </c>
      <c r="D1413" s="413" t="s">
        <v>7240</v>
      </c>
      <c r="E1413" s="413" t="s">
        <v>7241</v>
      </c>
    </row>
    <row r="1414" spans="1:5">
      <c r="A1414" s="413">
        <v>542983160</v>
      </c>
      <c r="B1414" s="413">
        <v>733949243.66266596</v>
      </c>
      <c r="D1414" s="413" t="s">
        <v>7242</v>
      </c>
      <c r="E1414" s="413" t="s">
        <v>7243</v>
      </c>
    </row>
    <row r="1415" spans="1:5">
      <c r="A1415" s="413">
        <v>543069564</v>
      </c>
      <c r="B1415" s="413">
        <v>734035647.66363204</v>
      </c>
      <c r="D1415" s="413" t="s">
        <v>7244</v>
      </c>
      <c r="E1415" s="413" t="s">
        <v>7245</v>
      </c>
    </row>
    <row r="1416" spans="1:5">
      <c r="A1416" s="413">
        <v>543249583</v>
      </c>
      <c r="B1416" s="413">
        <v>734215666.66561496</v>
      </c>
      <c r="D1416" s="413" t="s">
        <v>7246</v>
      </c>
      <c r="E1416" s="413" t="s">
        <v>7247</v>
      </c>
    </row>
    <row r="1417" spans="1:5">
      <c r="A1417" s="413">
        <v>543357728</v>
      </c>
      <c r="B1417" s="413">
        <v>734323811.66676605</v>
      </c>
      <c r="D1417" s="413" t="s">
        <v>7248</v>
      </c>
      <c r="E1417" s="413" t="s">
        <v>7249</v>
      </c>
    </row>
    <row r="1418" spans="1:5">
      <c r="A1418" s="413">
        <v>543415184</v>
      </c>
      <c r="B1418" s="413">
        <v>734381267.66744101</v>
      </c>
      <c r="D1418" s="413" t="s">
        <v>7250</v>
      </c>
      <c r="E1418" s="413" t="s">
        <v>7251</v>
      </c>
    </row>
    <row r="1419" spans="1:5">
      <c r="A1419" s="413">
        <v>543512427</v>
      </c>
      <c r="B1419" s="413">
        <v>734478510.66851997</v>
      </c>
      <c r="D1419" s="413" t="s">
        <v>7252</v>
      </c>
      <c r="E1419" s="413" t="s">
        <v>7253</v>
      </c>
    </row>
    <row r="1420" spans="1:5">
      <c r="A1420" s="413">
        <v>543566397</v>
      </c>
      <c r="B1420" s="413">
        <v>734532480.669101</v>
      </c>
      <c r="D1420" s="413" t="s">
        <v>7254</v>
      </c>
      <c r="E1420" s="413" t="s">
        <v>7255</v>
      </c>
    </row>
    <row r="1421" spans="1:5">
      <c r="A1421" s="413">
        <v>543685230</v>
      </c>
      <c r="B1421" s="413">
        <v>734651313.67042696</v>
      </c>
      <c r="D1421" s="413" t="s">
        <v>7256</v>
      </c>
      <c r="E1421" s="413" t="s">
        <v>7257</v>
      </c>
    </row>
    <row r="1422" spans="1:5">
      <c r="A1422" s="413">
        <v>543764409</v>
      </c>
      <c r="B1422" s="413">
        <v>734730492.67130399</v>
      </c>
      <c r="D1422" s="413" t="s">
        <v>7258</v>
      </c>
      <c r="E1422" s="413" t="s">
        <v>7259</v>
      </c>
    </row>
    <row r="1423" spans="1:5">
      <c r="A1423" s="413">
        <v>543879739</v>
      </c>
      <c r="B1423" s="413">
        <v>734845822.67254698</v>
      </c>
      <c r="D1423" s="413" t="s">
        <v>7260</v>
      </c>
      <c r="E1423" s="413" t="s">
        <v>7261</v>
      </c>
    </row>
    <row r="1424" spans="1:5">
      <c r="A1424" s="413">
        <v>543937221</v>
      </c>
      <c r="B1424" s="413">
        <v>734903304.67319906</v>
      </c>
      <c r="D1424" s="413" t="s">
        <v>7262</v>
      </c>
      <c r="E1424" s="413" t="s">
        <v>7263</v>
      </c>
    </row>
    <row r="1425" spans="1:5">
      <c r="A1425" s="413">
        <v>544027256</v>
      </c>
      <c r="B1425" s="413">
        <v>734993339.67421401</v>
      </c>
      <c r="D1425" s="413" t="s">
        <v>7264</v>
      </c>
      <c r="E1425" s="413" t="s">
        <v>7265</v>
      </c>
    </row>
    <row r="1426" spans="1:5">
      <c r="A1426" s="413">
        <v>544106414</v>
      </c>
      <c r="B1426" s="413">
        <v>735072497.67506695</v>
      </c>
      <c r="D1426" s="413" t="s">
        <v>7266</v>
      </c>
      <c r="E1426" s="413" t="s">
        <v>7267</v>
      </c>
    </row>
    <row r="1427" spans="1:5">
      <c r="A1427" s="413">
        <v>544552963</v>
      </c>
      <c r="B1427" s="413">
        <v>735519046.68003297</v>
      </c>
      <c r="D1427" s="413" t="s">
        <v>7268</v>
      </c>
      <c r="E1427" s="413" t="s">
        <v>7269</v>
      </c>
    </row>
    <row r="1428" spans="1:5">
      <c r="A1428" s="413">
        <v>544646595</v>
      </c>
      <c r="B1428" s="413">
        <v>735612678.68110704</v>
      </c>
      <c r="D1428" s="413" t="s">
        <v>7270</v>
      </c>
      <c r="E1428" s="413" t="s">
        <v>7271</v>
      </c>
    </row>
    <row r="1429" spans="1:5">
      <c r="A1429" s="413">
        <v>545168616</v>
      </c>
      <c r="B1429" s="413">
        <v>736134699.68688202</v>
      </c>
      <c r="D1429" s="413" t="s">
        <v>7272</v>
      </c>
      <c r="E1429" s="413" t="s">
        <v>7273</v>
      </c>
    </row>
    <row r="1430" spans="1:5">
      <c r="A1430" s="413">
        <v>545251400</v>
      </c>
      <c r="B1430" s="413">
        <v>736217483.68776095</v>
      </c>
      <c r="D1430" s="413" t="s">
        <v>7274</v>
      </c>
      <c r="E1430" s="413" t="s">
        <v>7275</v>
      </c>
    </row>
    <row r="1431" spans="1:5">
      <c r="A1431" s="413">
        <v>545755418</v>
      </c>
      <c r="B1431" s="413">
        <v>736721501.69337702</v>
      </c>
      <c r="D1431" s="413" t="s">
        <v>7276</v>
      </c>
      <c r="E1431" s="413" t="s">
        <v>7277</v>
      </c>
    </row>
    <row r="1432" spans="1:5">
      <c r="A1432" s="413">
        <v>545856242</v>
      </c>
      <c r="B1432" s="413">
        <v>736822325.69456005</v>
      </c>
      <c r="D1432" s="413" t="s">
        <v>7278</v>
      </c>
      <c r="E1432" s="413" t="s">
        <v>7279</v>
      </c>
    </row>
    <row r="1433" spans="1:5">
      <c r="A1433" s="413">
        <v>546381862</v>
      </c>
      <c r="B1433" s="413">
        <v>737347945.70043004</v>
      </c>
      <c r="D1433" s="413" t="s">
        <v>7280</v>
      </c>
      <c r="E1433" s="413" t="s">
        <v>7281</v>
      </c>
    </row>
    <row r="1434" spans="1:5">
      <c r="A1434" s="413">
        <v>546464646</v>
      </c>
      <c r="B1434" s="413">
        <v>737430729.70135605</v>
      </c>
      <c r="D1434" s="413" t="s">
        <v>7282</v>
      </c>
      <c r="E1434" s="413" t="s">
        <v>7283</v>
      </c>
    </row>
    <row r="1435" spans="1:5">
      <c r="A1435" s="413">
        <v>546991438</v>
      </c>
      <c r="B1435" s="413">
        <v>737957521.70721495</v>
      </c>
      <c r="D1435" s="413" t="s">
        <v>7284</v>
      </c>
      <c r="E1435" s="413" t="s">
        <v>7285</v>
      </c>
    </row>
    <row r="1436" spans="1:5">
      <c r="A1436" s="413">
        <v>547069493</v>
      </c>
      <c r="B1436" s="413">
        <v>738035576.70808697</v>
      </c>
      <c r="D1436" s="413" t="s">
        <v>7286</v>
      </c>
      <c r="E1436" s="413" t="s">
        <v>7287</v>
      </c>
    </row>
    <row r="1437" spans="1:5">
      <c r="A1437" s="413">
        <v>547681405</v>
      </c>
      <c r="B1437" s="413">
        <v>738647488.71496499</v>
      </c>
      <c r="D1437" s="413" t="s">
        <v>7288</v>
      </c>
      <c r="E1437" s="413" t="s">
        <v>7289</v>
      </c>
    </row>
    <row r="1438" spans="1:5">
      <c r="A1438" s="413">
        <v>547724550</v>
      </c>
      <c r="B1438" s="413">
        <v>738690633.71547699</v>
      </c>
      <c r="D1438" s="413" t="s">
        <v>7290</v>
      </c>
      <c r="E1438" s="413" t="s">
        <v>7291</v>
      </c>
    </row>
    <row r="1439" spans="1:5">
      <c r="A1439" s="413">
        <v>547814562</v>
      </c>
      <c r="B1439" s="413">
        <v>738780645.71650505</v>
      </c>
      <c r="D1439" s="413" t="s">
        <v>7292</v>
      </c>
      <c r="E1439" s="413" t="s">
        <v>7293</v>
      </c>
    </row>
    <row r="1440" spans="1:5">
      <c r="A1440" s="413">
        <v>547875772</v>
      </c>
      <c r="B1440" s="413">
        <v>738841855.71718097</v>
      </c>
      <c r="D1440" s="413" t="s">
        <v>7294</v>
      </c>
      <c r="E1440" s="413" t="s">
        <v>7295</v>
      </c>
    </row>
    <row r="1441" spans="1:5">
      <c r="A1441" s="413">
        <v>548019779</v>
      </c>
      <c r="B1441" s="413">
        <v>738985862.71880805</v>
      </c>
      <c r="D1441" s="413" t="s">
        <v>7296</v>
      </c>
      <c r="E1441" s="413" t="s">
        <v>7297</v>
      </c>
    </row>
    <row r="1442" spans="1:5">
      <c r="A1442" s="413">
        <v>548098965</v>
      </c>
      <c r="B1442" s="413">
        <v>739065048.71970701</v>
      </c>
      <c r="D1442" s="413" t="s">
        <v>7298</v>
      </c>
      <c r="E1442" s="413" t="s">
        <v>7299</v>
      </c>
    </row>
    <row r="1443" spans="1:5">
      <c r="A1443" s="413">
        <v>548196214</v>
      </c>
      <c r="B1443" s="413">
        <v>739162297.72081101</v>
      </c>
      <c r="D1443" s="413" t="s">
        <v>7300</v>
      </c>
      <c r="E1443" s="413" t="s">
        <v>7301</v>
      </c>
    </row>
    <row r="1444" spans="1:5">
      <c r="A1444" s="413">
        <v>548271764</v>
      </c>
      <c r="B1444" s="413">
        <v>739237847.72163999</v>
      </c>
      <c r="D1444" s="413" t="s">
        <v>7302</v>
      </c>
      <c r="E1444" s="413" t="s">
        <v>7303</v>
      </c>
    </row>
    <row r="1445" spans="1:5">
      <c r="A1445" s="413">
        <v>548372596</v>
      </c>
      <c r="B1445" s="413">
        <v>739338679.72276103</v>
      </c>
      <c r="D1445" s="413" t="s">
        <v>7304</v>
      </c>
      <c r="E1445" s="413" t="s">
        <v>7305</v>
      </c>
    </row>
    <row r="1446" spans="1:5">
      <c r="A1446" s="413">
        <v>548433759</v>
      </c>
      <c r="B1446" s="413">
        <v>739399842.72346795</v>
      </c>
      <c r="D1446" s="413" t="s">
        <v>7306</v>
      </c>
      <c r="E1446" s="413" t="s">
        <v>7307</v>
      </c>
    </row>
    <row r="1447" spans="1:5">
      <c r="A1447" s="413">
        <v>548480581</v>
      </c>
      <c r="B1447" s="413">
        <v>739446664.72400498</v>
      </c>
      <c r="D1447" s="413" t="s">
        <v>7308</v>
      </c>
      <c r="E1447" s="413" t="s">
        <v>7309</v>
      </c>
    </row>
    <row r="1448" spans="1:5">
      <c r="A1448" s="413">
        <v>548632993</v>
      </c>
      <c r="B1448" s="413">
        <v>739599076.725685</v>
      </c>
      <c r="D1448" s="413" t="s">
        <v>7310</v>
      </c>
      <c r="E1448" s="413" t="s">
        <v>7311</v>
      </c>
    </row>
    <row r="1449" spans="1:5">
      <c r="A1449" s="413">
        <v>548671366</v>
      </c>
      <c r="B1449" s="413">
        <v>739637449.72615194</v>
      </c>
      <c r="D1449" s="413" t="s">
        <v>7312</v>
      </c>
      <c r="E1449" s="413" t="s">
        <v>7313</v>
      </c>
    </row>
    <row r="1450" spans="1:5">
      <c r="A1450" s="413">
        <v>548797402</v>
      </c>
      <c r="B1450" s="413">
        <v>739763485.72757995</v>
      </c>
      <c r="D1450" s="413" t="s">
        <v>7314</v>
      </c>
      <c r="E1450" s="413" t="s">
        <v>7315</v>
      </c>
    </row>
    <row r="1451" spans="1:5">
      <c r="A1451" s="413">
        <v>548891598</v>
      </c>
      <c r="B1451" s="413">
        <v>739857681.72860003</v>
      </c>
      <c r="D1451" s="413" t="s">
        <v>7316</v>
      </c>
      <c r="E1451" s="413" t="s">
        <v>7317</v>
      </c>
    </row>
    <row r="1452" spans="1:5">
      <c r="A1452" s="413">
        <v>548937774</v>
      </c>
      <c r="B1452" s="413">
        <v>739903857.72916305</v>
      </c>
      <c r="D1452" s="413" t="s">
        <v>7318</v>
      </c>
      <c r="E1452" s="413" t="s">
        <v>7319</v>
      </c>
    </row>
    <row r="1453" spans="1:5">
      <c r="A1453" s="413">
        <v>549042162</v>
      </c>
      <c r="B1453" s="413">
        <v>740008245.73033202</v>
      </c>
      <c r="D1453" s="413" t="s">
        <v>7320</v>
      </c>
      <c r="E1453" s="413" t="s">
        <v>7321</v>
      </c>
    </row>
    <row r="1454" spans="1:5">
      <c r="A1454" s="413">
        <v>549103364</v>
      </c>
      <c r="B1454" s="413">
        <v>740069447.73101199</v>
      </c>
      <c r="D1454" s="413" t="s">
        <v>7322</v>
      </c>
      <c r="E1454" s="413" t="s">
        <v>7323</v>
      </c>
    </row>
    <row r="1455" spans="1:5">
      <c r="A1455" s="413">
        <v>549236600</v>
      </c>
      <c r="B1455" s="413">
        <v>740202683.73249197</v>
      </c>
      <c r="D1455" s="413" t="s">
        <v>7324</v>
      </c>
      <c r="E1455" s="413" t="s">
        <v>7325</v>
      </c>
    </row>
    <row r="1456" spans="1:5">
      <c r="A1456" s="413">
        <v>549312183</v>
      </c>
      <c r="B1456" s="413">
        <v>740278266.733392</v>
      </c>
      <c r="D1456" s="413" t="s">
        <v>7326</v>
      </c>
      <c r="E1456" s="413" t="s">
        <v>7327</v>
      </c>
    </row>
    <row r="1457" spans="1:5">
      <c r="A1457" s="413">
        <v>549384159</v>
      </c>
      <c r="B1457" s="413">
        <v>740350242.73418105</v>
      </c>
      <c r="D1457" s="413" t="s">
        <v>7328</v>
      </c>
      <c r="E1457" s="413" t="s">
        <v>7329</v>
      </c>
    </row>
    <row r="1458" spans="1:5">
      <c r="A1458" s="413">
        <v>549488607</v>
      </c>
      <c r="B1458" s="413">
        <v>740454690.73538303</v>
      </c>
      <c r="D1458" s="413" t="s">
        <v>7330</v>
      </c>
      <c r="E1458" s="413" t="s">
        <v>7331</v>
      </c>
    </row>
    <row r="1459" spans="1:5">
      <c r="A1459" s="413">
        <v>549582180</v>
      </c>
      <c r="B1459" s="413">
        <v>740548263.73640394</v>
      </c>
      <c r="D1459" s="413" t="s">
        <v>7332</v>
      </c>
      <c r="E1459" s="413" t="s">
        <v>7333</v>
      </c>
    </row>
    <row r="1460" spans="1:5">
      <c r="A1460" s="413">
        <v>549657775</v>
      </c>
      <c r="B1460" s="413">
        <v>740623858.73727906</v>
      </c>
      <c r="D1460" s="413" t="s">
        <v>7334</v>
      </c>
      <c r="E1460" s="413" t="s">
        <v>7335</v>
      </c>
    </row>
    <row r="1461" spans="1:5">
      <c r="A1461" s="413">
        <v>549697475</v>
      </c>
      <c r="B1461" s="413">
        <v>740663558.73786402</v>
      </c>
      <c r="D1461" s="413" t="s">
        <v>7336</v>
      </c>
      <c r="E1461" s="413" t="s">
        <v>7337</v>
      </c>
    </row>
    <row r="1462" spans="1:5">
      <c r="A1462" s="413">
        <v>549830648</v>
      </c>
      <c r="B1462" s="413">
        <v>740796731.739411</v>
      </c>
      <c r="D1462" s="413" t="s">
        <v>7338</v>
      </c>
      <c r="E1462" s="413" t="s">
        <v>7339</v>
      </c>
    </row>
    <row r="1463" spans="1:5">
      <c r="A1463" s="413">
        <v>549929023</v>
      </c>
      <c r="B1463" s="413">
        <v>740895106.74049604</v>
      </c>
      <c r="D1463" s="413" t="s">
        <v>7340</v>
      </c>
      <c r="E1463" s="413" t="s">
        <v>7341</v>
      </c>
    </row>
    <row r="1464" spans="1:5">
      <c r="A1464" s="413">
        <v>549996153</v>
      </c>
      <c r="B1464" s="413">
        <v>740962236.74126303</v>
      </c>
      <c r="D1464" s="413" t="s">
        <v>7342</v>
      </c>
      <c r="E1464" s="413" t="s">
        <v>7343</v>
      </c>
    </row>
    <row r="1465" spans="1:5">
      <c r="A1465" s="413">
        <v>550082550</v>
      </c>
      <c r="B1465" s="413">
        <v>741048633.742239</v>
      </c>
      <c r="D1465" s="413" t="s">
        <v>7344</v>
      </c>
      <c r="E1465" s="413" t="s">
        <v>7345</v>
      </c>
    </row>
    <row r="1466" spans="1:5">
      <c r="A1466" s="413">
        <v>550143764</v>
      </c>
      <c r="B1466" s="413">
        <v>741109847.74294603</v>
      </c>
      <c r="D1466" s="413" t="s">
        <v>7346</v>
      </c>
      <c r="E1466" s="413" t="s">
        <v>7347</v>
      </c>
    </row>
    <row r="1467" spans="1:5">
      <c r="A1467" s="413">
        <v>550251748</v>
      </c>
      <c r="B1467" s="413">
        <v>741217831.74416399</v>
      </c>
      <c r="D1467" s="413" t="s">
        <v>7348</v>
      </c>
      <c r="E1467" s="413" t="s">
        <v>7349</v>
      </c>
    </row>
    <row r="1468" spans="1:5">
      <c r="A1468" s="413">
        <v>550359758</v>
      </c>
      <c r="B1468" s="413">
        <v>741325841.74536097</v>
      </c>
      <c r="D1468" s="413" t="s">
        <v>7350</v>
      </c>
      <c r="E1468" s="413" t="s">
        <v>7351</v>
      </c>
    </row>
    <row r="1469" spans="1:5">
      <c r="A1469" s="413">
        <v>550435382</v>
      </c>
      <c r="B1469" s="413">
        <v>741401465.74624705</v>
      </c>
      <c r="D1469" s="413" t="s">
        <v>7352</v>
      </c>
      <c r="E1469" s="413" t="s">
        <v>7353</v>
      </c>
    </row>
    <row r="1470" spans="1:5">
      <c r="A1470" s="413">
        <v>550510937</v>
      </c>
      <c r="B1470" s="413">
        <v>741477020.74709201</v>
      </c>
      <c r="D1470" s="413" t="s">
        <v>7354</v>
      </c>
      <c r="E1470" s="413" t="s">
        <v>7355</v>
      </c>
    </row>
    <row r="1471" spans="1:5">
      <c r="A1471" s="413">
        <v>550597338</v>
      </c>
      <c r="B1471" s="413">
        <v>741563421.74806094</v>
      </c>
      <c r="D1471" s="413" t="s">
        <v>7356</v>
      </c>
      <c r="E1471" s="413" t="s">
        <v>7357</v>
      </c>
    </row>
    <row r="1472" spans="1:5">
      <c r="A1472" s="413">
        <v>550705348</v>
      </c>
      <c r="B1472" s="413">
        <v>741671431.74927104</v>
      </c>
      <c r="D1472" s="413" t="s">
        <v>7358</v>
      </c>
      <c r="E1472" s="413" t="s">
        <v>7359</v>
      </c>
    </row>
    <row r="1473" spans="1:5">
      <c r="A1473" s="413">
        <v>550780967</v>
      </c>
      <c r="B1473" s="413">
        <v>741747050.75014901</v>
      </c>
      <c r="D1473" s="413" t="s">
        <v>7360</v>
      </c>
      <c r="E1473" s="413" t="s">
        <v>7361</v>
      </c>
    </row>
    <row r="1474" spans="1:5">
      <c r="A1474" s="413">
        <v>550856527</v>
      </c>
      <c r="B1474" s="413">
        <v>741822610.75098705</v>
      </c>
      <c r="D1474" s="413" t="s">
        <v>7362</v>
      </c>
      <c r="E1474" s="413" t="s">
        <v>7363</v>
      </c>
    </row>
    <row r="1475" spans="1:5">
      <c r="A1475" s="413">
        <v>551050932</v>
      </c>
      <c r="B1475" s="413">
        <v>742017015.75317204</v>
      </c>
      <c r="D1475" s="413" t="s">
        <v>7364</v>
      </c>
      <c r="E1475" s="413" t="s">
        <v>7365</v>
      </c>
    </row>
    <row r="1476" spans="1:5">
      <c r="A1476" s="413">
        <v>551137328</v>
      </c>
      <c r="B1476" s="413">
        <v>742103411.75414205</v>
      </c>
      <c r="D1476" s="413" t="s">
        <v>7366</v>
      </c>
      <c r="E1476" s="413" t="s">
        <v>7367</v>
      </c>
    </row>
    <row r="1477" spans="1:5">
      <c r="A1477" s="413">
        <v>551209342</v>
      </c>
      <c r="B1477" s="413">
        <v>742175425.75498903</v>
      </c>
      <c r="D1477" s="413" t="s">
        <v>7368</v>
      </c>
      <c r="E1477" s="413" t="s">
        <v>7369</v>
      </c>
    </row>
    <row r="1478" spans="1:5">
      <c r="A1478" s="413">
        <v>551310120</v>
      </c>
      <c r="B1478" s="413">
        <v>742276203.75609398</v>
      </c>
      <c r="D1478" s="413" t="s">
        <v>7370</v>
      </c>
      <c r="E1478" s="413" t="s">
        <v>7371</v>
      </c>
    </row>
    <row r="1479" spans="1:5">
      <c r="A1479" s="413">
        <v>551396519</v>
      </c>
      <c r="B1479" s="413">
        <v>742362602.75707603</v>
      </c>
      <c r="D1479" s="413" t="s">
        <v>7372</v>
      </c>
      <c r="E1479" s="413" t="s">
        <v>7373</v>
      </c>
    </row>
    <row r="1480" spans="1:5">
      <c r="A1480" s="413">
        <v>551482921</v>
      </c>
      <c r="B1480" s="413">
        <v>742449004.75805795</v>
      </c>
      <c r="D1480" s="413" t="s">
        <v>7374</v>
      </c>
      <c r="E1480" s="413" t="s">
        <v>7375</v>
      </c>
    </row>
    <row r="1481" spans="1:5">
      <c r="A1481" s="413">
        <v>551569314</v>
      </c>
      <c r="B1481" s="413">
        <v>742535397.75903296</v>
      </c>
      <c r="D1481" s="413" t="s">
        <v>7376</v>
      </c>
      <c r="E1481" s="413" t="s">
        <v>7377</v>
      </c>
    </row>
    <row r="1482" spans="1:5">
      <c r="A1482" s="413">
        <v>551655708</v>
      </c>
      <c r="B1482" s="413">
        <v>742621791.759992</v>
      </c>
      <c r="D1482" s="413" t="s">
        <v>7378</v>
      </c>
      <c r="E1482" s="413" t="s">
        <v>7379</v>
      </c>
    </row>
    <row r="1483" spans="1:5">
      <c r="A1483" s="413">
        <v>551742102</v>
      </c>
      <c r="B1483" s="413">
        <v>742708185.76097202</v>
      </c>
      <c r="D1483" s="413" t="s">
        <v>7380</v>
      </c>
      <c r="E1483" s="413" t="s">
        <v>7381</v>
      </c>
    </row>
    <row r="1484" spans="1:5">
      <c r="A1484" s="413">
        <v>551828502</v>
      </c>
      <c r="B1484" s="413">
        <v>742794585.76195502</v>
      </c>
      <c r="D1484" s="413" t="s">
        <v>7382</v>
      </c>
      <c r="E1484" s="413" t="s">
        <v>7383</v>
      </c>
    </row>
    <row r="1485" spans="1:5">
      <c r="A1485" s="413">
        <v>551914896</v>
      </c>
      <c r="B1485" s="413">
        <v>742880979.762923</v>
      </c>
      <c r="D1485" s="413" t="s">
        <v>7384</v>
      </c>
      <c r="E1485" s="413" t="s">
        <v>7385</v>
      </c>
    </row>
    <row r="1486" spans="1:5">
      <c r="A1486" s="413">
        <v>552001295</v>
      </c>
      <c r="B1486" s="413">
        <v>742967378.76389599</v>
      </c>
      <c r="D1486" s="413" t="s">
        <v>7386</v>
      </c>
      <c r="E1486" s="413" t="s">
        <v>7387</v>
      </c>
    </row>
    <row r="1487" spans="1:5">
      <c r="A1487" s="413">
        <v>552069695</v>
      </c>
      <c r="B1487" s="413">
        <v>743035778.76469004</v>
      </c>
      <c r="D1487" s="413" t="s">
        <v>7388</v>
      </c>
      <c r="E1487" s="413" t="s">
        <v>7389</v>
      </c>
    </row>
    <row r="1488" spans="1:5">
      <c r="A1488" s="413">
        <v>552174083</v>
      </c>
      <c r="B1488" s="413">
        <v>743140166.76584995</v>
      </c>
      <c r="D1488" s="413" t="s">
        <v>7390</v>
      </c>
      <c r="E1488" s="413" t="s">
        <v>7391</v>
      </c>
    </row>
    <row r="1489" spans="1:5">
      <c r="A1489" s="413">
        <v>552242483</v>
      </c>
      <c r="B1489" s="413">
        <v>743208566.76664305</v>
      </c>
      <c r="D1489" s="413" t="s">
        <v>7392</v>
      </c>
      <c r="E1489" s="413" t="s">
        <v>7393</v>
      </c>
    </row>
    <row r="1490" spans="1:5">
      <c r="A1490" s="413">
        <v>552346868</v>
      </c>
      <c r="B1490" s="413">
        <v>743312951.76779306</v>
      </c>
      <c r="D1490" s="413" t="s">
        <v>7394</v>
      </c>
      <c r="E1490" s="413" t="s">
        <v>7395</v>
      </c>
    </row>
    <row r="1491" spans="1:5">
      <c r="A1491" s="413">
        <v>552433263</v>
      </c>
      <c r="B1491" s="413">
        <v>743399346.76877797</v>
      </c>
      <c r="D1491" s="413" t="s">
        <v>7396</v>
      </c>
      <c r="E1491" s="413" t="s">
        <v>7397</v>
      </c>
    </row>
    <row r="1492" spans="1:5">
      <c r="A1492" s="413">
        <v>552519659</v>
      </c>
      <c r="B1492" s="413">
        <v>743485742.76973903</v>
      </c>
      <c r="D1492" s="413" t="s">
        <v>7398</v>
      </c>
      <c r="E1492" s="413" t="s">
        <v>7399</v>
      </c>
    </row>
    <row r="1493" spans="1:5">
      <c r="A1493" s="413">
        <v>552562827</v>
      </c>
      <c r="B1493" s="413">
        <v>743528910.77021694</v>
      </c>
      <c r="D1493" s="413" t="s">
        <v>7400</v>
      </c>
      <c r="E1493" s="413" t="s">
        <v>7401</v>
      </c>
    </row>
    <row r="1494" spans="1:5">
      <c r="A1494" s="413">
        <v>552692443</v>
      </c>
      <c r="B1494" s="413">
        <v>743658526.77170503</v>
      </c>
      <c r="D1494" s="413" t="s">
        <v>7402</v>
      </c>
      <c r="E1494" s="413" t="s">
        <v>7403</v>
      </c>
    </row>
    <row r="1495" spans="1:5">
      <c r="A1495" s="413">
        <v>552757243</v>
      </c>
      <c r="B1495" s="413">
        <v>743723326.77244794</v>
      </c>
      <c r="D1495" s="413" t="s">
        <v>7404</v>
      </c>
      <c r="E1495" s="413" t="s">
        <v>7405</v>
      </c>
    </row>
    <row r="1496" spans="1:5">
      <c r="A1496" s="413">
        <v>552865233</v>
      </c>
      <c r="B1496" s="413">
        <v>743831316.77363801</v>
      </c>
      <c r="D1496" s="413" t="s">
        <v>7406</v>
      </c>
      <c r="E1496" s="413" t="s">
        <v>7407</v>
      </c>
    </row>
    <row r="1497" spans="1:5">
      <c r="A1497" s="413">
        <v>552948027</v>
      </c>
      <c r="B1497" s="413">
        <v>743914110.77458</v>
      </c>
      <c r="D1497" s="413" t="s">
        <v>7408</v>
      </c>
      <c r="E1497" s="413" t="s">
        <v>7409</v>
      </c>
    </row>
    <row r="1498" spans="1:5">
      <c r="A1498" s="413">
        <v>553016407</v>
      </c>
      <c r="B1498" s="413">
        <v>743982490.77535498</v>
      </c>
      <c r="D1498" s="413" t="s">
        <v>7410</v>
      </c>
      <c r="E1498" s="413" t="s">
        <v>7411</v>
      </c>
    </row>
    <row r="1499" spans="1:5">
      <c r="A1499" s="413">
        <v>553124414</v>
      </c>
      <c r="B1499" s="413">
        <v>744090497.77657402</v>
      </c>
      <c r="D1499" s="413" t="s">
        <v>7412</v>
      </c>
      <c r="E1499" s="413" t="s">
        <v>7413</v>
      </c>
    </row>
    <row r="1500" spans="1:5">
      <c r="A1500" s="413">
        <v>553160409</v>
      </c>
      <c r="B1500" s="413">
        <v>744126492.77697694</v>
      </c>
      <c r="D1500" s="413" t="s">
        <v>7414</v>
      </c>
      <c r="E1500" s="413" t="s">
        <v>7415</v>
      </c>
    </row>
    <row r="1501" spans="1:5">
      <c r="A1501" s="413">
        <v>553221620</v>
      </c>
      <c r="B1501" s="413">
        <v>744187703.77766895</v>
      </c>
      <c r="D1501" s="413" t="s">
        <v>7416</v>
      </c>
      <c r="E1501" s="413" t="s">
        <v>7417</v>
      </c>
    </row>
    <row r="1502" spans="1:5">
      <c r="A1502" s="413">
        <v>553333197</v>
      </c>
      <c r="B1502" s="413">
        <v>744299280.778934</v>
      </c>
      <c r="D1502" s="413" t="s">
        <v>7418</v>
      </c>
      <c r="E1502" s="413" t="s">
        <v>7419</v>
      </c>
    </row>
    <row r="1503" spans="1:5">
      <c r="A1503" s="413">
        <v>553448387</v>
      </c>
      <c r="B1503" s="413">
        <v>744414470.78022397</v>
      </c>
      <c r="D1503" s="413" t="s">
        <v>7420</v>
      </c>
      <c r="E1503" s="413" t="s">
        <v>7421</v>
      </c>
    </row>
    <row r="1504" spans="1:5">
      <c r="A1504" s="413">
        <v>554074770</v>
      </c>
      <c r="B1504" s="413">
        <v>745040853.78725898</v>
      </c>
      <c r="D1504" s="413" t="s">
        <v>7422</v>
      </c>
      <c r="E1504" s="413" t="s">
        <v>7423</v>
      </c>
    </row>
    <row r="1505" spans="1:5">
      <c r="A1505" s="413">
        <v>554082001</v>
      </c>
      <c r="B1505" s="413">
        <v>745048084.78735602</v>
      </c>
      <c r="D1505" s="413" t="s">
        <v>7424</v>
      </c>
      <c r="E1505" s="413" t="s">
        <v>7425</v>
      </c>
    </row>
    <row r="1506" spans="1:5">
      <c r="A1506" s="413">
        <v>554679546</v>
      </c>
      <c r="B1506" s="413">
        <v>745645629.79404199</v>
      </c>
      <c r="D1506" s="413" t="s">
        <v>7426</v>
      </c>
      <c r="E1506" s="413" t="s">
        <v>7427</v>
      </c>
    </row>
    <row r="1507" spans="1:5">
      <c r="A1507" s="413">
        <v>554711963</v>
      </c>
      <c r="B1507" s="413">
        <v>745678046.79441905</v>
      </c>
      <c r="D1507" s="413" t="s">
        <v>7428</v>
      </c>
      <c r="E1507" s="413" t="s">
        <v>7429</v>
      </c>
    </row>
    <row r="1508" spans="1:5">
      <c r="A1508" s="413">
        <v>555197878</v>
      </c>
      <c r="B1508" s="413">
        <v>746163961.79986298</v>
      </c>
      <c r="D1508" s="413" t="s">
        <v>7430</v>
      </c>
      <c r="E1508" s="413" t="s">
        <v>7431</v>
      </c>
    </row>
    <row r="1509" spans="1:5">
      <c r="A1509" s="413">
        <v>555284257</v>
      </c>
      <c r="B1509" s="413">
        <v>746250340.80083096</v>
      </c>
      <c r="D1509" s="413" t="s">
        <v>7432</v>
      </c>
      <c r="E1509" s="413" t="s">
        <v>7433</v>
      </c>
    </row>
    <row r="1510" spans="1:5">
      <c r="A1510" s="413">
        <v>555287885</v>
      </c>
      <c r="B1510" s="413">
        <v>746253968.80088305</v>
      </c>
      <c r="D1510" s="413" t="s">
        <v>7434</v>
      </c>
      <c r="E1510" s="413" t="s">
        <v>7435</v>
      </c>
    </row>
    <row r="1511" spans="1:5">
      <c r="A1511" s="413">
        <v>555889053</v>
      </c>
      <c r="B1511" s="413">
        <v>746855136.80764902</v>
      </c>
      <c r="D1511" s="413" t="s">
        <v>7436</v>
      </c>
      <c r="E1511" s="413" t="s">
        <v>7437</v>
      </c>
    </row>
    <row r="1512" spans="1:5">
      <c r="A1512" s="413">
        <v>555917881</v>
      </c>
      <c r="B1512" s="413">
        <v>746883964.80793595</v>
      </c>
      <c r="D1512" s="413" t="s">
        <v>7438</v>
      </c>
      <c r="E1512" s="413" t="s">
        <v>7439</v>
      </c>
    </row>
    <row r="1513" spans="1:5">
      <c r="A1513" s="413">
        <v>556493758</v>
      </c>
      <c r="B1513" s="413">
        <v>747459841.81432295</v>
      </c>
      <c r="D1513" s="413" t="s">
        <v>7440</v>
      </c>
      <c r="E1513" s="413" t="s">
        <v>7441</v>
      </c>
    </row>
    <row r="1514" spans="1:5">
      <c r="A1514" s="413">
        <v>557094878</v>
      </c>
      <c r="B1514" s="413">
        <v>748060961.82103503</v>
      </c>
      <c r="D1514" s="413" t="s">
        <v>7442</v>
      </c>
      <c r="E1514" s="413" t="s">
        <v>7443</v>
      </c>
    </row>
    <row r="1515" spans="1:5">
      <c r="A1515" s="413">
        <v>557123665</v>
      </c>
      <c r="B1515" s="413">
        <v>748089748.82137299</v>
      </c>
      <c r="D1515" s="413" t="s">
        <v>7444</v>
      </c>
      <c r="E1515" s="413" t="s">
        <v>7445</v>
      </c>
    </row>
    <row r="1516" spans="1:5">
      <c r="A1516" s="413">
        <v>557357510</v>
      </c>
      <c r="B1516" s="413">
        <v>748323593.82394397</v>
      </c>
      <c r="D1516" s="413" t="s">
        <v>7446</v>
      </c>
      <c r="E1516" s="413" t="s">
        <v>7447</v>
      </c>
    </row>
    <row r="1517" spans="1:5">
      <c r="A1517" s="413">
        <v>557440431</v>
      </c>
      <c r="B1517" s="413">
        <v>748406514.82490003</v>
      </c>
      <c r="D1517" s="413" t="s">
        <v>7448</v>
      </c>
      <c r="E1517" s="413" t="s">
        <v>7449</v>
      </c>
    </row>
    <row r="1518" spans="1:5">
      <c r="A1518" s="413">
        <v>558102633</v>
      </c>
      <c r="B1518" s="413">
        <v>749068716.83224106</v>
      </c>
      <c r="D1518" s="413" t="s">
        <v>7450</v>
      </c>
      <c r="E1518" s="413" t="s">
        <v>7451</v>
      </c>
    </row>
    <row r="1519" spans="1:5">
      <c r="A1519" s="413">
        <v>558189047</v>
      </c>
      <c r="B1519" s="413">
        <v>749155130.83320999</v>
      </c>
      <c r="D1519" s="413" t="s">
        <v>7452</v>
      </c>
      <c r="E1519" s="413" t="s">
        <v>7453</v>
      </c>
    </row>
    <row r="1520" spans="1:5">
      <c r="A1520" s="413">
        <v>558307808</v>
      </c>
      <c r="B1520" s="413">
        <v>749273891.83446896</v>
      </c>
      <c r="D1520" s="413" t="s">
        <v>7454</v>
      </c>
      <c r="E1520" s="413" t="s">
        <v>7455</v>
      </c>
    </row>
    <row r="1521" spans="1:5">
      <c r="A1521" s="413">
        <v>558394194</v>
      </c>
      <c r="B1521" s="413">
        <v>749360277.83544195</v>
      </c>
      <c r="D1521" s="413" t="s">
        <v>7456</v>
      </c>
      <c r="E1521" s="413" t="s">
        <v>7457</v>
      </c>
    </row>
    <row r="1522" spans="1:5">
      <c r="A1522" s="413">
        <v>558477012</v>
      </c>
      <c r="B1522" s="413">
        <v>749443095.83637297</v>
      </c>
      <c r="D1522" s="413" t="s">
        <v>7458</v>
      </c>
      <c r="E1522" s="413" t="s">
        <v>7459</v>
      </c>
    </row>
    <row r="1523" spans="1:5">
      <c r="A1523" s="413">
        <v>558559773</v>
      </c>
      <c r="B1523" s="413">
        <v>749525856.83730304</v>
      </c>
      <c r="D1523" s="413" t="s">
        <v>7460</v>
      </c>
      <c r="E1523" s="413" t="s">
        <v>7461</v>
      </c>
    </row>
    <row r="1524" spans="1:5">
      <c r="A1524" s="413">
        <v>558646444</v>
      </c>
      <c r="B1524" s="413">
        <v>749612527.83825397</v>
      </c>
      <c r="D1524" s="413" t="s">
        <v>7462</v>
      </c>
      <c r="E1524" s="413" t="s">
        <v>7463</v>
      </c>
    </row>
    <row r="1525" spans="1:5">
      <c r="A1525" s="413">
        <v>558739744</v>
      </c>
      <c r="B1525" s="413">
        <v>749705827.839252</v>
      </c>
      <c r="D1525" s="413" t="s">
        <v>7464</v>
      </c>
      <c r="E1525" s="413" t="s">
        <v>7465</v>
      </c>
    </row>
    <row r="1526" spans="1:5">
      <c r="A1526" s="413">
        <v>558782910</v>
      </c>
      <c r="B1526" s="413">
        <v>749748993.83975804</v>
      </c>
      <c r="D1526" s="413" t="s">
        <v>7466</v>
      </c>
      <c r="E1526" s="413" t="s">
        <v>7467</v>
      </c>
    </row>
    <row r="1527" spans="1:5">
      <c r="A1527" s="413">
        <v>558905327</v>
      </c>
      <c r="B1527" s="413">
        <v>749871410.841097</v>
      </c>
      <c r="D1527" s="413" t="s">
        <v>7468</v>
      </c>
      <c r="E1527" s="413" t="s">
        <v>7469</v>
      </c>
    </row>
    <row r="1528" spans="1:5">
      <c r="A1528" s="413">
        <v>558991886</v>
      </c>
      <c r="B1528" s="413">
        <v>749957969.84205699</v>
      </c>
      <c r="D1528" s="413" t="s">
        <v>7470</v>
      </c>
      <c r="E1528" s="413" t="s">
        <v>7471</v>
      </c>
    </row>
    <row r="1529" spans="1:5">
      <c r="A1529" s="413">
        <v>559078122</v>
      </c>
      <c r="B1529" s="413">
        <v>750044205.84301102</v>
      </c>
      <c r="D1529" s="413" t="s">
        <v>7472</v>
      </c>
      <c r="E1529" s="413" t="s">
        <v>7473</v>
      </c>
    </row>
    <row r="1530" spans="1:5">
      <c r="A1530" s="413">
        <v>559171673</v>
      </c>
      <c r="B1530" s="413">
        <v>750137756.84400797</v>
      </c>
      <c r="D1530" s="413" t="s">
        <v>7474</v>
      </c>
      <c r="E1530" s="413" t="s">
        <v>7475</v>
      </c>
    </row>
    <row r="1531" spans="1:5">
      <c r="A1531" s="413">
        <v>559250898</v>
      </c>
      <c r="B1531" s="413">
        <v>750216981.84489405</v>
      </c>
      <c r="D1531" s="413" t="s">
        <v>7476</v>
      </c>
      <c r="E1531" s="413" t="s">
        <v>7477</v>
      </c>
    </row>
    <row r="1532" spans="1:5">
      <c r="A1532" s="413">
        <v>559308476</v>
      </c>
      <c r="B1532" s="413">
        <v>750274559.84554505</v>
      </c>
      <c r="D1532" s="413" t="s">
        <v>7478</v>
      </c>
      <c r="E1532" s="413" t="s">
        <v>7479</v>
      </c>
    </row>
    <row r="1533" spans="1:5">
      <c r="A1533" s="413">
        <v>559420047</v>
      </c>
      <c r="B1533" s="413">
        <v>750386130.84675598</v>
      </c>
      <c r="D1533" s="413" t="s">
        <v>7480</v>
      </c>
      <c r="E1533" s="413" t="s">
        <v>7481</v>
      </c>
    </row>
    <row r="1534" spans="1:5">
      <c r="A1534" s="413">
        <v>559510061</v>
      </c>
      <c r="B1534" s="413">
        <v>750476144.84774196</v>
      </c>
      <c r="D1534" s="413" t="s">
        <v>7482</v>
      </c>
      <c r="E1534" s="413" t="s">
        <v>7483</v>
      </c>
    </row>
    <row r="1535" spans="1:5">
      <c r="A1535" s="413">
        <v>559592852</v>
      </c>
      <c r="B1535" s="413">
        <v>750558935.84864497</v>
      </c>
      <c r="D1535" s="413" t="s">
        <v>7484</v>
      </c>
      <c r="E1535" s="413" t="s">
        <v>7485</v>
      </c>
    </row>
    <row r="1536" spans="1:5">
      <c r="A1536" s="413">
        <v>559668398</v>
      </c>
      <c r="B1536" s="413">
        <v>750634481.84945095</v>
      </c>
      <c r="D1536" s="413" t="s">
        <v>7486</v>
      </c>
      <c r="E1536" s="413" t="s">
        <v>7487</v>
      </c>
    </row>
    <row r="1537" spans="1:5">
      <c r="A1537" s="413">
        <v>559736795</v>
      </c>
      <c r="B1537" s="413">
        <v>750702878.85022795</v>
      </c>
      <c r="D1537" s="413" t="s">
        <v>7488</v>
      </c>
      <c r="E1537" s="413" t="s">
        <v>7489</v>
      </c>
    </row>
    <row r="1538" spans="1:5">
      <c r="A1538" s="413">
        <v>559823187</v>
      </c>
      <c r="B1538" s="413">
        <v>750789270.85117698</v>
      </c>
      <c r="D1538" s="413" t="s">
        <v>7490</v>
      </c>
      <c r="E1538" s="413" t="s">
        <v>7491</v>
      </c>
    </row>
    <row r="1539" spans="1:5">
      <c r="A1539" s="413">
        <v>559913194</v>
      </c>
      <c r="B1539" s="413">
        <v>750879277.85216796</v>
      </c>
      <c r="D1539" s="413" t="s">
        <v>7492</v>
      </c>
      <c r="E1539" s="413" t="s">
        <v>7493</v>
      </c>
    </row>
    <row r="1540" spans="1:5">
      <c r="A1540" s="413">
        <v>559995952</v>
      </c>
      <c r="B1540" s="413">
        <v>750962035.85305905</v>
      </c>
      <c r="D1540" s="413" t="s">
        <v>7494</v>
      </c>
      <c r="E1540" s="413" t="s">
        <v>7495</v>
      </c>
    </row>
    <row r="1541" spans="1:5">
      <c r="A1541" s="413">
        <v>560111150</v>
      </c>
      <c r="B1541" s="413">
        <v>751077233.85430706</v>
      </c>
      <c r="D1541" s="413" t="s">
        <v>7496</v>
      </c>
      <c r="E1541" s="413" t="s">
        <v>7497</v>
      </c>
    </row>
    <row r="1542" spans="1:5">
      <c r="A1542" s="413">
        <v>560197531</v>
      </c>
      <c r="B1542" s="413">
        <v>751163614.85526097</v>
      </c>
      <c r="D1542" s="413" t="s">
        <v>7498</v>
      </c>
      <c r="E1542" s="413" t="s">
        <v>7499</v>
      </c>
    </row>
    <row r="1543" spans="1:5">
      <c r="A1543" s="413">
        <v>560280329</v>
      </c>
      <c r="B1543" s="413">
        <v>751246412.856161</v>
      </c>
      <c r="D1543" s="413" t="s">
        <v>7500</v>
      </c>
      <c r="E1543" s="413" t="s">
        <v>7501</v>
      </c>
    </row>
    <row r="1544" spans="1:5">
      <c r="A1544" s="413">
        <v>560370334</v>
      </c>
      <c r="B1544" s="413">
        <v>751336417.85714197</v>
      </c>
      <c r="D1544" s="413" t="s">
        <v>7502</v>
      </c>
      <c r="E1544" s="413" t="s">
        <v>7503</v>
      </c>
    </row>
    <row r="1545" spans="1:5">
      <c r="A1545" s="413">
        <v>560420672</v>
      </c>
      <c r="B1545" s="413">
        <v>751386755.85770202</v>
      </c>
      <c r="D1545" s="413" t="s">
        <v>7504</v>
      </c>
      <c r="E1545" s="413" t="s">
        <v>7505</v>
      </c>
    </row>
    <row r="1546" spans="1:5">
      <c r="A1546" s="413">
        <v>560553871</v>
      </c>
      <c r="B1546" s="413">
        <v>751519954.85911703</v>
      </c>
      <c r="D1546" s="413" t="s">
        <v>7506</v>
      </c>
      <c r="E1546" s="413" t="s">
        <v>7507</v>
      </c>
    </row>
    <row r="1547" spans="1:5">
      <c r="A1547" s="413">
        <v>560589843</v>
      </c>
      <c r="B1547" s="413">
        <v>751555926.85954201</v>
      </c>
      <c r="D1547" s="413" t="s">
        <v>7508</v>
      </c>
      <c r="E1547" s="413" t="s">
        <v>7509</v>
      </c>
    </row>
    <row r="1548" spans="1:5">
      <c r="A1548" s="413">
        <v>560676231</v>
      </c>
      <c r="B1548" s="413">
        <v>751642314.86048305</v>
      </c>
      <c r="D1548" s="413" t="s">
        <v>7510</v>
      </c>
      <c r="E1548" s="413" t="s">
        <v>7511</v>
      </c>
    </row>
    <row r="1549" spans="1:5">
      <c r="A1549" s="413">
        <v>560802282</v>
      </c>
      <c r="B1549" s="413">
        <v>751768365.86184001</v>
      </c>
      <c r="D1549" s="413" t="s">
        <v>7512</v>
      </c>
      <c r="E1549" s="413" t="s">
        <v>7513</v>
      </c>
    </row>
    <row r="1550" spans="1:5">
      <c r="A1550" s="413">
        <v>560888655</v>
      </c>
      <c r="B1550" s="413">
        <v>751854738.862795</v>
      </c>
      <c r="D1550" s="413" t="s">
        <v>7514</v>
      </c>
      <c r="E1550" s="413" t="s">
        <v>7515</v>
      </c>
    </row>
    <row r="1551" spans="1:5">
      <c r="A1551" s="413">
        <v>560946239</v>
      </c>
      <c r="B1551" s="413">
        <v>751912322.86342597</v>
      </c>
      <c r="D1551" s="413" t="s">
        <v>7516</v>
      </c>
      <c r="E1551" s="413" t="s">
        <v>7517</v>
      </c>
    </row>
    <row r="1552" spans="1:5">
      <c r="A1552" s="413">
        <v>561072196</v>
      </c>
      <c r="B1552" s="413">
        <v>752038279.86476696</v>
      </c>
      <c r="D1552" s="413" t="s">
        <v>7518</v>
      </c>
      <c r="E1552" s="413" t="s">
        <v>7519</v>
      </c>
    </row>
    <row r="1553" spans="1:5">
      <c r="A1553" s="413">
        <v>561144211</v>
      </c>
      <c r="B1553" s="413">
        <v>752110294.86555898</v>
      </c>
      <c r="D1553" s="413" t="s">
        <v>7520</v>
      </c>
      <c r="E1553" s="413" t="s">
        <v>7521</v>
      </c>
    </row>
    <row r="1554" spans="1:5">
      <c r="A1554" s="413">
        <v>561230606</v>
      </c>
      <c r="B1554" s="413">
        <v>752196689.86650395</v>
      </c>
      <c r="D1554" s="413" t="s">
        <v>7522</v>
      </c>
      <c r="E1554" s="413" t="s">
        <v>7523</v>
      </c>
    </row>
    <row r="1555" spans="1:5">
      <c r="A1555" s="413">
        <v>561316997</v>
      </c>
      <c r="B1555" s="413">
        <v>752283080.86742997</v>
      </c>
      <c r="D1555" s="413" t="s">
        <v>7524</v>
      </c>
      <c r="E1555" s="413" t="s">
        <v>7525</v>
      </c>
    </row>
    <row r="1556" spans="1:5">
      <c r="A1556" s="413">
        <v>561403388</v>
      </c>
      <c r="B1556" s="413">
        <v>752369471.86837602</v>
      </c>
      <c r="D1556" s="413" t="s">
        <v>7526</v>
      </c>
      <c r="E1556" s="413" t="s">
        <v>7527</v>
      </c>
    </row>
    <row r="1557" spans="1:5">
      <c r="A1557" s="413">
        <v>561489779</v>
      </c>
      <c r="B1557" s="413">
        <v>752455862.86930597</v>
      </c>
      <c r="D1557" s="413" t="s">
        <v>7528</v>
      </c>
      <c r="E1557" s="413" t="s">
        <v>7529</v>
      </c>
    </row>
    <row r="1558" spans="1:5">
      <c r="A1558" s="413">
        <v>561591438</v>
      </c>
      <c r="B1558" s="413">
        <v>752557521.87039304</v>
      </c>
      <c r="D1558" s="413" t="s">
        <v>7530</v>
      </c>
      <c r="E1558" s="413" t="s">
        <v>7531</v>
      </c>
    </row>
    <row r="1559" spans="1:5">
      <c r="A1559" s="413">
        <v>561676917</v>
      </c>
      <c r="B1559" s="413">
        <v>752643000.87132096</v>
      </c>
      <c r="D1559" s="413" t="s">
        <v>7532</v>
      </c>
      <c r="E1559" s="413" t="s">
        <v>7533</v>
      </c>
    </row>
    <row r="1560" spans="1:5">
      <c r="A1560" s="413">
        <v>561720126</v>
      </c>
      <c r="B1560" s="413">
        <v>752686209.87179995</v>
      </c>
      <c r="D1560" s="413" t="s">
        <v>7534</v>
      </c>
      <c r="E1560" s="413" t="s">
        <v>7535</v>
      </c>
    </row>
    <row r="1561" spans="1:5">
      <c r="A1561" s="413">
        <v>561806510</v>
      </c>
      <c r="B1561" s="413">
        <v>752772593.87273896</v>
      </c>
      <c r="D1561" s="413" t="s">
        <v>7536</v>
      </c>
      <c r="E1561" s="413" t="s">
        <v>7537</v>
      </c>
    </row>
    <row r="1562" spans="1:5">
      <c r="A1562" s="413">
        <v>561936706</v>
      </c>
      <c r="B1562" s="413">
        <v>752902789.87413394</v>
      </c>
      <c r="D1562" s="413" t="s">
        <v>7538</v>
      </c>
      <c r="E1562" s="413" t="s">
        <v>7539</v>
      </c>
    </row>
    <row r="1563" spans="1:5">
      <c r="A1563" s="413">
        <v>562008115</v>
      </c>
      <c r="B1563" s="413">
        <v>752974198.87492299</v>
      </c>
      <c r="D1563" s="413" t="s">
        <v>7540</v>
      </c>
      <c r="E1563" s="413" t="s">
        <v>7541</v>
      </c>
    </row>
    <row r="1564" spans="1:5">
      <c r="A1564" s="413">
        <v>562108864</v>
      </c>
      <c r="B1564" s="413">
        <v>753074947.87598598</v>
      </c>
      <c r="D1564" s="413" t="s">
        <v>7542</v>
      </c>
      <c r="E1564" s="413" t="s">
        <v>7543</v>
      </c>
    </row>
    <row r="1565" spans="1:5">
      <c r="A1565" s="413">
        <v>562180883</v>
      </c>
      <c r="B1565" s="413">
        <v>753146966.876773</v>
      </c>
      <c r="D1565" s="413" t="s">
        <v>7544</v>
      </c>
      <c r="E1565" s="413" t="s">
        <v>7545</v>
      </c>
    </row>
    <row r="1566" spans="1:5">
      <c r="A1566" s="413">
        <v>562267270</v>
      </c>
      <c r="B1566" s="413">
        <v>753233353.87770796</v>
      </c>
      <c r="D1566" s="413" t="s">
        <v>7546</v>
      </c>
      <c r="E1566" s="413" t="s">
        <v>7547</v>
      </c>
    </row>
    <row r="1567" spans="1:5">
      <c r="A1567" s="413">
        <v>562350040</v>
      </c>
      <c r="B1567" s="413">
        <v>753316123.87860298</v>
      </c>
      <c r="D1567" s="413" t="s">
        <v>7548</v>
      </c>
      <c r="E1567" s="413" t="s">
        <v>7549</v>
      </c>
    </row>
    <row r="1568" spans="1:5">
      <c r="A1568" s="413">
        <v>562386004</v>
      </c>
      <c r="B1568" s="413">
        <v>753352087.87895894</v>
      </c>
      <c r="D1568" s="413" t="s">
        <v>7550</v>
      </c>
      <c r="E1568" s="413" t="s">
        <v>7551</v>
      </c>
    </row>
    <row r="1569" spans="1:5">
      <c r="A1569" s="413">
        <v>562540808</v>
      </c>
      <c r="B1569" s="413">
        <v>753506891.88063097</v>
      </c>
      <c r="D1569" s="413" t="s">
        <v>7552</v>
      </c>
      <c r="E1569" s="413" t="s">
        <v>7553</v>
      </c>
    </row>
    <row r="1570" spans="1:5">
      <c r="A1570" s="413">
        <v>562627199</v>
      </c>
      <c r="B1570" s="413">
        <v>753593282.88156199</v>
      </c>
      <c r="D1570" s="413" t="s">
        <v>7554</v>
      </c>
      <c r="E1570" s="413" t="s">
        <v>7555</v>
      </c>
    </row>
    <row r="1571" spans="1:5">
      <c r="A1571" s="413">
        <v>562695606</v>
      </c>
      <c r="B1571" s="413">
        <v>753661689.88232601</v>
      </c>
      <c r="D1571" s="413" t="s">
        <v>7556</v>
      </c>
      <c r="E1571" s="413" t="s">
        <v>7557</v>
      </c>
    </row>
    <row r="1572" spans="1:5">
      <c r="A1572" s="413">
        <v>562799976</v>
      </c>
      <c r="B1572" s="413">
        <v>753766059.88344097</v>
      </c>
      <c r="D1572" s="413" t="s">
        <v>7558</v>
      </c>
      <c r="E1572" s="413" t="s">
        <v>7559</v>
      </c>
    </row>
    <row r="1573" spans="1:5">
      <c r="A1573" s="413">
        <v>562886368</v>
      </c>
      <c r="B1573" s="413">
        <v>753852451.88436997</v>
      </c>
      <c r="D1573" s="413" t="s">
        <v>7560</v>
      </c>
      <c r="E1573" s="413" t="s">
        <v>7561</v>
      </c>
    </row>
    <row r="1574" spans="1:5">
      <c r="A1574" s="413">
        <v>562943954</v>
      </c>
      <c r="B1574" s="413">
        <v>753910037.884969</v>
      </c>
      <c r="D1574" s="413" t="s">
        <v>7562</v>
      </c>
      <c r="E1574" s="413" t="s">
        <v>7563</v>
      </c>
    </row>
    <row r="1575" spans="1:5">
      <c r="A1575" s="413">
        <v>563041185</v>
      </c>
      <c r="B1575" s="413">
        <v>754007268.88602996</v>
      </c>
      <c r="D1575" s="413" t="s">
        <v>7564</v>
      </c>
      <c r="E1575" s="413" t="s">
        <v>7565</v>
      </c>
    </row>
    <row r="1576" spans="1:5">
      <c r="A1576" s="413">
        <v>563145531</v>
      </c>
      <c r="B1576" s="413">
        <v>754111614.88714802</v>
      </c>
      <c r="D1576" s="413" t="s">
        <v>7566</v>
      </c>
      <c r="E1576" s="413" t="s">
        <v>7567</v>
      </c>
    </row>
    <row r="1577" spans="1:5">
      <c r="A1577" s="413">
        <v>563224721</v>
      </c>
      <c r="B1577" s="413">
        <v>754190804.88798797</v>
      </c>
      <c r="D1577" s="413" t="s">
        <v>7568</v>
      </c>
      <c r="E1577" s="413" t="s">
        <v>7569</v>
      </c>
    </row>
    <row r="1578" spans="1:5">
      <c r="A1578" s="413">
        <v>563318315</v>
      </c>
      <c r="B1578" s="413">
        <v>754284398.88899505</v>
      </c>
      <c r="D1578" s="413" t="s">
        <v>7570</v>
      </c>
      <c r="E1578" s="413" t="s">
        <v>7571</v>
      </c>
    </row>
    <row r="1579" spans="1:5">
      <c r="A1579" s="413">
        <v>563404699</v>
      </c>
      <c r="B1579" s="413">
        <v>754370782.88993299</v>
      </c>
      <c r="D1579" s="413" t="s">
        <v>7572</v>
      </c>
      <c r="E1579" s="413" t="s">
        <v>7573</v>
      </c>
    </row>
    <row r="1580" spans="1:5">
      <c r="A1580" s="413">
        <v>563433482</v>
      </c>
      <c r="B1580" s="413">
        <v>754399565.89024794</v>
      </c>
      <c r="D1580" s="413" t="s">
        <v>7574</v>
      </c>
      <c r="E1580" s="413" t="s">
        <v>7575</v>
      </c>
    </row>
    <row r="1581" spans="1:5">
      <c r="A1581" s="413">
        <v>563577481</v>
      </c>
      <c r="B1581" s="413">
        <v>754543564.89178896</v>
      </c>
      <c r="D1581" s="413" t="s">
        <v>7576</v>
      </c>
      <c r="E1581" s="413" t="s">
        <v>7577</v>
      </c>
    </row>
    <row r="1582" spans="1:5">
      <c r="A1582" s="413">
        <v>563645913</v>
      </c>
      <c r="B1582" s="413">
        <v>754611996.89252698</v>
      </c>
      <c r="D1582" s="413" t="s">
        <v>7578</v>
      </c>
      <c r="E1582" s="413" t="s">
        <v>7579</v>
      </c>
    </row>
    <row r="1583" spans="1:5">
      <c r="A1583" s="413">
        <v>563750268</v>
      </c>
      <c r="B1583" s="413">
        <v>754716351.89364505</v>
      </c>
      <c r="D1583" s="413" t="s">
        <v>7580</v>
      </c>
      <c r="E1583" s="413" t="s">
        <v>7581</v>
      </c>
    </row>
    <row r="1584" spans="1:5">
      <c r="A1584" s="413">
        <v>563836654</v>
      </c>
      <c r="B1584" s="413">
        <v>754802737.89457297</v>
      </c>
      <c r="D1584" s="413" t="s">
        <v>7582</v>
      </c>
      <c r="E1584" s="413" t="s">
        <v>7583</v>
      </c>
    </row>
    <row r="1585" spans="1:5">
      <c r="A1585" s="413">
        <v>563923043</v>
      </c>
      <c r="B1585" s="413">
        <v>754889126.89549994</v>
      </c>
      <c r="D1585" s="413" t="s">
        <v>7584</v>
      </c>
      <c r="E1585" s="413" t="s">
        <v>7585</v>
      </c>
    </row>
    <row r="1586" spans="1:5">
      <c r="A1586" s="413">
        <v>563987871</v>
      </c>
      <c r="B1586" s="413">
        <v>754953954.89619505</v>
      </c>
      <c r="D1586" s="413" t="s">
        <v>7586</v>
      </c>
      <c r="E1586" s="413" t="s">
        <v>7587</v>
      </c>
    </row>
    <row r="1587" spans="1:5">
      <c r="A1587" s="413">
        <v>564095833</v>
      </c>
      <c r="B1587" s="413">
        <v>755061916.89734101</v>
      </c>
      <c r="D1587" s="413" t="s">
        <v>7588</v>
      </c>
      <c r="E1587" s="413" t="s">
        <v>7589</v>
      </c>
    </row>
    <row r="1588" spans="1:5">
      <c r="A1588" s="413">
        <v>564182225</v>
      </c>
      <c r="B1588" s="413">
        <v>755148308.89826298</v>
      </c>
      <c r="D1588" s="413" t="s">
        <v>7590</v>
      </c>
      <c r="E1588" s="413" t="s">
        <v>7591</v>
      </c>
    </row>
    <row r="1589" spans="1:5">
      <c r="A1589" s="413">
        <v>564218357</v>
      </c>
      <c r="B1589" s="413">
        <v>755184440.898664</v>
      </c>
      <c r="D1589" s="413" t="s">
        <v>7592</v>
      </c>
      <c r="E1589" s="413" t="s">
        <v>7593</v>
      </c>
    </row>
    <row r="1590" spans="1:5">
      <c r="A1590" s="413">
        <v>564355008</v>
      </c>
      <c r="B1590" s="413">
        <v>755321091.90011799</v>
      </c>
      <c r="D1590" s="413" t="s">
        <v>7594</v>
      </c>
      <c r="E1590" s="413" t="s">
        <v>7595</v>
      </c>
    </row>
    <row r="1591" spans="1:5">
      <c r="A1591" s="413">
        <v>564441405</v>
      </c>
      <c r="B1591" s="413">
        <v>755407488.90103996</v>
      </c>
      <c r="D1591" s="413" t="s">
        <v>7596</v>
      </c>
      <c r="E1591" s="413" t="s">
        <v>7597</v>
      </c>
    </row>
    <row r="1592" spans="1:5">
      <c r="A1592" s="413">
        <v>564506227</v>
      </c>
      <c r="B1592" s="413">
        <v>755472310.90174103</v>
      </c>
      <c r="D1592" s="413" t="s">
        <v>7598</v>
      </c>
      <c r="E1592" s="413" t="s">
        <v>7599</v>
      </c>
    </row>
    <row r="1593" spans="1:5">
      <c r="A1593" s="413">
        <v>564606979</v>
      </c>
      <c r="B1593" s="413">
        <v>755573062.90279996</v>
      </c>
      <c r="D1593" s="413" t="s">
        <v>7600</v>
      </c>
      <c r="E1593" s="413" t="s">
        <v>7601</v>
      </c>
    </row>
    <row r="1594" spans="1:5">
      <c r="A1594" s="413">
        <v>564700576</v>
      </c>
      <c r="B1594" s="413">
        <v>755666659.90382302</v>
      </c>
      <c r="D1594" s="413" t="s">
        <v>7602</v>
      </c>
      <c r="E1594" s="413" t="s">
        <v>7603</v>
      </c>
    </row>
    <row r="1595" spans="1:5">
      <c r="A1595" s="413">
        <v>564707793</v>
      </c>
      <c r="B1595" s="413">
        <v>755673876.90390003</v>
      </c>
      <c r="D1595" s="413" t="s">
        <v>7604</v>
      </c>
      <c r="E1595" s="413" t="s">
        <v>7605</v>
      </c>
    </row>
    <row r="1596" spans="1:5">
      <c r="A1596" s="413">
        <v>564840958</v>
      </c>
      <c r="B1596" s="413">
        <v>755807041.90530598</v>
      </c>
      <c r="D1596" s="413" t="s">
        <v>7606</v>
      </c>
      <c r="E1596" s="413" t="s">
        <v>7607</v>
      </c>
    </row>
    <row r="1597" spans="1:5">
      <c r="A1597" s="413">
        <v>564938179</v>
      </c>
      <c r="B1597" s="413">
        <v>755904262.90635097</v>
      </c>
      <c r="D1597" s="413" t="s">
        <v>7608</v>
      </c>
      <c r="E1597" s="413" t="s">
        <v>7609</v>
      </c>
    </row>
    <row r="1598" spans="1:5">
      <c r="A1598" s="413">
        <v>565020984</v>
      </c>
      <c r="B1598" s="413">
        <v>755987067.90724194</v>
      </c>
      <c r="D1598" s="413" t="s">
        <v>7610</v>
      </c>
      <c r="E1598" s="413" t="s">
        <v>7611</v>
      </c>
    </row>
    <row r="1599" spans="1:5">
      <c r="A1599" s="413">
        <v>565107365</v>
      </c>
      <c r="B1599" s="413">
        <v>756073448.90815401</v>
      </c>
      <c r="D1599" s="413" t="s">
        <v>7612</v>
      </c>
      <c r="E1599" s="413" t="s">
        <v>7613</v>
      </c>
    </row>
    <row r="1600" spans="1:5">
      <c r="A1600" s="413">
        <v>565211728</v>
      </c>
      <c r="B1600" s="413">
        <v>756177811.909271</v>
      </c>
      <c r="D1600" s="413" t="s">
        <v>7614</v>
      </c>
      <c r="E1600" s="413" t="s">
        <v>7615</v>
      </c>
    </row>
    <row r="1601" spans="1:5">
      <c r="A1601" s="413">
        <v>565298115</v>
      </c>
      <c r="B1601" s="413">
        <v>756264198.91018701</v>
      </c>
      <c r="D1601" s="413" t="s">
        <v>7616</v>
      </c>
      <c r="E1601" s="413" t="s">
        <v>7617</v>
      </c>
    </row>
    <row r="1602" spans="1:5">
      <c r="A1602" s="413">
        <v>565424118</v>
      </c>
      <c r="B1602" s="413">
        <v>756390201.91154802</v>
      </c>
      <c r="D1602" s="413" t="s">
        <v>7618</v>
      </c>
      <c r="E1602" s="413" t="s">
        <v>7619</v>
      </c>
    </row>
    <row r="1603" spans="1:5">
      <c r="A1603" s="413">
        <v>565557298</v>
      </c>
      <c r="B1603" s="413">
        <v>756523381.91296399</v>
      </c>
      <c r="D1603" s="413" t="s">
        <v>7620</v>
      </c>
      <c r="E1603" s="413" t="s">
        <v>7621</v>
      </c>
    </row>
    <row r="1604" spans="1:5">
      <c r="A1604" s="413">
        <v>565625714</v>
      </c>
      <c r="B1604" s="413">
        <v>756591797.91368997</v>
      </c>
      <c r="D1604" s="413" t="s">
        <v>7622</v>
      </c>
      <c r="E1604" s="413" t="s">
        <v>7623</v>
      </c>
    </row>
    <row r="1605" spans="1:5">
      <c r="A1605" s="413">
        <v>565737292</v>
      </c>
      <c r="B1605" s="413">
        <v>756703375.91488802</v>
      </c>
      <c r="D1605" s="413" t="s">
        <v>7624</v>
      </c>
      <c r="E1605" s="413" t="s">
        <v>7625</v>
      </c>
    </row>
    <row r="1606" spans="1:5">
      <c r="A1606" s="413">
        <v>565823693</v>
      </c>
      <c r="B1606" s="413">
        <v>756789776.91581202</v>
      </c>
      <c r="D1606" s="413" t="s">
        <v>7626</v>
      </c>
      <c r="E1606" s="413" t="s">
        <v>7627</v>
      </c>
    </row>
    <row r="1607" spans="1:5">
      <c r="A1607" s="413">
        <v>565852485</v>
      </c>
      <c r="B1607" s="413">
        <v>756818568.91612601</v>
      </c>
      <c r="D1607" s="413" t="s">
        <v>7628</v>
      </c>
      <c r="E1607" s="413" t="s">
        <v>7629</v>
      </c>
    </row>
    <row r="1608" spans="1:5">
      <c r="A1608" s="413">
        <v>565971304</v>
      </c>
      <c r="B1608" s="413">
        <v>756937387.91738904</v>
      </c>
      <c r="D1608" s="413" t="s">
        <v>7630</v>
      </c>
      <c r="E1608" s="413" t="s">
        <v>7631</v>
      </c>
    </row>
    <row r="1609" spans="1:5">
      <c r="A1609" s="413">
        <v>566082873</v>
      </c>
      <c r="B1609" s="413">
        <v>757048956.918576</v>
      </c>
      <c r="D1609" s="413" t="s">
        <v>7632</v>
      </c>
      <c r="E1609" s="413" t="s">
        <v>7633</v>
      </c>
    </row>
    <row r="1610" spans="1:5">
      <c r="A1610" s="413">
        <v>566169296</v>
      </c>
      <c r="B1610" s="413">
        <v>757135379.919505</v>
      </c>
      <c r="D1610" s="413" t="s">
        <v>7634</v>
      </c>
      <c r="E1610" s="413" t="s">
        <v>7635</v>
      </c>
    </row>
    <row r="1611" spans="1:5">
      <c r="A1611" s="413">
        <v>566216046</v>
      </c>
      <c r="B1611" s="413">
        <v>757182129.91997194</v>
      </c>
      <c r="D1611" s="413" t="s">
        <v>7636</v>
      </c>
      <c r="E1611" s="413" t="s">
        <v>7637</v>
      </c>
    </row>
    <row r="1612" spans="1:5">
      <c r="A1612" s="413">
        <v>566342075</v>
      </c>
      <c r="B1612" s="413">
        <v>757308158.92135298</v>
      </c>
      <c r="D1612" s="413" t="s">
        <v>7638</v>
      </c>
      <c r="E1612" s="413" t="s">
        <v>7639</v>
      </c>
    </row>
    <row r="1613" spans="1:5">
      <c r="A1613" s="413">
        <v>566428494</v>
      </c>
      <c r="B1613" s="413">
        <v>757394577.92227602</v>
      </c>
      <c r="D1613" s="413" t="s">
        <v>7640</v>
      </c>
      <c r="E1613" s="413" t="s">
        <v>7641</v>
      </c>
    </row>
    <row r="1614" spans="1:5">
      <c r="A1614" s="413">
        <v>566514890</v>
      </c>
      <c r="B1614" s="413">
        <v>757480973.92318904</v>
      </c>
      <c r="D1614" s="413" t="s">
        <v>7642</v>
      </c>
      <c r="E1614" s="413" t="s">
        <v>7643</v>
      </c>
    </row>
    <row r="1615" spans="1:5">
      <c r="A1615" s="413">
        <v>566601226</v>
      </c>
      <c r="B1615" s="413">
        <v>757567309.92408395</v>
      </c>
      <c r="D1615" s="413" t="s">
        <v>7644</v>
      </c>
      <c r="E1615" s="413" t="s">
        <v>7645</v>
      </c>
    </row>
    <row r="1616" spans="1:5">
      <c r="A1616" s="413">
        <v>566622809</v>
      </c>
      <c r="B1616" s="413">
        <v>757588892.92434502</v>
      </c>
      <c r="D1616" s="413" t="s">
        <v>7646</v>
      </c>
      <c r="E1616" s="413" t="s">
        <v>7647</v>
      </c>
    </row>
    <row r="1617" spans="1:5">
      <c r="A1617" s="413">
        <v>566774015</v>
      </c>
      <c r="B1617" s="413">
        <v>757740098.92592502</v>
      </c>
      <c r="D1617" s="413" t="s">
        <v>7648</v>
      </c>
      <c r="E1617" s="413" t="s">
        <v>7649</v>
      </c>
    </row>
    <row r="1618" spans="1:5">
      <c r="A1618" s="413">
        <v>566817213</v>
      </c>
      <c r="B1618" s="413">
        <v>757783296.92639899</v>
      </c>
      <c r="D1618" s="413" t="s">
        <v>7650</v>
      </c>
      <c r="E1618" s="413" t="s">
        <v>7651</v>
      </c>
    </row>
    <row r="1619" spans="1:5">
      <c r="A1619" s="413">
        <v>566946858</v>
      </c>
      <c r="B1619" s="413">
        <v>757912941.92780805</v>
      </c>
      <c r="D1619" s="413" t="s">
        <v>7652</v>
      </c>
      <c r="E1619" s="413" t="s">
        <v>7653</v>
      </c>
    </row>
    <row r="1620" spans="1:5">
      <c r="A1620" s="413">
        <v>567033260</v>
      </c>
      <c r="B1620" s="413">
        <v>757999343.92873597</v>
      </c>
      <c r="D1620" s="413" t="s">
        <v>7654</v>
      </c>
      <c r="E1620" s="413" t="s">
        <v>7655</v>
      </c>
    </row>
    <row r="1621" spans="1:5">
      <c r="A1621" s="413">
        <v>567148408</v>
      </c>
      <c r="B1621" s="413">
        <v>758114491.92996299</v>
      </c>
      <c r="D1621" s="413" t="s">
        <v>7656</v>
      </c>
      <c r="E1621" s="413" t="s">
        <v>7657</v>
      </c>
    </row>
    <row r="1622" spans="1:5">
      <c r="A1622" s="413">
        <v>567350040</v>
      </c>
      <c r="B1622" s="413">
        <v>758316123.93210101</v>
      </c>
      <c r="D1622" s="413" t="s">
        <v>7658</v>
      </c>
      <c r="E1622" s="413" t="s">
        <v>7659</v>
      </c>
    </row>
    <row r="1623" spans="1:5">
      <c r="A1623" s="413">
        <v>567436439</v>
      </c>
      <c r="B1623" s="413">
        <v>758402522.93301201</v>
      </c>
      <c r="D1623" s="413" t="s">
        <v>7660</v>
      </c>
      <c r="E1623" s="413" t="s">
        <v>7661</v>
      </c>
    </row>
    <row r="1624" spans="1:5">
      <c r="A1624" s="413">
        <v>567522837</v>
      </c>
      <c r="B1624" s="413">
        <v>758488920.93391597</v>
      </c>
      <c r="D1624" s="413" t="s">
        <v>7662</v>
      </c>
      <c r="E1624" s="413" t="s">
        <v>7663</v>
      </c>
    </row>
    <row r="1625" spans="1:5">
      <c r="A1625" s="413">
        <v>567594779</v>
      </c>
      <c r="B1625" s="413">
        <v>758560862.93466794</v>
      </c>
      <c r="D1625" s="413" t="s">
        <v>7664</v>
      </c>
      <c r="E1625" s="413" t="s">
        <v>7665</v>
      </c>
    </row>
    <row r="1626" spans="1:5">
      <c r="A1626" s="413">
        <v>567717186</v>
      </c>
      <c r="B1626" s="413">
        <v>758683269.93598497</v>
      </c>
      <c r="D1626" s="413" t="s">
        <v>7666</v>
      </c>
      <c r="E1626" s="413" t="s">
        <v>7667</v>
      </c>
    </row>
    <row r="1627" spans="1:5">
      <c r="A1627" s="413">
        <v>567778406</v>
      </c>
      <c r="B1627" s="413">
        <v>758744489.93662596</v>
      </c>
      <c r="D1627" s="413" t="s">
        <v>7668</v>
      </c>
      <c r="E1627" s="413" t="s">
        <v>7669</v>
      </c>
    </row>
    <row r="1628" spans="1:5">
      <c r="A1628" s="413">
        <v>567835984</v>
      </c>
      <c r="B1628" s="413">
        <v>758802067.93725598</v>
      </c>
      <c r="D1628" s="413" t="s">
        <v>7670</v>
      </c>
      <c r="E1628" s="413" t="s">
        <v>7671</v>
      </c>
    </row>
    <row r="1629" spans="1:5">
      <c r="A1629" s="413">
        <v>567951194</v>
      </c>
      <c r="B1629" s="413">
        <v>758917277.93847597</v>
      </c>
      <c r="D1629" s="413" t="s">
        <v>7672</v>
      </c>
      <c r="E1629" s="413" t="s">
        <v>7673</v>
      </c>
    </row>
    <row r="1630" spans="1:5">
      <c r="A1630" s="413">
        <v>568033979</v>
      </c>
      <c r="B1630" s="413">
        <v>759000062.93935704</v>
      </c>
      <c r="D1630" s="413" t="s">
        <v>7674</v>
      </c>
      <c r="E1630" s="413" t="s">
        <v>7675</v>
      </c>
    </row>
    <row r="1631" spans="1:5">
      <c r="A1631" s="413">
        <v>568134845</v>
      </c>
      <c r="B1631" s="413">
        <v>759100928.94039404</v>
      </c>
      <c r="D1631" s="413" t="s">
        <v>7676</v>
      </c>
      <c r="E1631" s="413" t="s">
        <v>7677</v>
      </c>
    </row>
    <row r="1632" spans="1:5">
      <c r="A1632" s="413">
        <v>568239210</v>
      </c>
      <c r="B1632" s="413">
        <v>759205293.94154596</v>
      </c>
      <c r="D1632" s="413" t="s">
        <v>7678</v>
      </c>
      <c r="E1632" s="413" t="s">
        <v>7679</v>
      </c>
    </row>
    <row r="1633" spans="1:5">
      <c r="A1633" s="413">
        <v>568325560</v>
      </c>
      <c r="B1633" s="413">
        <v>759291643.94242799</v>
      </c>
      <c r="D1633" s="413" t="s">
        <v>7680</v>
      </c>
      <c r="E1633" s="413" t="s">
        <v>7681</v>
      </c>
    </row>
    <row r="1634" spans="1:5">
      <c r="A1634" s="413">
        <v>568415558</v>
      </c>
      <c r="B1634" s="413">
        <v>759381641.94339097</v>
      </c>
      <c r="D1634" s="413" t="s">
        <v>7682</v>
      </c>
      <c r="E1634" s="413" t="s">
        <v>7683</v>
      </c>
    </row>
    <row r="1635" spans="1:5">
      <c r="A1635" s="413">
        <v>568426337</v>
      </c>
      <c r="B1635" s="413">
        <v>759392420.94352305</v>
      </c>
      <c r="D1635" s="413" t="s">
        <v>7684</v>
      </c>
      <c r="E1635" s="413" t="s">
        <v>7685</v>
      </c>
    </row>
    <row r="1636" spans="1:5">
      <c r="A1636" s="413">
        <v>568588355</v>
      </c>
      <c r="B1636" s="413">
        <v>759554438.94522703</v>
      </c>
      <c r="D1636" s="413" t="s">
        <v>7686</v>
      </c>
      <c r="E1636" s="413" t="s">
        <v>7687</v>
      </c>
    </row>
    <row r="1637" spans="1:5">
      <c r="A1637" s="413">
        <v>568671212</v>
      </c>
      <c r="B1637" s="413">
        <v>759637295.94615102</v>
      </c>
      <c r="D1637" s="413" t="s">
        <v>7688</v>
      </c>
      <c r="E1637" s="413" t="s">
        <v>7689</v>
      </c>
    </row>
    <row r="1638" spans="1:5">
      <c r="A1638" s="413">
        <v>568728804</v>
      </c>
      <c r="B1638" s="413">
        <v>759694887.94675505</v>
      </c>
      <c r="D1638" s="413" t="s">
        <v>7690</v>
      </c>
      <c r="E1638" s="413" t="s">
        <v>7691</v>
      </c>
    </row>
    <row r="1639" spans="1:5">
      <c r="A1639" s="413">
        <v>568840389</v>
      </c>
      <c r="B1639" s="413">
        <v>759806472.94795096</v>
      </c>
      <c r="D1639" s="413" t="s">
        <v>7692</v>
      </c>
      <c r="E1639" s="413" t="s">
        <v>7693</v>
      </c>
    </row>
    <row r="1640" spans="1:5">
      <c r="A1640" s="413">
        <v>568926785</v>
      </c>
      <c r="B1640" s="413">
        <v>759892868.94887304</v>
      </c>
      <c r="D1640" s="413" t="s">
        <v>7694</v>
      </c>
      <c r="E1640" s="413" t="s">
        <v>7695</v>
      </c>
    </row>
    <row r="1641" spans="1:5">
      <c r="A1641" s="413">
        <v>568955546</v>
      </c>
      <c r="B1641" s="413">
        <v>759921629.94916999</v>
      </c>
      <c r="D1641" s="413" t="s">
        <v>7696</v>
      </c>
      <c r="E1641" s="413" t="s">
        <v>7697</v>
      </c>
    </row>
    <row r="1642" spans="1:5">
      <c r="A1642" s="413">
        <v>569034731</v>
      </c>
      <c r="B1642" s="413">
        <v>760000814.950019</v>
      </c>
      <c r="D1642" s="413" t="s">
        <v>7698</v>
      </c>
      <c r="E1642" s="413" t="s">
        <v>7699</v>
      </c>
    </row>
    <row r="1643" spans="1:5">
      <c r="A1643" s="413">
        <v>569232747</v>
      </c>
      <c r="B1643" s="413">
        <v>760198830.95211196</v>
      </c>
      <c r="D1643" s="413" t="s">
        <v>7700</v>
      </c>
      <c r="E1643" s="413" t="s">
        <v>7701</v>
      </c>
    </row>
    <row r="1644" spans="1:5">
      <c r="A1644" s="413">
        <v>569365953</v>
      </c>
      <c r="B1644" s="413">
        <v>760332036.95353496</v>
      </c>
      <c r="D1644" s="413" t="s">
        <v>7702</v>
      </c>
      <c r="E1644" s="413" t="s">
        <v>7703</v>
      </c>
    </row>
    <row r="1645" spans="1:5">
      <c r="A1645" s="413">
        <v>569416399</v>
      </c>
      <c r="B1645" s="413">
        <v>760382482.95409501</v>
      </c>
      <c r="D1645" s="413" t="s">
        <v>7704</v>
      </c>
      <c r="E1645" s="413" t="s">
        <v>7705</v>
      </c>
    </row>
    <row r="1646" spans="1:5">
      <c r="A1646" s="413">
        <v>569531608</v>
      </c>
      <c r="B1646" s="413">
        <v>760497691.95531595</v>
      </c>
      <c r="D1646" s="413" t="s">
        <v>7706</v>
      </c>
      <c r="E1646" s="413" t="s">
        <v>7707</v>
      </c>
    </row>
    <row r="1647" spans="1:5">
      <c r="A1647" s="413">
        <v>569560369</v>
      </c>
      <c r="B1647" s="413">
        <v>760526452.95562601</v>
      </c>
      <c r="D1647" s="413" t="s">
        <v>7708</v>
      </c>
      <c r="E1647" s="413" t="s">
        <v>7709</v>
      </c>
    </row>
    <row r="1648" spans="1:5">
      <c r="A1648" s="413">
        <v>569797956</v>
      </c>
      <c r="B1648" s="413">
        <v>760764039.95813704</v>
      </c>
      <c r="D1648" s="413" t="s">
        <v>7710</v>
      </c>
      <c r="E1648" s="413" t="s">
        <v>7711</v>
      </c>
    </row>
    <row r="1649" spans="1:5">
      <c r="A1649" s="413">
        <v>569884358</v>
      </c>
      <c r="B1649" s="413">
        <v>760850441.95907295</v>
      </c>
      <c r="D1649" s="413" t="s">
        <v>7712</v>
      </c>
      <c r="E1649" s="413" t="s">
        <v>7713</v>
      </c>
    </row>
    <row r="1650" spans="1:5">
      <c r="A1650" s="413">
        <v>569963598</v>
      </c>
      <c r="B1650" s="413">
        <v>760929681.95993805</v>
      </c>
      <c r="D1650" s="413" t="s">
        <v>7714</v>
      </c>
      <c r="E1650" s="413" t="s">
        <v>7715</v>
      </c>
    </row>
    <row r="1651" spans="1:5">
      <c r="A1651" s="413">
        <v>569988749</v>
      </c>
      <c r="B1651" s="413">
        <v>760954832.96021795</v>
      </c>
      <c r="D1651" s="413" t="s">
        <v>7716</v>
      </c>
      <c r="E1651" s="413" t="s">
        <v>7717</v>
      </c>
    </row>
    <row r="1652" spans="1:5">
      <c r="A1652" s="413">
        <v>570107605</v>
      </c>
      <c r="B1652" s="413">
        <v>761073688.96148098</v>
      </c>
      <c r="D1652" s="413" t="s">
        <v>7718</v>
      </c>
      <c r="E1652" s="413" t="s">
        <v>7719</v>
      </c>
    </row>
    <row r="1653" spans="1:5">
      <c r="A1653" s="413">
        <v>570194006</v>
      </c>
      <c r="B1653" s="413">
        <v>761160089.96240199</v>
      </c>
      <c r="D1653" s="413" t="s">
        <v>7720</v>
      </c>
      <c r="E1653" s="413" t="s">
        <v>7721</v>
      </c>
    </row>
    <row r="1654" spans="1:5">
      <c r="A1654" s="413">
        <v>570247960</v>
      </c>
      <c r="B1654" s="413">
        <v>761214043.96298695</v>
      </c>
      <c r="D1654" s="413" t="s">
        <v>7722</v>
      </c>
      <c r="E1654" s="413" t="s">
        <v>7723</v>
      </c>
    </row>
    <row r="1655" spans="1:5">
      <c r="A1655" s="413">
        <v>570359644</v>
      </c>
      <c r="B1655" s="413">
        <v>761325727.96417606</v>
      </c>
      <c r="D1655" s="413" t="s">
        <v>7724</v>
      </c>
      <c r="E1655" s="413" t="s">
        <v>7725</v>
      </c>
    </row>
    <row r="1656" spans="1:5">
      <c r="A1656" s="413">
        <v>570489162</v>
      </c>
      <c r="B1656" s="413">
        <v>761455245.965554</v>
      </c>
      <c r="D1656" s="413" t="s">
        <v>7726</v>
      </c>
      <c r="E1656" s="413" t="s">
        <v>7727</v>
      </c>
    </row>
    <row r="1657" spans="1:5">
      <c r="A1657" s="413">
        <v>570575561</v>
      </c>
      <c r="B1657" s="413">
        <v>761541644.966465</v>
      </c>
      <c r="D1657" s="413" t="s">
        <v>7728</v>
      </c>
      <c r="E1657" s="413" t="s">
        <v>7729</v>
      </c>
    </row>
    <row r="1658" spans="1:5">
      <c r="A1658" s="413">
        <v>570651163</v>
      </c>
      <c r="B1658" s="413">
        <v>761617246.96725798</v>
      </c>
      <c r="D1658" s="413" t="s">
        <v>7730</v>
      </c>
      <c r="E1658" s="413" t="s">
        <v>7731</v>
      </c>
    </row>
    <row r="1659" spans="1:5">
      <c r="A1659" s="413">
        <v>570823968</v>
      </c>
      <c r="B1659" s="413">
        <v>761790051.96912003</v>
      </c>
      <c r="D1659" s="413" t="s">
        <v>7732</v>
      </c>
      <c r="E1659" s="413" t="s">
        <v>7733</v>
      </c>
    </row>
    <row r="1660" spans="1:5">
      <c r="A1660" s="413">
        <v>570921181</v>
      </c>
      <c r="B1660" s="413">
        <v>761887264.97018099</v>
      </c>
      <c r="D1660" s="413" t="s">
        <v>7734</v>
      </c>
      <c r="E1660" s="413" t="s">
        <v>7735</v>
      </c>
    </row>
    <row r="1661" spans="1:5">
      <c r="A1661" s="413">
        <v>571007576</v>
      </c>
      <c r="B1661" s="413">
        <v>761973659.97111595</v>
      </c>
      <c r="D1661" s="413" t="s">
        <v>7736</v>
      </c>
      <c r="E1661" s="413" t="s">
        <v>7737</v>
      </c>
    </row>
    <row r="1662" spans="1:5">
      <c r="A1662" s="413">
        <v>571079708</v>
      </c>
      <c r="B1662" s="413">
        <v>762045791.97184396</v>
      </c>
      <c r="D1662" s="413" t="s">
        <v>7738</v>
      </c>
      <c r="E1662" s="413" t="s">
        <v>7739</v>
      </c>
    </row>
    <row r="1663" spans="1:5">
      <c r="A1663" s="413">
        <v>571140824</v>
      </c>
      <c r="B1663" s="413">
        <v>762106907.97255898</v>
      </c>
      <c r="D1663" s="413" t="s">
        <v>7740</v>
      </c>
      <c r="E1663" s="413" t="s">
        <v>7741</v>
      </c>
    </row>
    <row r="1664" spans="1:5">
      <c r="A1664" s="413">
        <v>571266777</v>
      </c>
      <c r="B1664" s="413">
        <v>762232860.97388697</v>
      </c>
      <c r="D1664" s="413" t="s">
        <v>7742</v>
      </c>
      <c r="E1664" s="413" t="s">
        <v>7743</v>
      </c>
    </row>
    <row r="1665" spans="1:5">
      <c r="A1665" s="413">
        <v>571309995</v>
      </c>
      <c r="B1665" s="413">
        <v>762276078.974383</v>
      </c>
      <c r="D1665" s="413" t="s">
        <v>7744</v>
      </c>
      <c r="E1665" s="413" t="s">
        <v>7745</v>
      </c>
    </row>
    <row r="1666" spans="1:5">
      <c r="A1666" s="413">
        <v>571439584</v>
      </c>
      <c r="B1666" s="413">
        <v>762405667.97576201</v>
      </c>
      <c r="D1666" s="413" t="s">
        <v>7746</v>
      </c>
      <c r="E1666" s="413" t="s">
        <v>7747</v>
      </c>
    </row>
    <row r="1667" spans="1:5">
      <c r="A1667" s="413">
        <v>571522387</v>
      </c>
      <c r="B1667" s="413">
        <v>762488470.97663403</v>
      </c>
      <c r="D1667" s="413" t="s">
        <v>7748</v>
      </c>
      <c r="E1667" s="413" t="s">
        <v>7749</v>
      </c>
    </row>
    <row r="1668" spans="1:5">
      <c r="A1668" s="413">
        <v>571572827</v>
      </c>
      <c r="B1668" s="413">
        <v>762538910.97721195</v>
      </c>
      <c r="D1668" s="413" t="s">
        <v>7750</v>
      </c>
      <c r="E1668" s="413" t="s">
        <v>7751</v>
      </c>
    </row>
    <row r="1669" spans="1:5">
      <c r="A1669" s="413">
        <v>571698793</v>
      </c>
      <c r="B1669" s="413">
        <v>762664876.97855306</v>
      </c>
      <c r="D1669" s="413" t="s">
        <v>7752</v>
      </c>
      <c r="E1669" s="413" t="s">
        <v>7753</v>
      </c>
    </row>
    <row r="1670" spans="1:5">
      <c r="A1670" s="413">
        <v>571785197</v>
      </c>
      <c r="B1670" s="413">
        <v>762751280.97947395</v>
      </c>
      <c r="D1670" s="413" t="s">
        <v>7754</v>
      </c>
      <c r="E1670" s="413" t="s">
        <v>7755</v>
      </c>
    </row>
    <row r="1671" spans="1:5">
      <c r="A1671" s="413">
        <v>571860801</v>
      </c>
      <c r="B1671" s="413">
        <v>762826884.98028696</v>
      </c>
      <c r="D1671" s="413" t="s">
        <v>7756</v>
      </c>
      <c r="E1671" s="413" t="s">
        <v>7757</v>
      </c>
    </row>
    <row r="1672" spans="1:5">
      <c r="A1672" s="413">
        <v>571943601</v>
      </c>
      <c r="B1672" s="413">
        <v>762909684.98116803</v>
      </c>
      <c r="D1672" s="413" t="s">
        <v>7758</v>
      </c>
      <c r="E1672" s="413" t="s">
        <v>7759</v>
      </c>
    </row>
    <row r="1673" spans="1:5">
      <c r="A1673" s="413">
        <v>572044410</v>
      </c>
      <c r="B1673" s="413">
        <v>763010493.98228705</v>
      </c>
      <c r="D1673" s="413" t="s">
        <v>7760</v>
      </c>
      <c r="E1673" s="413" t="s">
        <v>7761</v>
      </c>
    </row>
    <row r="1674" spans="1:5">
      <c r="A1674" s="413">
        <v>572130811</v>
      </c>
      <c r="B1674" s="413">
        <v>763096894.98321497</v>
      </c>
      <c r="D1674" s="413" t="s">
        <v>7762</v>
      </c>
      <c r="E1674" s="413" t="s">
        <v>7763</v>
      </c>
    </row>
    <row r="1675" spans="1:5">
      <c r="A1675" s="413">
        <v>572217824</v>
      </c>
      <c r="B1675" s="413">
        <v>763183907.98414397</v>
      </c>
      <c r="D1675" s="413" t="s">
        <v>7764</v>
      </c>
      <c r="E1675" s="413" t="s">
        <v>7765</v>
      </c>
    </row>
    <row r="1676" spans="1:5">
      <c r="A1676" s="413">
        <v>572303613</v>
      </c>
      <c r="B1676" s="413">
        <v>763269696.98506999</v>
      </c>
      <c r="D1676" s="413" t="s">
        <v>7766</v>
      </c>
      <c r="E1676" s="413" t="s">
        <v>7767</v>
      </c>
    </row>
    <row r="1677" spans="1:5">
      <c r="A1677" s="413">
        <v>572391249</v>
      </c>
      <c r="B1677" s="413">
        <v>763357332.98603296</v>
      </c>
      <c r="D1677" s="413" t="s">
        <v>7768</v>
      </c>
      <c r="E1677" s="413" t="s">
        <v>7769</v>
      </c>
    </row>
    <row r="1678" spans="1:5">
      <c r="A1678" s="413">
        <v>572447617</v>
      </c>
      <c r="B1678" s="413">
        <v>763413700.986619</v>
      </c>
      <c r="D1678" s="413" t="s">
        <v>7770</v>
      </c>
      <c r="E1678" s="413" t="s">
        <v>7771</v>
      </c>
    </row>
    <row r="1679" spans="1:5">
      <c r="A1679" s="413">
        <v>572508825</v>
      </c>
      <c r="B1679" s="413">
        <v>763474908.98729503</v>
      </c>
      <c r="D1679" s="413" t="s">
        <v>7772</v>
      </c>
      <c r="E1679" s="413" t="s">
        <v>7773</v>
      </c>
    </row>
    <row r="1680" spans="1:5">
      <c r="A1680" s="413">
        <v>572616827</v>
      </c>
      <c r="B1680" s="413">
        <v>763582910.98845506</v>
      </c>
      <c r="D1680" s="413" t="s">
        <v>7774</v>
      </c>
      <c r="E1680" s="413" t="s">
        <v>7775</v>
      </c>
    </row>
    <row r="1681" spans="1:5">
      <c r="A1681" s="413">
        <v>572674427</v>
      </c>
      <c r="B1681" s="413">
        <v>763640510.98908401</v>
      </c>
      <c r="D1681" s="413" t="s">
        <v>7776</v>
      </c>
      <c r="E1681" s="413" t="s">
        <v>7777</v>
      </c>
    </row>
    <row r="1682" spans="1:5">
      <c r="A1682" s="413">
        <v>572908443</v>
      </c>
      <c r="B1682" s="413">
        <v>763874526.99162602</v>
      </c>
      <c r="D1682" s="413" t="s">
        <v>7778</v>
      </c>
      <c r="E1682" s="413" t="s">
        <v>7779</v>
      </c>
    </row>
    <row r="1683" spans="1:5">
      <c r="A1683" s="413">
        <v>572987649</v>
      </c>
      <c r="B1683" s="413">
        <v>763953732.99248695</v>
      </c>
      <c r="D1683" s="413" t="s">
        <v>7780</v>
      </c>
      <c r="E1683" s="413" t="s">
        <v>7781</v>
      </c>
    </row>
    <row r="1684" spans="1:5">
      <c r="A1684" s="413">
        <v>573045254</v>
      </c>
      <c r="B1684" s="413">
        <v>764011337.99309301</v>
      </c>
      <c r="D1684" s="413" t="s">
        <v>7782</v>
      </c>
      <c r="E1684" s="413" t="s">
        <v>7783</v>
      </c>
    </row>
    <row r="1685" spans="1:5">
      <c r="A1685" s="413">
        <v>573160457</v>
      </c>
      <c r="B1685" s="413">
        <v>764126540.99436104</v>
      </c>
      <c r="D1685" s="413" t="s">
        <v>7784</v>
      </c>
      <c r="E1685" s="413" t="s">
        <v>7785</v>
      </c>
    </row>
    <row r="1686" spans="1:5">
      <c r="A1686" s="413">
        <v>573250457</v>
      </c>
      <c r="B1686" s="413">
        <v>764216540.99533498</v>
      </c>
      <c r="D1686" s="413" t="s">
        <v>7786</v>
      </c>
      <c r="E1686" s="413" t="s">
        <v>7787</v>
      </c>
    </row>
    <row r="1687" spans="1:5">
      <c r="A1687" s="413">
        <v>573426869</v>
      </c>
      <c r="B1687" s="413">
        <v>764392952.99726403</v>
      </c>
      <c r="D1687" s="413" t="s">
        <v>7788</v>
      </c>
      <c r="E1687" s="413" t="s">
        <v>7789</v>
      </c>
    </row>
    <row r="1688" spans="1:5">
      <c r="A1688" s="413">
        <v>573513273</v>
      </c>
      <c r="B1688" s="413">
        <v>764479356.99819803</v>
      </c>
      <c r="D1688" s="413" t="s">
        <v>7790</v>
      </c>
      <c r="E1688" s="413" t="s">
        <v>7791</v>
      </c>
    </row>
    <row r="1689" spans="1:5">
      <c r="A1689" s="413">
        <v>573599676</v>
      </c>
      <c r="B1689" s="413">
        <v>764565759.99915504</v>
      </c>
      <c r="D1689" s="413" t="s">
        <v>7792</v>
      </c>
      <c r="E1689" s="413" t="s">
        <v>7793</v>
      </c>
    </row>
    <row r="1690" spans="1:5">
      <c r="A1690" s="413">
        <v>573650077</v>
      </c>
      <c r="B1690" s="413">
        <v>764616160.99967897</v>
      </c>
      <c r="D1690" s="413" t="s">
        <v>7794</v>
      </c>
      <c r="E1690" s="413" t="s">
        <v>7795</v>
      </c>
    </row>
    <row r="1691" spans="1:5">
      <c r="A1691" s="413">
        <v>573772487</v>
      </c>
      <c r="B1691" s="413">
        <v>764738571.00103498</v>
      </c>
      <c r="D1691" s="413" t="s">
        <v>7796</v>
      </c>
      <c r="E1691" s="413" t="s">
        <v>7797</v>
      </c>
    </row>
    <row r="1692" spans="1:5">
      <c r="A1692" s="413">
        <v>573858889</v>
      </c>
      <c r="B1692" s="413">
        <v>764824973.00197995</v>
      </c>
      <c r="D1692" s="413" t="s">
        <v>7798</v>
      </c>
      <c r="E1692" s="413" t="s">
        <v>7799</v>
      </c>
    </row>
    <row r="1693" spans="1:5">
      <c r="A1693" s="413">
        <v>573912887</v>
      </c>
      <c r="B1693" s="413">
        <v>764878971.00254202</v>
      </c>
      <c r="D1693" s="413" t="s">
        <v>7800</v>
      </c>
      <c r="E1693" s="413" t="s">
        <v>7801</v>
      </c>
    </row>
    <row r="1694" spans="1:5">
      <c r="A1694" s="413">
        <v>574031703</v>
      </c>
      <c r="B1694" s="413">
        <v>764997787.00386596</v>
      </c>
      <c r="D1694" s="413" t="s">
        <v>7802</v>
      </c>
      <c r="E1694" s="413" t="s">
        <v>7803</v>
      </c>
    </row>
    <row r="1695" spans="1:5">
      <c r="A1695" s="413">
        <v>574118108</v>
      </c>
      <c r="B1695" s="413">
        <v>765084192.004807</v>
      </c>
      <c r="D1695" s="413" t="s">
        <v>7804</v>
      </c>
      <c r="E1695" s="413" t="s">
        <v>7805</v>
      </c>
    </row>
    <row r="1696" spans="1:5">
      <c r="A1696" s="413">
        <v>574182901</v>
      </c>
      <c r="B1696" s="413">
        <v>765148985.00547099</v>
      </c>
      <c r="D1696" s="413" t="s">
        <v>7806</v>
      </c>
      <c r="E1696" s="413" t="s">
        <v>7807</v>
      </c>
    </row>
    <row r="1697" spans="1:5">
      <c r="A1697" s="413">
        <v>574280107</v>
      </c>
      <c r="B1697" s="413">
        <v>765246191.00655997</v>
      </c>
      <c r="D1697" s="413" t="s">
        <v>7808</v>
      </c>
      <c r="E1697" s="413" t="s">
        <v>7809</v>
      </c>
    </row>
    <row r="1698" spans="1:5">
      <c r="A1698" s="413">
        <v>574344916</v>
      </c>
      <c r="B1698" s="413">
        <v>765311000.00726104</v>
      </c>
      <c r="D1698" s="413" t="s">
        <v>7810</v>
      </c>
      <c r="E1698" s="413" t="s">
        <v>7811</v>
      </c>
    </row>
    <row r="1699" spans="1:5">
      <c r="A1699" s="413">
        <v>574431321</v>
      </c>
      <c r="B1699" s="413">
        <v>765397405.00822496</v>
      </c>
      <c r="D1699" s="413" t="s">
        <v>7812</v>
      </c>
      <c r="E1699" s="413" t="s">
        <v>7813</v>
      </c>
    </row>
    <row r="1700" spans="1:5">
      <c r="A1700" s="413">
        <v>574535719</v>
      </c>
      <c r="B1700" s="413">
        <v>765501803.00935602</v>
      </c>
      <c r="D1700" s="413" t="s">
        <v>7814</v>
      </c>
      <c r="E1700" s="413" t="s">
        <v>7815</v>
      </c>
    </row>
    <row r="1701" spans="1:5">
      <c r="A1701" s="413">
        <v>574596940</v>
      </c>
      <c r="B1701" s="413">
        <v>765563024.01002097</v>
      </c>
      <c r="D1701" s="413" t="s">
        <v>7816</v>
      </c>
      <c r="E1701" s="413" t="s">
        <v>7817</v>
      </c>
    </row>
    <row r="1702" spans="1:5">
      <c r="A1702" s="413">
        <v>574701381</v>
      </c>
      <c r="B1702" s="413">
        <v>765667465.011199</v>
      </c>
      <c r="D1702" s="413" t="s">
        <v>7818</v>
      </c>
      <c r="E1702" s="413" t="s">
        <v>7819</v>
      </c>
    </row>
    <row r="1703" spans="1:5">
      <c r="A1703" s="413">
        <v>574794933</v>
      </c>
      <c r="B1703" s="413">
        <v>765761017.0122</v>
      </c>
      <c r="D1703" s="413" t="s">
        <v>7820</v>
      </c>
      <c r="E1703" s="413" t="s">
        <v>7821</v>
      </c>
    </row>
    <row r="1704" spans="1:5">
      <c r="A1704" s="413">
        <v>574892140</v>
      </c>
      <c r="B1704" s="413">
        <v>765858224.01327705</v>
      </c>
      <c r="D1704" s="413" t="s">
        <v>7822</v>
      </c>
      <c r="E1704" s="413" t="s">
        <v>7823</v>
      </c>
    </row>
    <row r="1705" spans="1:5">
      <c r="A1705" s="413">
        <v>574953356</v>
      </c>
      <c r="B1705" s="413">
        <v>765919440.013937</v>
      </c>
      <c r="D1705" s="413" t="s">
        <v>7824</v>
      </c>
      <c r="E1705" s="413" t="s">
        <v>7825</v>
      </c>
    </row>
    <row r="1706" spans="1:5">
      <c r="A1706" s="413">
        <v>575003740</v>
      </c>
      <c r="B1706" s="413">
        <v>765969824.01448703</v>
      </c>
      <c r="D1706" s="413" t="s">
        <v>7826</v>
      </c>
      <c r="E1706" s="413" t="s">
        <v>7827</v>
      </c>
    </row>
    <row r="1707" spans="1:5">
      <c r="A1707" s="413">
        <v>575090154</v>
      </c>
      <c r="B1707" s="413">
        <v>766056238.01543999</v>
      </c>
      <c r="D1707" s="413" t="s">
        <v>7828</v>
      </c>
      <c r="E1707" s="413" t="s">
        <v>7829</v>
      </c>
    </row>
    <row r="1708" spans="1:5">
      <c r="A1708" s="413">
        <v>575230564</v>
      </c>
      <c r="B1708" s="413">
        <v>766196648.01698303</v>
      </c>
      <c r="D1708" s="413" t="s">
        <v>7830</v>
      </c>
      <c r="E1708" s="413" t="s">
        <v>7831</v>
      </c>
    </row>
    <row r="1709" spans="1:5">
      <c r="A1709" s="413">
        <v>575273767</v>
      </c>
      <c r="B1709" s="413">
        <v>766239851.01745498</v>
      </c>
      <c r="D1709" s="413" t="s">
        <v>7832</v>
      </c>
      <c r="E1709" s="413" t="s">
        <v>7833</v>
      </c>
    </row>
    <row r="1710" spans="1:5">
      <c r="A1710" s="413">
        <v>575414178</v>
      </c>
      <c r="B1710" s="413">
        <v>766380262.01902103</v>
      </c>
      <c r="D1710" s="413" t="s">
        <v>7834</v>
      </c>
      <c r="E1710" s="413" t="s">
        <v>7835</v>
      </c>
    </row>
    <row r="1711" spans="1:5">
      <c r="A1711" s="413">
        <v>575493376</v>
      </c>
      <c r="B1711" s="413">
        <v>766459460.01987505</v>
      </c>
      <c r="D1711" s="413" t="s">
        <v>7836</v>
      </c>
      <c r="E1711" s="413" t="s">
        <v>7837</v>
      </c>
    </row>
    <row r="1712" spans="1:5">
      <c r="A1712" s="413">
        <v>575576182</v>
      </c>
      <c r="B1712" s="413">
        <v>766542266.02078295</v>
      </c>
      <c r="D1712" s="413" t="s">
        <v>7838</v>
      </c>
      <c r="E1712" s="413" t="s">
        <v>7839</v>
      </c>
    </row>
    <row r="1713" spans="1:5">
      <c r="A1713" s="413">
        <v>575655385</v>
      </c>
      <c r="B1713" s="413">
        <v>766621469.02165103</v>
      </c>
      <c r="D1713" s="413" t="s">
        <v>7840</v>
      </c>
      <c r="E1713" s="413" t="s">
        <v>7841</v>
      </c>
    </row>
    <row r="1714" spans="1:5">
      <c r="A1714" s="413">
        <v>575727382</v>
      </c>
      <c r="B1714" s="413">
        <v>766693466.02245498</v>
      </c>
      <c r="D1714" s="413" t="s">
        <v>7842</v>
      </c>
      <c r="E1714" s="413" t="s">
        <v>7843</v>
      </c>
    </row>
    <row r="1715" spans="1:5">
      <c r="A1715" s="413">
        <v>575846197</v>
      </c>
      <c r="B1715" s="413">
        <v>766812281.02376795</v>
      </c>
      <c r="D1715" s="413" t="s">
        <v>7844</v>
      </c>
      <c r="E1715" s="413" t="s">
        <v>7845</v>
      </c>
    </row>
    <row r="1716" spans="1:5">
      <c r="A1716" s="413">
        <v>575907439</v>
      </c>
      <c r="B1716" s="413">
        <v>766873523.02444994</v>
      </c>
      <c r="D1716" s="413" t="s">
        <v>7846</v>
      </c>
      <c r="E1716" s="413" t="s">
        <v>7847</v>
      </c>
    </row>
    <row r="1717" spans="1:5">
      <c r="A1717" s="413">
        <v>575961402</v>
      </c>
      <c r="B1717" s="413">
        <v>766927486.02504301</v>
      </c>
      <c r="D1717" s="413" t="s">
        <v>7848</v>
      </c>
      <c r="E1717" s="413" t="s">
        <v>7849</v>
      </c>
    </row>
    <row r="1718" spans="1:5">
      <c r="A1718" s="413">
        <v>576098205</v>
      </c>
      <c r="B1718" s="413">
        <v>767064289.02655399</v>
      </c>
      <c r="D1718" s="413" t="s">
        <v>7850</v>
      </c>
      <c r="E1718" s="413" t="s">
        <v>7851</v>
      </c>
    </row>
    <row r="1719" spans="1:5">
      <c r="A1719" s="413">
        <v>576177408</v>
      </c>
      <c r="B1719" s="413">
        <v>767143492.02741206</v>
      </c>
      <c r="D1719" s="413" t="s">
        <v>7852</v>
      </c>
      <c r="E1719" s="413" t="s">
        <v>7853</v>
      </c>
    </row>
    <row r="1720" spans="1:5">
      <c r="A1720" s="413">
        <v>576332225</v>
      </c>
      <c r="B1720" s="413">
        <v>767298309.02913404</v>
      </c>
      <c r="D1720" s="413" t="s">
        <v>7854</v>
      </c>
      <c r="E1720" s="413" t="s">
        <v>7855</v>
      </c>
    </row>
    <row r="1721" spans="1:5">
      <c r="A1721" s="413">
        <v>576451041</v>
      </c>
      <c r="B1721" s="413">
        <v>767417125.03046095</v>
      </c>
      <c r="D1721" s="413" t="s">
        <v>7856</v>
      </c>
      <c r="E1721" s="413" t="s">
        <v>7857</v>
      </c>
    </row>
    <row r="1722" spans="1:5">
      <c r="A1722" s="413">
        <v>576501421</v>
      </c>
      <c r="B1722" s="413">
        <v>767467505.031003</v>
      </c>
      <c r="D1722" s="413" t="s">
        <v>7858</v>
      </c>
      <c r="E1722" s="413" t="s">
        <v>7859</v>
      </c>
    </row>
    <row r="1723" spans="1:5">
      <c r="A1723" s="413">
        <v>576616630</v>
      </c>
      <c r="B1723" s="413">
        <v>767582714.03227901</v>
      </c>
      <c r="D1723" s="413" t="s">
        <v>7860</v>
      </c>
      <c r="E1723" s="413" t="s">
        <v>7861</v>
      </c>
    </row>
    <row r="1724" spans="1:5">
      <c r="A1724" s="413">
        <v>576670627</v>
      </c>
      <c r="B1724" s="413">
        <v>767636711.03285599</v>
      </c>
      <c r="D1724" s="413" t="s">
        <v>7862</v>
      </c>
      <c r="E1724" s="413" t="s">
        <v>7863</v>
      </c>
    </row>
    <row r="1725" spans="1:5">
      <c r="A1725" s="413">
        <v>576731828</v>
      </c>
      <c r="B1725" s="413">
        <v>767697912.03353906</v>
      </c>
      <c r="D1725" s="413" t="s">
        <v>7864</v>
      </c>
      <c r="E1725" s="413" t="s">
        <v>7865</v>
      </c>
    </row>
    <row r="1726" spans="1:5">
      <c r="A1726" s="413">
        <v>576836249</v>
      </c>
      <c r="B1726" s="413">
        <v>767802333.034688</v>
      </c>
      <c r="D1726" s="413" t="s">
        <v>7866</v>
      </c>
      <c r="E1726" s="413" t="s">
        <v>7867</v>
      </c>
    </row>
    <row r="1727" spans="1:5">
      <c r="A1727" s="413">
        <v>576937052</v>
      </c>
      <c r="B1727" s="413">
        <v>767903136.03583097</v>
      </c>
      <c r="D1727" s="413" t="s">
        <v>7868</v>
      </c>
      <c r="E1727" s="413" t="s">
        <v>7869</v>
      </c>
    </row>
    <row r="1728" spans="1:5">
      <c r="A1728" s="413">
        <v>577001887</v>
      </c>
      <c r="B1728" s="413">
        <v>767967971.03655398</v>
      </c>
      <c r="D1728" s="413" t="s">
        <v>7870</v>
      </c>
      <c r="E1728" s="413" t="s">
        <v>7871</v>
      </c>
    </row>
    <row r="1729" spans="1:5">
      <c r="A1729" s="413">
        <v>577138659</v>
      </c>
      <c r="B1729" s="413">
        <v>768104743.03806496</v>
      </c>
      <c r="D1729" s="413" t="s">
        <v>7872</v>
      </c>
      <c r="E1729" s="413" t="s">
        <v>7873</v>
      </c>
    </row>
    <row r="1730" spans="1:5">
      <c r="A1730" s="413">
        <v>577210657</v>
      </c>
      <c r="B1730" s="413">
        <v>768176741.038854</v>
      </c>
      <c r="D1730" s="413" t="s">
        <v>7874</v>
      </c>
      <c r="E1730" s="413" t="s">
        <v>7875</v>
      </c>
    </row>
    <row r="1731" spans="1:5">
      <c r="A1731" s="413">
        <v>577246656</v>
      </c>
      <c r="B1731" s="413">
        <v>768212740.03926003</v>
      </c>
      <c r="D1731" s="413" t="s">
        <v>7876</v>
      </c>
      <c r="E1731" s="413" t="s">
        <v>7877</v>
      </c>
    </row>
    <row r="1732" spans="1:5">
      <c r="A1732" s="413">
        <v>577394269</v>
      </c>
      <c r="B1732" s="413">
        <v>768360353.04090297</v>
      </c>
      <c r="D1732" s="413" t="s">
        <v>7878</v>
      </c>
      <c r="E1732" s="413" t="s">
        <v>7879</v>
      </c>
    </row>
    <row r="1733" spans="1:5">
      <c r="A1733" s="413">
        <v>577480675</v>
      </c>
      <c r="B1733" s="413">
        <v>768446759.04186106</v>
      </c>
      <c r="D1733" s="413" t="s">
        <v>7880</v>
      </c>
      <c r="E1733" s="413" t="s">
        <v>7881</v>
      </c>
    </row>
    <row r="1734" spans="1:5">
      <c r="A1734" s="413">
        <v>577617472</v>
      </c>
      <c r="B1734" s="413">
        <v>768583556.04336905</v>
      </c>
      <c r="D1734" s="413" t="s">
        <v>7882</v>
      </c>
      <c r="E1734" s="413" t="s">
        <v>7883</v>
      </c>
    </row>
    <row r="1735" spans="1:5">
      <c r="A1735" s="413">
        <v>577736277</v>
      </c>
      <c r="B1735" s="413">
        <v>768702361.04470897</v>
      </c>
      <c r="D1735" s="413" t="s">
        <v>7884</v>
      </c>
      <c r="E1735" s="413" t="s">
        <v>7885</v>
      </c>
    </row>
    <row r="1736" spans="1:5">
      <c r="A1736" s="413">
        <v>577804722</v>
      </c>
      <c r="B1736" s="413">
        <v>768770806.04547405</v>
      </c>
      <c r="D1736" s="413" t="s">
        <v>7886</v>
      </c>
      <c r="E1736" s="413" t="s">
        <v>7887</v>
      </c>
    </row>
    <row r="1737" spans="1:5">
      <c r="A1737" s="413">
        <v>577901886</v>
      </c>
      <c r="B1737" s="413">
        <v>768867970.04654503</v>
      </c>
      <c r="D1737" s="413" t="s">
        <v>7888</v>
      </c>
      <c r="E1737" s="413" t="s">
        <v>7889</v>
      </c>
    </row>
    <row r="1738" spans="1:5">
      <c r="A1738" s="413">
        <v>577995487</v>
      </c>
      <c r="B1738" s="413">
        <v>768961571.047598</v>
      </c>
      <c r="D1738" s="413" t="s">
        <v>7890</v>
      </c>
      <c r="E1738" s="413" t="s">
        <v>7891</v>
      </c>
    </row>
    <row r="1739" spans="1:5">
      <c r="A1739" s="413">
        <v>578085495</v>
      </c>
      <c r="B1739" s="413">
        <v>769051579.04858994</v>
      </c>
      <c r="D1739" s="413" t="s">
        <v>7892</v>
      </c>
      <c r="E1739" s="413" t="s">
        <v>7893</v>
      </c>
    </row>
    <row r="1740" spans="1:5">
      <c r="A1740" s="413">
        <v>578132285</v>
      </c>
      <c r="B1740" s="413">
        <v>769098369.04910004</v>
      </c>
      <c r="D1740" s="413" t="s">
        <v>7894</v>
      </c>
      <c r="E1740" s="413" t="s">
        <v>7895</v>
      </c>
    </row>
    <row r="1741" spans="1:5">
      <c r="A1741" s="413">
        <v>578254699</v>
      </c>
      <c r="B1741" s="413">
        <v>769220783.05048096</v>
      </c>
      <c r="D1741" s="413" t="s">
        <v>7896</v>
      </c>
      <c r="E1741" s="413" t="s">
        <v>7897</v>
      </c>
    </row>
    <row r="1742" spans="1:5">
      <c r="A1742" s="413">
        <v>578341103</v>
      </c>
      <c r="B1742" s="413">
        <v>769307187.05145204</v>
      </c>
      <c r="D1742" s="413" t="s">
        <v>7898</v>
      </c>
      <c r="E1742" s="413" t="s">
        <v>7899</v>
      </c>
    </row>
    <row r="1743" spans="1:5">
      <c r="A1743" s="413">
        <v>578431103</v>
      </c>
      <c r="B1743" s="413">
        <v>769397187.052441</v>
      </c>
      <c r="D1743" s="413" t="s">
        <v>7900</v>
      </c>
      <c r="E1743" s="413" t="s">
        <v>7901</v>
      </c>
    </row>
    <row r="1744" spans="1:5">
      <c r="A1744" s="413">
        <v>578517515</v>
      </c>
      <c r="B1744" s="413">
        <v>769483599.053424</v>
      </c>
      <c r="D1744" s="413" t="s">
        <v>7902</v>
      </c>
      <c r="E1744" s="413" t="s">
        <v>7903</v>
      </c>
    </row>
    <row r="1745" spans="1:5">
      <c r="A1745" s="413">
        <v>578575182</v>
      </c>
      <c r="B1745" s="413">
        <v>769541266.054057</v>
      </c>
      <c r="D1745" s="413" t="s">
        <v>7904</v>
      </c>
      <c r="E1745" s="413" t="s">
        <v>7905</v>
      </c>
    </row>
    <row r="1746" spans="1:5">
      <c r="A1746" s="413">
        <v>578690313</v>
      </c>
      <c r="B1746" s="413">
        <v>769656397.05535197</v>
      </c>
      <c r="D1746" s="413" t="s">
        <v>7906</v>
      </c>
      <c r="E1746" s="413" t="s">
        <v>7907</v>
      </c>
    </row>
    <row r="1747" spans="1:5">
      <c r="A1747" s="413">
        <v>578765909</v>
      </c>
      <c r="B1747" s="413">
        <v>769731993.05616498</v>
      </c>
      <c r="D1747" s="413" t="s">
        <v>7908</v>
      </c>
      <c r="E1747" s="413" t="s">
        <v>7909</v>
      </c>
    </row>
    <row r="1748" spans="1:5">
      <c r="A1748" s="413">
        <v>578863124</v>
      </c>
      <c r="B1748" s="413">
        <v>769829208.05727303</v>
      </c>
      <c r="D1748" s="413" t="s">
        <v>7910</v>
      </c>
      <c r="E1748" s="413" t="s">
        <v>7911</v>
      </c>
    </row>
    <row r="1749" spans="1:5">
      <c r="A1749" s="413">
        <v>578949525</v>
      </c>
      <c r="B1749" s="413">
        <v>769915609.05824494</v>
      </c>
      <c r="D1749" s="413" t="s">
        <v>7912</v>
      </c>
      <c r="E1749" s="413" t="s">
        <v>7913</v>
      </c>
    </row>
    <row r="1750" spans="1:5">
      <c r="A1750" s="413">
        <v>579039544</v>
      </c>
      <c r="B1750" s="413">
        <v>770005628.05925</v>
      </c>
      <c r="D1750" s="413" t="s">
        <v>7914</v>
      </c>
      <c r="E1750" s="413" t="s">
        <v>7915</v>
      </c>
    </row>
    <row r="1751" spans="1:5">
      <c r="A1751" s="413">
        <v>579104320</v>
      </c>
      <c r="B1751" s="413">
        <v>770070404.05993903</v>
      </c>
      <c r="D1751" s="413" t="s">
        <v>7916</v>
      </c>
      <c r="E1751" s="413" t="s">
        <v>7917</v>
      </c>
    </row>
    <row r="1752" spans="1:5">
      <c r="A1752" s="413">
        <v>579183513</v>
      </c>
      <c r="B1752" s="413">
        <v>770149597.06081605</v>
      </c>
      <c r="D1752" s="413" t="s">
        <v>7918</v>
      </c>
      <c r="E1752" s="413" t="s">
        <v>7919</v>
      </c>
    </row>
    <row r="1753" spans="1:5">
      <c r="A1753" s="413">
        <v>579277122</v>
      </c>
      <c r="B1753" s="413">
        <v>770243206.06189096</v>
      </c>
      <c r="D1753" s="413" t="s">
        <v>7920</v>
      </c>
      <c r="E1753" s="413" t="s">
        <v>7921</v>
      </c>
    </row>
    <row r="1754" spans="1:5">
      <c r="A1754" s="413">
        <v>579349129</v>
      </c>
      <c r="B1754" s="413">
        <v>770315213.06270301</v>
      </c>
      <c r="D1754" s="413" t="s">
        <v>7922</v>
      </c>
      <c r="E1754" s="413" t="s">
        <v>7923</v>
      </c>
    </row>
    <row r="1755" spans="1:5">
      <c r="A1755" s="413">
        <v>579413959</v>
      </c>
      <c r="B1755" s="413">
        <v>770380043.06343699</v>
      </c>
      <c r="D1755" s="413" t="s">
        <v>7924</v>
      </c>
      <c r="E1755" s="413" t="s">
        <v>7925</v>
      </c>
    </row>
    <row r="1756" spans="1:5">
      <c r="A1756" s="413">
        <v>579550732</v>
      </c>
      <c r="B1756" s="413">
        <v>770516816.06496096</v>
      </c>
      <c r="D1756" s="413" t="s">
        <v>7926</v>
      </c>
      <c r="E1756" s="413" t="s">
        <v>7927</v>
      </c>
    </row>
    <row r="1757" spans="1:5">
      <c r="A1757" s="413">
        <v>579633527</v>
      </c>
      <c r="B1757" s="413">
        <v>770599611.06588602</v>
      </c>
      <c r="D1757" s="413" t="s">
        <v>7928</v>
      </c>
      <c r="E1757" s="413" t="s">
        <v>7929</v>
      </c>
    </row>
    <row r="1758" spans="1:5">
      <c r="A1758" s="413">
        <v>579709129</v>
      </c>
      <c r="B1758" s="413">
        <v>770675213.066728</v>
      </c>
      <c r="D1758" s="413" t="s">
        <v>7930</v>
      </c>
      <c r="E1758" s="413" t="s">
        <v>7931</v>
      </c>
    </row>
    <row r="1759" spans="1:5">
      <c r="A1759" s="413">
        <v>579795524</v>
      </c>
      <c r="B1759" s="413">
        <v>770761608.06768596</v>
      </c>
      <c r="D1759" s="413" t="s">
        <v>7932</v>
      </c>
      <c r="E1759" s="413" t="s">
        <v>7933</v>
      </c>
    </row>
    <row r="1760" spans="1:5">
      <c r="A1760" s="413">
        <v>579881928</v>
      </c>
      <c r="B1760" s="413">
        <v>770848012.06865096</v>
      </c>
      <c r="D1760" s="413" t="s">
        <v>7934</v>
      </c>
      <c r="E1760" s="413" t="s">
        <v>7935</v>
      </c>
    </row>
    <row r="1761" spans="1:5">
      <c r="A1761" s="413">
        <v>580036731</v>
      </c>
      <c r="B1761" s="413">
        <v>771002815.07038701</v>
      </c>
      <c r="D1761" s="413" t="s">
        <v>7936</v>
      </c>
      <c r="E1761" s="413" t="s">
        <v>7937</v>
      </c>
    </row>
    <row r="1762" spans="1:5">
      <c r="A1762" s="413">
        <v>580151933</v>
      </c>
      <c r="B1762" s="413">
        <v>771118017.07170403</v>
      </c>
      <c r="D1762" s="413" t="s">
        <v>7938</v>
      </c>
      <c r="E1762" s="413" t="s">
        <v>7939</v>
      </c>
    </row>
    <row r="1763" spans="1:5">
      <c r="A1763" s="413">
        <v>580253674</v>
      </c>
      <c r="B1763" s="413">
        <v>771219758.07281196</v>
      </c>
      <c r="D1763" s="413" t="s">
        <v>7940</v>
      </c>
      <c r="E1763" s="413" t="s">
        <v>7941</v>
      </c>
    </row>
    <row r="1764" spans="1:5">
      <c r="A1764" s="413">
        <v>580339781</v>
      </c>
      <c r="B1764" s="413">
        <v>771305865.07377601</v>
      </c>
      <c r="D1764" s="413" t="s">
        <v>7942</v>
      </c>
      <c r="E1764" s="413" t="s">
        <v>7943</v>
      </c>
    </row>
    <row r="1765" spans="1:5">
      <c r="A1765" s="413">
        <v>580425560</v>
      </c>
      <c r="B1765" s="413">
        <v>771391644.07473397</v>
      </c>
      <c r="D1765" s="413" t="s">
        <v>7944</v>
      </c>
      <c r="E1765" s="413" t="s">
        <v>7945</v>
      </c>
    </row>
    <row r="1766" spans="1:5">
      <c r="A1766" s="413">
        <v>580486735</v>
      </c>
      <c r="B1766" s="413">
        <v>771452819.075441</v>
      </c>
      <c r="D1766" s="413" t="s">
        <v>7946</v>
      </c>
      <c r="E1766" s="413" t="s">
        <v>7947</v>
      </c>
    </row>
    <row r="1767" spans="1:5">
      <c r="A1767" s="413">
        <v>580598368</v>
      </c>
      <c r="B1767" s="413">
        <v>771564452.07668102</v>
      </c>
      <c r="D1767" s="413" t="s">
        <v>7948</v>
      </c>
      <c r="E1767" s="413" t="s">
        <v>7949</v>
      </c>
    </row>
    <row r="1768" spans="1:5">
      <c r="A1768" s="413">
        <v>580684752</v>
      </c>
      <c r="B1768" s="413">
        <v>771650836.07764995</v>
      </c>
      <c r="D1768" s="413" t="s">
        <v>7950</v>
      </c>
      <c r="E1768" s="413" t="s">
        <v>7951</v>
      </c>
    </row>
    <row r="1769" spans="1:5">
      <c r="A1769" s="413">
        <v>580771152</v>
      </c>
      <c r="B1769" s="413">
        <v>771737236.07861304</v>
      </c>
      <c r="D1769" s="413" t="s">
        <v>7952</v>
      </c>
      <c r="E1769" s="413" t="s">
        <v>7953</v>
      </c>
    </row>
    <row r="1770" spans="1:5">
      <c r="A1770" s="413">
        <v>580846871</v>
      </c>
      <c r="B1770" s="413">
        <v>771812955.079494</v>
      </c>
      <c r="D1770" s="413" t="s">
        <v>7954</v>
      </c>
      <c r="E1770" s="413" t="s">
        <v>7955</v>
      </c>
    </row>
    <row r="1771" spans="1:5">
      <c r="A1771" s="413">
        <v>580936788</v>
      </c>
      <c r="B1771" s="413">
        <v>771902872.08050203</v>
      </c>
      <c r="D1771" s="413" t="s">
        <v>7956</v>
      </c>
      <c r="E1771" s="413" t="s">
        <v>7957</v>
      </c>
    </row>
    <row r="1772" spans="1:5">
      <c r="A1772" s="413">
        <v>580979928</v>
      </c>
      <c r="B1772" s="413">
        <v>771946012.08097398</v>
      </c>
      <c r="D1772" s="413" t="s">
        <v>7958</v>
      </c>
      <c r="E1772" s="413" t="s">
        <v>7959</v>
      </c>
    </row>
    <row r="1773" spans="1:5">
      <c r="A1773" s="413">
        <v>581098727</v>
      </c>
      <c r="B1773" s="413">
        <v>772064811.08232498</v>
      </c>
      <c r="D1773" s="413" t="s">
        <v>7960</v>
      </c>
      <c r="E1773" s="413" t="s">
        <v>7961</v>
      </c>
    </row>
    <row r="1774" spans="1:5">
      <c r="A1774" s="413">
        <v>581156326</v>
      </c>
      <c r="B1774" s="413">
        <v>772122410.08294797</v>
      </c>
      <c r="D1774" s="413" t="s">
        <v>7962</v>
      </c>
      <c r="E1774" s="413" t="s">
        <v>7963</v>
      </c>
    </row>
    <row r="1775" spans="1:5">
      <c r="A1775" s="413">
        <v>581289542</v>
      </c>
      <c r="B1775" s="413">
        <v>772255626.08443201</v>
      </c>
      <c r="D1775" s="413" t="s">
        <v>7964</v>
      </c>
      <c r="E1775" s="413" t="s">
        <v>7965</v>
      </c>
    </row>
    <row r="1776" spans="1:5">
      <c r="A1776" s="413">
        <v>581350724</v>
      </c>
      <c r="B1776" s="413">
        <v>772316808.08513904</v>
      </c>
      <c r="D1776" s="413" t="s">
        <v>7966</v>
      </c>
      <c r="E1776" s="413" t="s">
        <v>7967</v>
      </c>
    </row>
    <row r="1777" spans="1:5">
      <c r="A1777" s="413">
        <v>581437123</v>
      </c>
      <c r="B1777" s="413">
        <v>772403207.08610404</v>
      </c>
      <c r="D1777" s="413" t="s">
        <v>7968</v>
      </c>
      <c r="E1777" s="413" t="s">
        <v>7969</v>
      </c>
    </row>
    <row r="1778" spans="1:5">
      <c r="A1778" s="413">
        <v>581548737</v>
      </c>
      <c r="B1778" s="413">
        <v>772514821.08569396</v>
      </c>
      <c r="D1778" s="413" t="s">
        <v>7970</v>
      </c>
      <c r="E1778" s="413" t="s">
        <v>7971</v>
      </c>
    </row>
    <row r="1779" spans="1:5">
      <c r="A1779" s="413">
        <v>581635139</v>
      </c>
      <c r="B1779" s="413">
        <v>772601223.08665001</v>
      </c>
      <c r="D1779" s="413" t="s">
        <v>7972</v>
      </c>
      <c r="E1779" s="413" t="s">
        <v>7973</v>
      </c>
    </row>
    <row r="1780" spans="1:5">
      <c r="A1780" s="413">
        <v>581721538</v>
      </c>
      <c r="B1780" s="413">
        <v>772687622.08762705</v>
      </c>
      <c r="D1780" s="413" t="s">
        <v>7974</v>
      </c>
      <c r="E1780" s="413" t="s">
        <v>7975</v>
      </c>
    </row>
    <row r="1781" spans="1:5">
      <c r="A1781" s="413">
        <v>581735931</v>
      </c>
      <c r="B1781" s="413">
        <v>772702015.08781195</v>
      </c>
      <c r="D1781" s="413" t="s">
        <v>7976</v>
      </c>
      <c r="E1781" s="413" t="s">
        <v>7977</v>
      </c>
    </row>
    <row r="1782" spans="1:5">
      <c r="A1782" s="413">
        <v>581895231</v>
      </c>
      <c r="B1782" s="413">
        <v>772861315.08956504</v>
      </c>
      <c r="D1782" s="413" t="s">
        <v>7978</v>
      </c>
      <c r="E1782" s="413" t="s">
        <v>7979</v>
      </c>
    </row>
    <row r="1783" spans="1:5">
      <c r="A1783" s="413">
        <v>581980723</v>
      </c>
      <c r="B1783" s="413">
        <v>772946807.090518</v>
      </c>
      <c r="D1783" s="413" t="s">
        <v>7980</v>
      </c>
      <c r="E1783" s="413" t="s">
        <v>7981</v>
      </c>
    </row>
    <row r="1784" spans="1:5">
      <c r="A1784" s="413">
        <v>582045504</v>
      </c>
      <c r="B1784" s="413">
        <v>773011588.09127402</v>
      </c>
      <c r="D1784" s="413" t="s">
        <v>7982</v>
      </c>
      <c r="E1784" s="413" t="s">
        <v>7983</v>
      </c>
    </row>
    <row r="1785" spans="1:5">
      <c r="A1785" s="413">
        <v>582153519</v>
      </c>
      <c r="B1785" s="413">
        <v>773119603.092466</v>
      </c>
      <c r="D1785" s="413" t="s">
        <v>7984</v>
      </c>
      <c r="E1785" s="413" t="s">
        <v>7985</v>
      </c>
    </row>
    <row r="1786" spans="1:5">
      <c r="A1786" s="413">
        <v>582239944</v>
      </c>
      <c r="B1786" s="413">
        <v>773206028.09342504</v>
      </c>
      <c r="D1786" s="413" t="s">
        <v>7986</v>
      </c>
      <c r="E1786" s="413" t="s">
        <v>7987</v>
      </c>
    </row>
    <row r="1787" spans="1:5">
      <c r="A1787" s="413">
        <v>582326317</v>
      </c>
      <c r="B1787" s="413">
        <v>773292401.09438097</v>
      </c>
      <c r="D1787" s="413" t="s">
        <v>7988</v>
      </c>
      <c r="E1787" s="413" t="s">
        <v>7989</v>
      </c>
    </row>
    <row r="1788" spans="1:5">
      <c r="A1788" s="413">
        <v>582455926</v>
      </c>
      <c r="B1788" s="413">
        <v>773422010.09586799</v>
      </c>
      <c r="D1788" s="413" t="s">
        <v>7990</v>
      </c>
      <c r="E1788" s="413" t="s">
        <v>7991</v>
      </c>
    </row>
    <row r="1789" spans="1:5">
      <c r="A1789" s="413">
        <v>582538697</v>
      </c>
      <c r="B1789" s="413">
        <v>773504781.09677505</v>
      </c>
      <c r="D1789" s="413" t="s">
        <v>7992</v>
      </c>
      <c r="E1789" s="413" t="s">
        <v>7993</v>
      </c>
    </row>
    <row r="1790" spans="1:5">
      <c r="A1790" s="413">
        <v>582628727</v>
      </c>
      <c r="B1790" s="413">
        <v>773594811.09778404</v>
      </c>
      <c r="D1790" s="413" t="s">
        <v>7994</v>
      </c>
      <c r="E1790" s="413" t="s">
        <v>7995</v>
      </c>
    </row>
    <row r="1791" spans="1:5">
      <c r="A1791" s="413">
        <v>582711493</v>
      </c>
      <c r="B1791" s="413">
        <v>773677577.09871197</v>
      </c>
      <c r="D1791" s="413" t="s">
        <v>7996</v>
      </c>
      <c r="E1791" s="413" t="s">
        <v>7997</v>
      </c>
    </row>
    <row r="1792" spans="1:5">
      <c r="A1792" s="413">
        <v>582844698</v>
      </c>
      <c r="B1792" s="413">
        <v>773810782.10017705</v>
      </c>
      <c r="D1792" s="413" t="s">
        <v>7998</v>
      </c>
      <c r="E1792" s="413" t="s">
        <v>7999</v>
      </c>
    </row>
    <row r="1793" spans="1:5">
      <c r="A1793" s="413">
        <v>582931089</v>
      </c>
      <c r="B1793" s="413">
        <v>773897173.10114896</v>
      </c>
      <c r="D1793" s="413" t="s">
        <v>8000</v>
      </c>
      <c r="E1793" s="413" t="s">
        <v>8001</v>
      </c>
    </row>
    <row r="1794" spans="1:5">
      <c r="A1794" s="413">
        <v>583018084</v>
      </c>
      <c r="B1794" s="413">
        <v>773984168.10212398</v>
      </c>
      <c r="D1794" s="413" t="s">
        <v>8002</v>
      </c>
      <c r="E1794" s="413" t="s">
        <v>8003</v>
      </c>
    </row>
    <row r="1795" spans="1:5">
      <c r="A1795" s="413">
        <v>583103883</v>
      </c>
      <c r="B1795" s="413">
        <v>774069967.10307705</v>
      </c>
      <c r="D1795" s="413" t="s">
        <v>8004</v>
      </c>
      <c r="E1795" s="413" t="s">
        <v>8005</v>
      </c>
    </row>
    <row r="1796" spans="1:5">
      <c r="A1796" s="413">
        <v>583190278</v>
      </c>
      <c r="B1796" s="413">
        <v>774156362.10405099</v>
      </c>
      <c r="D1796" s="413" t="s">
        <v>8006</v>
      </c>
      <c r="E1796" s="413" t="s">
        <v>8007</v>
      </c>
    </row>
    <row r="1797" spans="1:5">
      <c r="A1797" s="413">
        <v>583276678</v>
      </c>
      <c r="B1797" s="413">
        <v>774242762.10500896</v>
      </c>
      <c r="D1797" s="413" t="s">
        <v>8008</v>
      </c>
      <c r="E1797" s="413" t="s">
        <v>8009</v>
      </c>
    </row>
    <row r="1798" spans="1:5">
      <c r="A1798" s="413">
        <v>583363065</v>
      </c>
      <c r="B1798" s="413">
        <v>774329149.10598099</v>
      </c>
      <c r="D1798" s="413" t="s">
        <v>8010</v>
      </c>
      <c r="E1798" s="413" t="s">
        <v>8011</v>
      </c>
    </row>
    <row r="1799" spans="1:5">
      <c r="A1799" s="413">
        <v>583449463</v>
      </c>
      <c r="B1799" s="413">
        <v>774415547.10694695</v>
      </c>
      <c r="D1799" s="413" t="s">
        <v>8012</v>
      </c>
      <c r="E1799" s="413" t="s">
        <v>8013</v>
      </c>
    </row>
    <row r="1800" spans="1:5">
      <c r="A1800" s="413">
        <v>583535858</v>
      </c>
      <c r="B1800" s="413">
        <v>774501942.107903</v>
      </c>
      <c r="D1800" s="413" t="s">
        <v>8014</v>
      </c>
      <c r="E1800" s="413" t="s">
        <v>8015</v>
      </c>
    </row>
    <row r="1801" spans="1:5">
      <c r="A1801" s="413">
        <v>583622250</v>
      </c>
      <c r="B1801" s="413">
        <v>774588334.10887599</v>
      </c>
      <c r="D1801" s="413" t="s">
        <v>8016</v>
      </c>
      <c r="E1801" s="413" t="s">
        <v>8017</v>
      </c>
    </row>
    <row r="1802" spans="1:5">
      <c r="A1802" s="413">
        <v>583708649</v>
      </c>
      <c r="B1802" s="413">
        <v>774674733.10983503</v>
      </c>
      <c r="D1802" s="413" t="s">
        <v>8018</v>
      </c>
      <c r="E1802" s="413" t="s">
        <v>8019</v>
      </c>
    </row>
    <row r="1803" spans="1:5">
      <c r="A1803" s="413">
        <v>583795041</v>
      </c>
      <c r="B1803" s="413">
        <v>774761125.11081195</v>
      </c>
      <c r="D1803" s="413" t="s">
        <v>8020</v>
      </c>
      <c r="E1803" s="413" t="s">
        <v>8021</v>
      </c>
    </row>
    <row r="1804" spans="1:5">
      <c r="A1804" s="413">
        <v>583856218</v>
      </c>
      <c r="B1804" s="413">
        <v>774822302.11149597</v>
      </c>
      <c r="D1804" s="413" t="s">
        <v>8022</v>
      </c>
      <c r="E1804" s="413" t="s">
        <v>8023</v>
      </c>
    </row>
    <row r="1805" spans="1:5">
      <c r="A1805" s="413">
        <v>583967829</v>
      </c>
      <c r="B1805" s="413">
        <v>774933913.11274397</v>
      </c>
      <c r="D1805" s="413" t="s">
        <v>8024</v>
      </c>
      <c r="E1805" s="413" t="s">
        <v>8025</v>
      </c>
    </row>
    <row r="1806" spans="1:5">
      <c r="A1806" s="413">
        <v>584003809</v>
      </c>
      <c r="B1806" s="413">
        <v>774969893.11310899</v>
      </c>
      <c r="D1806" s="413" t="s">
        <v>8026</v>
      </c>
      <c r="E1806" s="413" t="s">
        <v>8027</v>
      </c>
    </row>
    <row r="1807" spans="1:5">
      <c r="A1807" s="413">
        <v>584115407</v>
      </c>
      <c r="B1807" s="413">
        <v>775081491.11439705</v>
      </c>
      <c r="D1807" s="413" t="s">
        <v>8028</v>
      </c>
      <c r="E1807" s="413" t="s">
        <v>8029</v>
      </c>
    </row>
    <row r="1808" spans="1:5">
      <c r="A1808" s="413">
        <v>584227012</v>
      </c>
      <c r="B1808" s="413">
        <v>775193096.11563694</v>
      </c>
      <c r="D1808" s="413" t="s">
        <v>8030</v>
      </c>
      <c r="E1808" s="413" t="s">
        <v>8031</v>
      </c>
    </row>
    <row r="1809" spans="1:5">
      <c r="A1809" s="413">
        <v>584313412</v>
      </c>
      <c r="B1809" s="413">
        <v>775279496.11659098</v>
      </c>
      <c r="D1809" s="413" t="s">
        <v>8032</v>
      </c>
      <c r="E1809" s="413" t="s">
        <v>8033</v>
      </c>
    </row>
    <row r="1810" spans="1:5">
      <c r="A1810" s="413">
        <v>584399804</v>
      </c>
      <c r="B1810" s="413">
        <v>775365888.11755097</v>
      </c>
      <c r="D1810" s="413" t="s">
        <v>8034</v>
      </c>
      <c r="E1810" s="413" t="s">
        <v>8035</v>
      </c>
    </row>
    <row r="1811" spans="1:5">
      <c r="A1811" s="413">
        <v>584486197</v>
      </c>
      <c r="B1811" s="413">
        <v>775452281.11852002</v>
      </c>
      <c r="D1811" s="413" t="s">
        <v>8036</v>
      </c>
      <c r="E1811" s="413" t="s">
        <v>8037</v>
      </c>
    </row>
    <row r="1812" spans="1:5">
      <c r="A1812" s="413">
        <v>584543769</v>
      </c>
      <c r="B1812" s="413">
        <v>775509853.11917996</v>
      </c>
      <c r="D1812" s="413" t="s">
        <v>8038</v>
      </c>
      <c r="E1812" s="413" t="s">
        <v>8039</v>
      </c>
    </row>
    <row r="1813" spans="1:5">
      <c r="A1813" s="413">
        <v>584619407</v>
      </c>
      <c r="B1813" s="413">
        <v>775585491.12000096</v>
      </c>
      <c r="D1813" s="413" t="s">
        <v>8040</v>
      </c>
      <c r="E1813" s="413" t="s">
        <v>8041</v>
      </c>
    </row>
    <row r="1814" spans="1:5">
      <c r="A1814" s="413">
        <v>584712995</v>
      </c>
      <c r="B1814" s="413">
        <v>775679079.12105203</v>
      </c>
      <c r="D1814" s="413" t="s">
        <v>8042</v>
      </c>
      <c r="E1814" s="413" t="s">
        <v>8043</v>
      </c>
    </row>
    <row r="1815" spans="1:5">
      <c r="A1815" s="413">
        <v>584831771</v>
      </c>
      <c r="B1815" s="413">
        <v>775797855.12237501</v>
      </c>
      <c r="D1815" s="413" t="s">
        <v>8044</v>
      </c>
      <c r="E1815" s="413" t="s">
        <v>8045</v>
      </c>
    </row>
    <row r="1816" spans="1:5">
      <c r="A1816" s="413">
        <v>584918165</v>
      </c>
      <c r="B1816" s="413">
        <v>775884249.12334204</v>
      </c>
      <c r="D1816" s="413" t="s">
        <v>8046</v>
      </c>
      <c r="E1816" s="413" t="s">
        <v>8047</v>
      </c>
    </row>
    <row r="1817" spans="1:5">
      <c r="A1817" s="413">
        <v>585004555</v>
      </c>
      <c r="B1817" s="413">
        <v>775970639.12429702</v>
      </c>
      <c r="D1817" s="413" t="s">
        <v>8048</v>
      </c>
      <c r="E1817" s="413" t="s">
        <v>8049</v>
      </c>
    </row>
    <row r="1818" spans="1:5">
      <c r="A1818" s="413">
        <v>585090944</v>
      </c>
      <c r="B1818" s="413">
        <v>776057028.12525105</v>
      </c>
      <c r="D1818" s="413" t="s">
        <v>8050</v>
      </c>
      <c r="E1818" s="413" t="s">
        <v>8051</v>
      </c>
    </row>
    <row r="1819" spans="1:5">
      <c r="A1819" s="413">
        <v>585177343</v>
      </c>
      <c r="B1819" s="413">
        <v>776143427.12622905</v>
      </c>
      <c r="D1819" s="413" t="s">
        <v>8052</v>
      </c>
      <c r="E1819" s="413" t="s">
        <v>8053</v>
      </c>
    </row>
    <row r="1820" spans="1:5">
      <c r="A1820" s="413">
        <v>585263731</v>
      </c>
      <c r="B1820" s="413">
        <v>776229815.12717295</v>
      </c>
      <c r="D1820" s="413" t="s">
        <v>8054</v>
      </c>
      <c r="E1820" s="413" t="s">
        <v>8055</v>
      </c>
    </row>
    <row r="1821" spans="1:5">
      <c r="A1821" s="413">
        <v>585328536</v>
      </c>
      <c r="B1821" s="413">
        <v>776294620.127918</v>
      </c>
      <c r="D1821" s="413" t="s">
        <v>8056</v>
      </c>
      <c r="E1821" s="413" t="s">
        <v>8057</v>
      </c>
    </row>
    <row r="1822" spans="1:5">
      <c r="A1822" s="413">
        <v>585436514</v>
      </c>
      <c r="B1822" s="413">
        <v>776402598.12909603</v>
      </c>
      <c r="D1822" s="413" t="s">
        <v>8058</v>
      </c>
      <c r="E1822" s="413" t="s">
        <v>8059</v>
      </c>
    </row>
    <row r="1823" spans="1:5">
      <c r="A1823" s="413">
        <v>585522906</v>
      </c>
      <c r="B1823" s="413">
        <v>776488990.13005698</v>
      </c>
      <c r="D1823" s="413" t="s">
        <v>8060</v>
      </c>
      <c r="E1823" s="413" t="s">
        <v>8061</v>
      </c>
    </row>
    <row r="1824" spans="1:5">
      <c r="A1824" s="413">
        <v>585587704</v>
      </c>
      <c r="B1824" s="413">
        <v>776553788.13079202</v>
      </c>
      <c r="D1824" s="413" t="s">
        <v>8062</v>
      </c>
      <c r="E1824" s="413" t="s">
        <v>8063</v>
      </c>
    </row>
    <row r="1825" spans="1:5">
      <c r="A1825" s="413">
        <v>585663269</v>
      </c>
      <c r="B1825" s="413">
        <v>776629353.13163304</v>
      </c>
      <c r="D1825" s="413" t="s">
        <v>8064</v>
      </c>
      <c r="E1825" s="413" t="s">
        <v>8065</v>
      </c>
    </row>
    <row r="1826" spans="1:5">
      <c r="A1826" s="413">
        <v>585756880</v>
      </c>
      <c r="B1826" s="413">
        <v>776722964.13267899</v>
      </c>
      <c r="D1826" s="413" t="s">
        <v>8066</v>
      </c>
      <c r="E1826" s="413" t="s">
        <v>8067</v>
      </c>
    </row>
    <row r="1827" spans="1:5">
      <c r="A1827" s="413">
        <v>585868475</v>
      </c>
      <c r="B1827" s="413">
        <v>776834559.13390601</v>
      </c>
      <c r="D1827" s="413" t="s">
        <v>8068</v>
      </c>
      <c r="E1827" s="413" t="s">
        <v>8069</v>
      </c>
    </row>
    <row r="1828" spans="1:5">
      <c r="A1828" s="413">
        <v>585954865</v>
      </c>
      <c r="B1828" s="413">
        <v>776920949.13485503</v>
      </c>
      <c r="D1828" s="413" t="s">
        <v>8070</v>
      </c>
      <c r="E1828" s="413" t="s">
        <v>8071</v>
      </c>
    </row>
    <row r="1829" spans="1:5">
      <c r="A1829" s="413">
        <v>586041394</v>
      </c>
      <c r="B1829" s="413">
        <v>777007478.13583004</v>
      </c>
      <c r="D1829" s="413" t="s">
        <v>8072</v>
      </c>
      <c r="E1829" s="413" t="s">
        <v>8073</v>
      </c>
    </row>
    <row r="1830" spans="1:5">
      <c r="A1830" s="413">
        <v>586127650</v>
      </c>
      <c r="B1830" s="413">
        <v>777093734.13677394</v>
      </c>
      <c r="D1830" s="413" t="s">
        <v>8074</v>
      </c>
      <c r="E1830" s="413" t="s">
        <v>8075</v>
      </c>
    </row>
    <row r="1831" spans="1:5">
      <c r="A1831" s="413">
        <v>586178018</v>
      </c>
      <c r="B1831" s="413">
        <v>777144102.13733602</v>
      </c>
      <c r="D1831" s="413" t="s">
        <v>8076</v>
      </c>
      <c r="E1831" s="413" t="s">
        <v>8077</v>
      </c>
    </row>
    <row r="1832" spans="1:5">
      <c r="A1832" s="413">
        <v>586300442</v>
      </c>
      <c r="B1832" s="413">
        <v>777266526.13869703</v>
      </c>
      <c r="D1832" s="413" t="s">
        <v>8078</v>
      </c>
      <c r="E1832" s="413" t="s">
        <v>8079</v>
      </c>
    </row>
    <row r="1833" spans="1:5">
      <c r="A1833" s="413">
        <v>586361621</v>
      </c>
      <c r="B1833" s="413">
        <v>777327705.13937998</v>
      </c>
      <c r="D1833" s="413" t="s">
        <v>8080</v>
      </c>
      <c r="E1833" s="413" t="s">
        <v>8081</v>
      </c>
    </row>
    <row r="1834" spans="1:5">
      <c r="A1834" s="413">
        <v>586473220</v>
      </c>
      <c r="B1834" s="413">
        <v>777439304.14061606</v>
      </c>
      <c r="D1834" s="413" t="s">
        <v>8082</v>
      </c>
      <c r="E1834" s="413" t="s">
        <v>8083</v>
      </c>
    </row>
    <row r="1835" spans="1:5">
      <c r="A1835" s="413">
        <v>586559609</v>
      </c>
      <c r="B1835" s="413">
        <v>777525693.14157295</v>
      </c>
      <c r="D1835" s="413" t="s">
        <v>8084</v>
      </c>
      <c r="E1835" s="413" t="s">
        <v>8085</v>
      </c>
    </row>
    <row r="1836" spans="1:5">
      <c r="A1836" s="413">
        <v>586732388</v>
      </c>
      <c r="B1836" s="413">
        <v>777698472.143489</v>
      </c>
      <c r="D1836" s="413" t="s">
        <v>8086</v>
      </c>
      <c r="E1836" s="413" t="s">
        <v>8087</v>
      </c>
    </row>
    <row r="1837" spans="1:5">
      <c r="A1837" s="413">
        <v>586818777</v>
      </c>
      <c r="B1837" s="413">
        <v>777784861.14443398</v>
      </c>
      <c r="D1837" s="413" t="s">
        <v>8088</v>
      </c>
      <c r="E1837" s="413" t="s">
        <v>8089</v>
      </c>
    </row>
    <row r="1838" spans="1:5">
      <c r="A1838" s="413">
        <v>586905167</v>
      </c>
      <c r="B1838" s="413">
        <v>777871251.14539397</v>
      </c>
      <c r="D1838" s="413" t="s">
        <v>8090</v>
      </c>
      <c r="E1838" s="413" t="s">
        <v>8091</v>
      </c>
    </row>
    <row r="1839" spans="1:5">
      <c r="A1839" s="413">
        <v>586991556</v>
      </c>
      <c r="B1839" s="413">
        <v>777957640.14635599</v>
      </c>
      <c r="D1839" s="413" t="s">
        <v>8092</v>
      </c>
      <c r="E1839" s="413" t="s">
        <v>8093</v>
      </c>
    </row>
    <row r="1840" spans="1:5">
      <c r="A1840" s="413">
        <v>587077945</v>
      </c>
      <c r="B1840" s="413">
        <v>778044029.14730203</v>
      </c>
      <c r="D1840" s="413" t="s">
        <v>8094</v>
      </c>
      <c r="E1840" s="413" t="s">
        <v>8095</v>
      </c>
    </row>
    <row r="1841" spans="1:5">
      <c r="A1841" s="413">
        <v>587131912</v>
      </c>
      <c r="B1841" s="413">
        <v>778097996.14790201</v>
      </c>
      <c r="D1841" s="413" t="s">
        <v>8096</v>
      </c>
      <c r="E1841" s="413" t="s">
        <v>8097</v>
      </c>
    </row>
    <row r="1842" spans="1:5">
      <c r="A1842" s="413">
        <v>587239913</v>
      </c>
      <c r="B1842" s="413">
        <v>778205997.14908004</v>
      </c>
      <c r="D1842" s="413" t="s">
        <v>8098</v>
      </c>
      <c r="E1842" s="413" t="s">
        <v>8099</v>
      </c>
    </row>
    <row r="1843" spans="1:5">
      <c r="A1843" s="413">
        <v>587337123</v>
      </c>
      <c r="B1843" s="413">
        <v>778303207.15016997</v>
      </c>
      <c r="D1843" s="413" t="s">
        <v>8100</v>
      </c>
      <c r="E1843" s="413" t="s">
        <v>8101</v>
      </c>
    </row>
    <row r="1844" spans="1:5">
      <c r="A1844" s="413">
        <v>587423545</v>
      </c>
      <c r="B1844" s="413">
        <v>778389629.15111494</v>
      </c>
      <c r="D1844" s="413" t="s">
        <v>8102</v>
      </c>
      <c r="E1844" s="413" t="s">
        <v>8103</v>
      </c>
    </row>
    <row r="1845" spans="1:5">
      <c r="A1845" s="413">
        <v>587509906</v>
      </c>
      <c r="B1845" s="413">
        <v>778475990.15207601</v>
      </c>
      <c r="D1845" s="413" t="s">
        <v>8104</v>
      </c>
      <c r="E1845" s="413" t="s">
        <v>8105</v>
      </c>
    </row>
    <row r="1846" spans="1:5">
      <c r="A1846" s="413">
        <v>587567493</v>
      </c>
      <c r="B1846" s="413">
        <v>778533577.15271699</v>
      </c>
      <c r="D1846" s="413" t="s">
        <v>8106</v>
      </c>
      <c r="E1846" s="413" t="s">
        <v>8107</v>
      </c>
    </row>
    <row r="1847" spans="1:5">
      <c r="A1847" s="413">
        <v>587682688</v>
      </c>
      <c r="B1847" s="413">
        <v>778648772.15397704</v>
      </c>
      <c r="D1847" s="413" t="s">
        <v>8108</v>
      </c>
      <c r="E1847" s="413" t="s">
        <v>8109</v>
      </c>
    </row>
    <row r="1848" spans="1:5">
      <c r="A1848" s="413">
        <v>587765460</v>
      </c>
      <c r="B1848" s="413">
        <v>778731544.15487099</v>
      </c>
      <c r="D1848" s="413" t="s">
        <v>8110</v>
      </c>
      <c r="E1848" s="413" t="s">
        <v>8111</v>
      </c>
    </row>
    <row r="1849" spans="1:5">
      <c r="A1849" s="413">
        <v>587819429</v>
      </c>
      <c r="B1849" s="413">
        <v>778785513.15546894</v>
      </c>
      <c r="D1849" s="413" t="s">
        <v>8112</v>
      </c>
      <c r="E1849" s="413" t="s">
        <v>8113</v>
      </c>
    </row>
    <row r="1850" spans="1:5">
      <c r="A1850" s="413">
        <v>587941876</v>
      </c>
      <c r="B1850" s="413">
        <v>778907960.15681696</v>
      </c>
      <c r="D1850" s="413" t="s">
        <v>8114</v>
      </c>
      <c r="E1850" s="413" t="s">
        <v>8115</v>
      </c>
    </row>
    <row r="1851" spans="1:5">
      <c r="A1851" s="413">
        <v>587995812</v>
      </c>
      <c r="B1851" s="413">
        <v>778961896.157426</v>
      </c>
      <c r="D1851" s="413" t="s">
        <v>8116</v>
      </c>
      <c r="E1851" s="413" t="s">
        <v>8117</v>
      </c>
    </row>
    <row r="1852" spans="1:5">
      <c r="A1852" s="413">
        <v>588114642</v>
      </c>
      <c r="B1852" s="413">
        <v>779080726.15873003</v>
      </c>
      <c r="D1852" s="413" t="s">
        <v>8118</v>
      </c>
      <c r="E1852" s="413" t="s">
        <v>8119</v>
      </c>
    </row>
    <row r="1853" spans="1:5">
      <c r="A1853" s="413">
        <v>588172239</v>
      </c>
      <c r="B1853" s="413">
        <v>779138323.159361</v>
      </c>
      <c r="D1853" s="413" t="s">
        <v>8120</v>
      </c>
      <c r="E1853" s="413" t="s">
        <v>8121</v>
      </c>
    </row>
    <row r="1854" spans="1:5">
      <c r="A1854" s="413">
        <v>588218974</v>
      </c>
      <c r="B1854" s="413">
        <v>779185058.15985596</v>
      </c>
      <c r="D1854" s="413" t="s">
        <v>8122</v>
      </c>
      <c r="E1854" s="413" t="s">
        <v>8123</v>
      </c>
    </row>
    <row r="1855" spans="1:5">
      <c r="A1855" s="413">
        <v>588316162</v>
      </c>
      <c r="B1855" s="413">
        <v>779282246.16090798</v>
      </c>
      <c r="D1855" s="413" t="s">
        <v>8124</v>
      </c>
      <c r="E1855" s="413" t="s">
        <v>8125</v>
      </c>
    </row>
    <row r="1856" spans="1:5">
      <c r="A1856" s="413">
        <v>588398973</v>
      </c>
      <c r="B1856" s="413">
        <v>779365057.16183698</v>
      </c>
      <c r="D1856" s="413" t="s">
        <v>8126</v>
      </c>
      <c r="E1856" s="413" t="s">
        <v>8127</v>
      </c>
    </row>
    <row r="1857" spans="1:5">
      <c r="A1857" s="413">
        <v>588547526</v>
      </c>
      <c r="B1857" s="413">
        <v>779513610.16344404</v>
      </c>
      <c r="D1857" s="413" t="s">
        <v>8128</v>
      </c>
      <c r="E1857" s="413" t="s">
        <v>8129</v>
      </c>
    </row>
    <row r="1858" spans="1:5">
      <c r="A1858" s="413">
        <v>588632987</v>
      </c>
      <c r="B1858" s="413">
        <v>779599071.16436505</v>
      </c>
      <c r="D1858" s="413" t="s">
        <v>8130</v>
      </c>
      <c r="E1858" s="413" t="s">
        <v>8131</v>
      </c>
    </row>
    <row r="1859" spans="1:5">
      <c r="A1859" s="413">
        <v>588686932</v>
      </c>
      <c r="B1859" s="413">
        <v>779653016.165007</v>
      </c>
      <c r="D1859" s="413" t="s">
        <v>8132</v>
      </c>
      <c r="E1859" s="413" t="s">
        <v>8133</v>
      </c>
    </row>
    <row r="1860" spans="1:5">
      <c r="A1860" s="413">
        <v>588758900</v>
      </c>
      <c r="B1860" s="413">
        <v>779724984.16576898</v>
      </c>
      <c r="D1860" s="413" t="s">
        <v>8134</v>
      </c>
      <c r="E1860" s="413" t="s">
        <v>8135</v>
      </c>
    </row>
    <row r="1861" spans="1:5">
      <c r="A1861" s="413">
        <v>588845285</v>
      </c>
      <c r="B1861" s="413">
        <v>779811369.16671705</v>
      </c>
      <c r="D1861" s="413" t="s">
        <v>8136</v>
      </c>
      <c r="E1861" s="413" t="s">
        <v>8137</v>
      </c>
    </row>
    <row r="1862" spans="1:5">
      <c r="A1862" s="413">
        <v>588946090</v>
      </c>
      <c r="B1862" s="413">
        <v>779912174.16784501</v>
      </c>
      <c r="D1862" s="413" t="s">
        <v>8138</v>
      </c>
      <c r="E1862" s="413" t="s">
        <v>8139</v>
      </c>
    </row>
    <row r="1863" spans="1:5">
      <c r="A1863" s="413">
        <v>589003718</v>
      </c>
      <c r="B1863" s="413">
        <v>779969802.168468</v>
      </c>
      <c r="D1863" s="413" t="s">
        <v>8140</v>
      </c>
      <c r="E1863" s="413" t="s">
        <v>8141</v>
      </c>
    </row>
    <row r="1864" spans="1:5">
      <c r="A1864" s="413">
        <v>589144206</v>
      </c>
      <c r="B1864" s="413">
        <v>780110290.17003</v>
      </c>
      <c r="D1864" s="413" t="s">
        <v>8142</v>
      </c>
      <c r="E1864" s="413" t="s">
        <v>8143</v>
      </c>
    </row>
    <row r="1865" spans="1:5">
      <c r="A1865" s="413">
        <v>589237706</v>
      </c>
      <c r="B1865" s="413">
        <v>780203790.17098403</v>
      </c>
      <c r="D1865" s="413" t="s">
        <v>8144</v>
      </c>
      <c r="E1865" s="413" t="s">
        <v>8145</v>
      </c>
    </row>
    <row r="1866" spans="1:5">
      <c r="A1866" s="413">
        <v>589288037</v>
      </c>
      <c r="B1866" s="413">
        <v>780254121.17156398</v>
      </c>
      <c r="D1866" s="413" t="s">
        <v>8146</v>
      </c>
      <c r="E1866" s="413" t="s">
        <v>8147</v>
      </c>
    </row>
    <row r="1867" spans="1:5">
      <c r="A1867" s="413">
        <v>589410481</v>
      </c>
      <c r="B1867" s="413">
        <v>780376565.172876</v>
      </c>
      <c r="D1867" s="413" t="s">
        <v>8148</v>
      </c>
      <c r="E1867" s="413" t="s">
        <v>8149</v>
      </c>
    </row>
    <row r="1868" spans="1:5">
      <c r="A1868" s="413">
        <v>589464454</v>
      </c>
      <c r="B1868" s="413">
        <v>780430538.17349398</v>
      </c>
      <c r="D1868" s="413" t="s">
        <v>8150</v>
      </c>
      <c r="E1868" s="413" t="s">
        <v>8151</v>
      </c>
    </row>
    <row r="1869" spans="1:5">
      <c r="A1869" s="413">
        <v>589584137</v>
      </c>
      <c r="B1869" s="413">
        <v>780550221.17476499</v>
      </c>
      <c r="D1869" s="413" t="s">
        <v>8152</v>
      </c>
      <c r="E1869" s="413" t="s">
        <v>8153</v>
      </c>
    </row>
    <row r="1870" spans="1:5">
      <c r="A1870" s="413">
        <v>589622782</v>
      </c>
      <c r="B1870" s="413">
        <v>780588866.17521</v>
      </c>
      <c r="D1870" s="413" t="s">
        <v>8154</v>
      </c>
      <c r="E1870" s="413" t="s">
        <v>8155</v>
      </c>
    </row>
    <row r="1871" spans="1:5">
      <c r="A1871" s="413">
        <v>589691184</v>
      </c>
      <c r="B1871" s="413">
        <v>780657268.17595303</v>
      </c>
      <c r="D1871" s="413" t="s">
        <v>8156</v>
      </c>
      <c r="E1871" s="413" t="s">
        <v>8157</v>
      </c>
    </row>
    <row r="1872" spans="1:5">
      <c r="A1872" s="413">
        <v>589838924</v>
      </c>
      <c r="B1872" s="413">
        <v>780805008.17754304</v>
      </c>
      <c r="D1872" s="413" t="s">
        <v>8158</v>
      </c>
      <c r="E1872" s="413" t="s">
        <v>8159</v>
      </c>
    </row>
    <row r="1873" spans="1:5">
      <c r="A1873" s="413">
        <v>589896389</v>
      </c>
      <c r="B1873" s="413">
        <v>780862473.17819405</v>
      </c>
      <c r="D1873" s="413" t="s">
        <v>8160</v>
      </c>
      <c r="E1873" s="413" t="s">
        <v>8161</v>
      </c>
    </row>
    <row r="1874" spans="1:5">
      <c r="A1874" s="413">
        <v>590008091</v>
      </c>
      <c r="B1874" s="413">
        <v>780974175.17941701</v>
      </c>
      <c r="D1874" s="413" t="s">
        <v>8162</v>
      </c>
      <c r="E1874" s="413" t="s">
        <v>8163</v>
      </c>
    </row>
    <row r="1875" spans="1:5">
      <c r="A1875" s="413">
        <v>590069175</v>
      </c>
      <c r="B1875" s="413">
        <v>781035259.18006396</v>
      </c>
      <c r="D1875" s="413" t="s">
        <v>8164</v>
      </c>
      <c r="E1875" s="413" t="s">
        <v>8165</v>
      </c>
    </row>
    <row r="1876" spans="1:5">
      <c r="A1876" s="413">
        <v>590155558</v>
      </c>
      <c r="B1876" s="413">
        <v>781121642.18100095</v>
      </c>
      <c r="D1876" s="413" t="s">
        <v>8166</v>
      </c>
      <c r="E1876" s="413" t="s">
        <v>8167</v>
      </c>
    </row>
    <row r="1877" spans="1:5">
      <c r="A1877" s="413">
        <v>590227534</v>
      </c>
      <c r="B1877" s="413">
        <v>781193618.18178797</v>
      </c>
      <c r="D1877" s="413" t="s">
        <v>8168</v>
      </c>
      <c r="E1877" s="413" t="s">
        <v>8169</v>
      </c>
    </row>
    <row r="1878" spans="1:5">
      <c r="A1878" s="413">
        <v>605912033</v>
      </c>
      <c r="B1878" s="413">
        <v>796878117.34774399</v>
      </c>
      <c r="D1878" s="413" t="s">
        <v>8170</v>
      </c>
      <c r="E1878" s="413" t="s">
        <v>8171</v>
      </c>
    </row>
    <row r="1879" spans="1:5">
      <c r="A1879" s="413">
        <v>605998451</v>
      </c>
      <c r="B1879" s="413">
        <v>796964535.34869504</v>
      </c>
      <c r="D1879" s="413" t="s">
        <v>8172</v>
      </c>
      <c r="E1879" s="413" t="s">
        <v>8173</v>
      </c>
    </row>
    <row r="1880" spans="1:5">
      <c r="A1880" s="413">
        <v>606063240</v>
      </c>
      <c r="B1880" s="413">
        <v>797029324.34939694</v>
      </c>
      <c r="D1880" s="413" t="s">
        <v>8174</v>
      </c>
      <c r="E1880" s="413" t="s">
        <v>8175</v>
      </c>
    </row>
    <row r="1881" spans="1:5">
      <c r="A1881" s="413">
        <v>606142443</v>
      </c>
      <c r="B1881" s="413">
        <v>797108527.35021901</v>
      </c>
      <c r="D1881" s="413" t="s">
        <v>8176</v>
      </c>
      <c r="E1881" s="413" t="s">
        <v>8177</v>
      </c>
    </row>
    <row r="1882" spans="1:5">
      <c r="A1882" s="413">
        <v>606254041</v>
      </c>
      <c r="B1882" s="413">
        <v>797220125.35143602</v>
      </c>
      <c r="D1882" s="413" t="s">
        <v>8178</v>
      </c>
      <c r="E1882" s="413" t="s">
        <v>8179</v>
      </c>
    </row>
    <row r="1883" spans="1:5">
      <c r="A1883" s="413">
        <v>606333102</v>
      </c>
      <c r="B1883" s="413">
        <v>797299186.352283</v>
      </c>
      <c r="D1883" s="413" t="s">
        <v>8180</v>
      </c>
      <c r="E1883" s="413" t="s">
        <v>8181</v>
      </c>
    </row>
    <row r="1884" spans="1:5">
      <c r="A1884" s="413">
        <v>606423113</v>
      </c>
      <c r="B1884" s="413">
        <v>797389197.35325205</v>
      </c>
      <c r="D1884" s="413" t="s">
        <v>8182</v>
      </c>
      <c r="E1884" s="413" t="s">
        <v>8183</v>
      </c>
    </row>
    <row r="1885" spans="1:5">
      <c r="A1885" s="413">
        <v>606466350</v>
      </c>
      <c r="B1885" s="413">
        <v>797432434.35372305</v>
      </c>
      <c r="D1885" s="413" t="s">
        <v>8184</v>
      </c>
      <c r="E1885" s="413" t="s">
        <v>8185</v>
      </c>
    </row>
    <row r="1886" spans="1:5">
      <c r="A1886" s="413">
        <v>606595920</v>
      </c>
      <c r="B1886" s="413">
        <v>797562004.35511804</v>
      </c>
      <c r="D1886" s="413" t="s">
        <v>8186</v>
      </c>
      <c r="E1886" s="413" t="s">
        <v>8187</v>
      </c>
    </row>
    <row r="1887" spans="1:5">
      <c r="A1887" s="413">
        <v>606667969</v>
      </c>
      <c r="B1887" s="413">
        <v>797634053.35590994</v>
      </c>
      <c r="D1887" s="413" t="s">
        <v>8188</v>
      </c>
      <c r="E1887" s="413" t="s">
        <v>8189</v>
      </c>
    </row>
    <row r="1888" spans="1:5">
      <c r="A1888" s="413">
        <v>606721938</v>
      </c>
      <c r="B1888" s="413">
        <v>797688022.35647595</v>
      </c>
      <c r="D1888" s="413" t="s">
        <v>8190</v>
      </c>
      <c r="E1888" s="413" t="s">
        <v>8191</v>
      </c>
    </row>
    <row r="1889" spans="1:5">
      <c r="A1889" s="413">
        <v>606912735</v>
      </c>
      <c r="B1889" s="413">
        <v>797878819.35853195</v>
      </c>
      <c r="D1889" s="413" t="s">
        <v>8192</v>
      </c>
      <c r="E1889" s="413" t="s">
        <v>8193</v>
      </c>
    </row>
    <row r="1890" spans="1:5">
      <c r="A1890" s="413">
        <v>607002745</v>
      </c>
      <c r="B1890" s="413">
        <v>797968829.35950506</v>
      </c>
      <c r="D1890" s="413" t="s">
        <v>8194</v>
      </c>
      <c r="E1890" s="413" t="s">
        <v>8195</v>
      </c>
    </row>
    <row r="1891" spans="1:5">
      <c r="A1891" s="413">
        <v>607121560</v>
      </c>
      <c r="B1891" s="413">
        <v>798087644.36081398</v>
      </c>
      <c r="D1891" s="413" t="s">
        <v>8196</v>
      </c>
      <c r="E1891" s="413" t="s">
        <v>8197</v>
      </c>
    </row>
    <row r="1892" spans="1:5">
      <c r="A1892" s="413">
        <v>607179169</v>
      </c>
      <c r="B1892" s="413">
        <v>798145253.36143899</v>
      </c>
      <c r="D1892" s="413" t="s">
        <v>8198</v>
      </c>
      <c r="E1892" s="413" t="s">
        <v>8199</v>
      </c>
    </row>
    <row r="1893" spans="1:5">
      <c r="A1893" s="413">
        <v>607258354</v>
      </c>
      <c r="B1893" s="413">
        <v>798224438.36226904</v>
      </c>
      <c r="D1893" s="413" t="s">
        <v>8200</v>
      </c>
      <c r="E1893" s="413" t="s">
        <v>8201</v>
      </c>
    </row>
    <row r="1894" spans="1:5">
      <c r="A1894" s="413">
        <v>607546372</v>
      </c>
      <c r="B1894" s="413">
        <v>798512456.36541498</v>
      </c>
      <c r="D1894" s="413" t="s">
        <v>8202</v>
      </c>
      <c r="E1894" s="413" t="s">
        <v>8203</v>
      </c>
    </row>
    <row r="1895" spans="1:5">
      <c r="A1895" s="413">
        <v>607611203</v>
      </c>
      <c r="B1895" s="413">
        <v>798577287.36611903</v>
      </c>
      <c r="D1895" s="413" t="s">
        <v>8204</v>
      </c>
      <c r="E1895" s="413" t="s">
        <v>8205</v>
      </c>
    </row>
    <row r="1896" spans="1:5">
      <c r="A1896" s="413">
        <v>607726386</v>
      </c>
      <c r="B1896" s="413">
        <v>798692470.36737895</v>
      </c>
      <c r="D1896" s="413" t="s">
        <v>8206</v>
      </c>
      <c r="E1896" s="413" t="s">
        <v>8207</v>
      </c>
    </row>
    <row r="1897" spans="1:5">
      <c r="A1897" s="413">
        <v>607798385</v>
      </c>
      <c r="B1897" s="413">
        <v>798764469.36812794</v>
      </c>
      <c r="D1897" s="413" t="s">
        <v>8208</v>
      </c>
      <c r="E1897" s="413" t="s">
        <v>8209</v>
      </c>
    </row>
    <row r="1898" spans="1:5">
      <c r="A1898" s="413">
        <v>607863189</v>
      </c>
      <c r="B1898" s="413">
        <v>798829273.36884105</v>
      </c>
      <c r="D1898" s="413" t="s">
        <v>8210</v>
      </c>
      <c r="E1898" s="413" t="s">
        <v>8211</v>
      </c>
    </row>
    <row r="1899" spans="1:5">
      <c r="A1899" s="413">
        <v>608068404</v>
      </c>
      <c r="B1899" s="413">
        <v>799034488.37108696</v>
      </c>
      <c r="D1899" s="413" t="s">
        <v>8212</v>
      </c>
      <c r="E1899" s="413" t="s">
        <v>8213</v>
      </c>
    </row>
    <row r="1900" spans="1:5">
      <c r="A1900" s="413">
        <v>608133247</v>
      </c>
      <c r="B1900" s="413">
        <v>799099331.37179804</v>
      </c>
      <c r="D1900" s="413" t="s">
        <v>8214</v>
      </c>
      <c r="E1900" s="413" t="s">
        <v>8215</v>
      </c>
    </row>
    <row r="1901" spans="1:5">
      <c r="A1901" s="413">
        <v>608219656</v>
      </c>
      <c r="B1901" s="413">
        <v>799185740.37274504</v>
      </c>
      <c r="D1901" s="413" t="s">
        <v>8216</v>
      </c>
      <c r="E1901" s="413" t="s">
        <v>8217</v>
      </c>
    </row>
    <row r="1902" spans="1:5">
      <c r="A1902" s="413">
        <v>608295211</v>
      </c>
      <c r="B1902" s="413">
        <v>799261295.37353897</v>
      </c>
      <c r="D1902" s="413" t="s">
        <v>8218</v>
      </c>
      <c r="E1902" s="413" t="s">
        <v>8219</v>
      </c>
    </row>
    <row r="1903" spans="1:5">
      <c r="A1903" s="413">
        <v>608410413</v>
      </c>
      <c r="B1903" s="413">
        <v>799376497.37480497</v>
      </c>
      <c r="D1903" s="413" t="s">
        <v>8220</v>
      </c>
      <c r="E1903" s="413" t="s">
        <v>8221</v>
      </c>
    </row>
    <row r="1904" spans="1:5">
      <c r="A1904" s="413">
        <v>608504182</v>
      </c>
      <c r="B1904" s="413">
        <v>799470266.37586606</v>
      </c>
      <c r="D1904" s="413" t="s">
        <v>8222</v>
      </c>
      <c r="E1904" s="413" t="s">
        <v>8223</v>
      </c>
    </row>
    <row r="1905" spans="1:5">
      <c r="A1905" s="413">
        <v>608507749</v>
      </c>
      <c r="B1905" s="413">
        <v>799473833.37585294</v>
      </c>
      <c r="D1905" s="413" t="s">
        <v>8224</v>
      </c>
      <c r="E1905" s="413" t="s">
        <v>8225</v>
      </c>
    </row>
    <row r="1906" spans="1:5">
      <c r="A1906" s="413">
        <v>608705671</v>
      </c>
      <c r="B1906" s="413">
        <v>799671755.37803698</v>
      </c>
      <c r="D1906" s="413" t="s">
        <v>8226</v>
      </c>
      <c r="E1906" s="413" t="s">
        <v>8227</v>
      </c>
    </row>
    <row r="1907" spans="1:5">
      <c r="A1907" s="413">
        <v>608846168</v>
      </c>
      <c r="B1907" s="413">
        <v>799812252.37957501</v>
      </c>
      <c r="D1907" s="413" t="s">
        <v>8228</v>
      </c>
      <c r="E1907" s="413" t="s">
        <v>8229</v>
      </c>
    </row>
    <row r="1908" spans="1:5">
      <c r="A1908" s="413">
        <v>608907283</v>
      </c>
      <c r="B1908" s="413">
        <v>799873367.38023996</v>
      </c>
      <c r="D1908" s="413" t="s">
        <v>8230</v>
      </c>
      <c r="E1908" s="413" t="s">
        <v>8231</v>
      </c>
    </row>
    <row r="1909" spans="1:5">
      <c r="A1909" s="413">
        <v>608990056</v>
      </c>
      <c r="B1909" s="413">
        <v>799956140.38113797</v>
      </c>
      <c r="D1909" s="413" t="s">
        <v>8232</v>
      </c>
      <c r="E1909" s="413" t="s">
        <v>8233</v>
      </c>
    </row>
    <row r="1910" spans="1:5">
      <c r="A1910" s="413">
        <v>609137674</v>
      </c>
      <c r="B1910" s="413">
        <v>800103758.38275504</v>
      </c>
      <c r="D1910" s="413" t="s">
        <v>8234</v>
      </c>
      <c r="E1910" s="413" t="s">
        <v>8235</v>
      </c>
    </row>
    <row r="1911" spans="1:5">
      <c r="A1911" s="413">
        <v>609364594</v>
      </c>
      <c r="B1911" s="413">
        <v>800330678.38522696</v>
      </c>
      <c r="D1911" s="413" t="s">
        <v>8236</v>
      </c>
      <c r="E1911" s="413" t="s">
        <v>8237</v>
      </c>
    </row>
    <row r="1912" spans="1:5">
      <c r="A1912" s="413">
        <v>609411252</v>
      </c>
      <c r="B1912" s="413">
        <v>800377336.38574803</v>
      </c>
      <c r="D1912" s="413" t="s">
        <v>8238</v>
      </c>
      <c r="E1912" s="413" t="s">
        <v>8239</v>
      </c>
    </row>
    <row r="1913" spans="1:5">
      <c r="A1913" s="413">
        <v>609508489</v>
      </c>
      <c r="B1913" s="413">
        <v>800474573.38681901</v>
      </c>
      <c r="D1913" s="413" t="s">
        <v>8240</v>
      </c>
      <c r="E1913" s="413" t="s">
        <v>8241</v>
      </c>
    </row>
    <row r="1914" spans="1:5">
      <c r="A1914" s="413">
        <v>609594879</v>
      </c>
      <c r="B1914" s="413">
        <v>800560963.38776398</v>
      </c>
      <c r="D1914" s="413" t="s">
        <v>8242</v>
      </c>
      <c r="E1914" s="413" t="s">
        <v>8243</v>
      </c>
    </row>
    <row r="1915" spans="1:5">
      <c r="A1915" s="413">
        <v>609681331</v>
      </c>
      <c r="B1915" s="413">
        <v>800647415.38871598</v>
      </c>
      <c r="D1915" s="413" t="s">
        <v>8244</v>
      </c>
      <c r="E1915" s="413" t="s">
        <v>8245</v>
      </c>
    </row>
    <row r="1916" spans="1:5">
      <c r="A1916" s="413">
        <v>609915316</v>
      </c>
      <c r="B1916" s="413">
        <v>800881400.391276</v>
      </c>
      <c r="D1916" s="413" t="s">
        <v>8246</v>
      </c>
      <c r="E1916" s="413" t="s">
        <v>8247</v>
      </c>
    </row>
    <row r="1917" spans="1:5">
      <c r="A1917" s="413">
        <v>610026895</v>
      </c>
      <c r="B1917" s="413">
        <v>800992979.39250398</v>
      </c>
      <c r="D1917" s="413" t="s">
        <v>8248</v>
      </c>
      <c r="E1917" s="413" t="s">
        <v>8249</v>
      </c>
    </row>
    <row r="1918" spans="1:5">
      <c r="A1918" s="413">
        <v>610142245</v>
      </c>
      <c r="B1918" s="413">
        <v>801108329.39377403</v>
      </c>
      <c r="D1918" s="413" t="s">
        <v>8250</v>
      </c>
      <c r="E1918" s="413" t="s">
        <v>8251</v>
      </c>
    </row>
    <row r="1919" spans="1:5">
      <c r="A1919" s="413">
        <v>610199736</v>
      </c>
      <c r="B1919" s="413">
        <v>801165820.39441705</v>
      </c>
      <c r="D1919" s="413" t="s">
        <v>8252</v>
      </c>
      <c r="E1919" s="413" t="s">
        <v>8253</v>
      </c>
    </row>
    <row r="1920" spans="1:5">
      <c r="A1920" s="413">
        <v>610257320</v>
      </c>
      <c r="B1920" s="413">
        <v>801223404.39503098</v>
      </c>
      <c r="D1920" s="413" t="s">
        <v>8254</v>
      </c>
      <c r="E1920" s="413" t="s">
        <v>8255</v>
      </c>
    </row>
    <row r="1921" spans="1:5">
      <c r="A1921" s="413">
        <v>610372536</v>
      </c>
      <c r="B1921" s="413">
        <v>801338620.39588404</v>
      </c>
      <c r="D1921" s="413" t="s">
        <v>8256</v>
      </c>
      <c r="E1921" s="413" t="s">
        <v>8257</v>
      </c>
    </row>
    <row r="1922" spans="1:5">
      <c r="A1922" s="413">
        <v>610430121</v>
      </c>
      <c r="B1922" s="413">
        <v>801396205.39693701</v>
      </c>
      <c r="D1922" s="413" t="s">
        <v>8258</v>
      </c>
      <c r="E1922" s="413" t="s">
        <v>8259</v>
      </c>
    </row>
    <row r="1923" spans="1:5">
      <c r="A1923" s="413">
        <v>610570639</v>
      </c>
      <c r="B1923" s="413">
        <v>801536723.39850795</v>
      </c>
      <c r="D1923" s="413" t="s">
        <v>8260</v>
      </c>
      <c r="E1923" s="413" t="s">
        <v>8261</v>
      </c>
    </row>
    <row r="1924" spans="1:5">
      <c r="A1924" s="413">
        <v>610631744</v>
      </c>
      <c r="B1924" s="413">
        <v>801597828.39874995</v>
      </c>
      <c r="D1924" s="413" t="s">
        <v>8262</v>
      </c>
      <c r="E1924" s="413" t="s">
        <v>8263</v>
      </c>
    </row>
    <row r="1925" spans="1:5">
      <c r="A1925" s="413">
        <v>610804544</v>
      </c>
      <c r="B1925" s="413">
        <v>801770628.40104997</v>
      </c>
      <c r="D1925" s="413" t="s">
        <v>8264</v>
      </c>
      <c r="E1925" s="413" t="s">
        <v>8265</v>
      </c>
    </row>
    <row r="1926" spans="1:5">
      <c r="A1926" s="413">
        <v>610862127</v>
      </c>
      <c r="B1926" s="413">
        <v>801828211.40168297</v>
      </c>
      <c r="D1926" s="413" t="s">
        <v>8266</v>
      </c>
      <c r="E1926" s="413" t="s">
        <v>8267</v>
      </c>
    </row>
    <row r="1927" spans="1:5">
      <c r="A1927" s="413">
        <v>611146518</v>
      </c>
      <c r="B1927" s="413">
        <v>802112602.404827</v>
      </c>
      <c r="D1927" s="413" t="s">
        <v>8268</v>
      </c>
      <c r="E1927" s="413" t="s">
        <v>8269</v>
      </c>
    </row>
    <row r="1928" spans="1:5">
      <c r="A1928" s="413">
        <v>611229310</v>
      </c>
      <c r="B1928" s="413">
        <v>802195394.40573895</v>
      </c>
      <c r="D1928" s="413" t="s">
        <v>8270</v>
      </c>
      <c r="E1928" s="413" t="s">
        <v>8271</v>
      </c>
    </row>
    <row r="1929" spans="1:5">
      <c r="A1929" s="413">
        <v>611348237</v>
      </c>
      <c r="B1929" s="413">
        <v>802314321.40702903</v>
      </c>
      <c r="D1929" s="413" t="s">
        <v>8272</v>
      </c>
      <c r="E1929" s="413" t="s">
        <v>8273</v>
      </c>
    </row>
    <row r="1930" spans="1:5">
      <c r="A1930" s="413">
        <v>611463325</v>
      </c>
      <c r="B1930" s="413">
        <v>802429409.40831304</v>
      </c>
      <c r="D1930" s="413" t="s">
        <v>8274</v>
      </c>
      <c r="E1930" s="413" t="s">
        <v>8275</v>
      </c>
    </row>
    <row r="1931" spans="1:5">
      <c r="A1931" s="413">
        <v>611549724</v>
      </c>
      <c r="B1931" s="413">
        <v>802515808.40926898</v>
      </c>
      <c r="D1931" s="413" t="s">
        <v>8276</v>
      </c>
      <c r="E1931" s="413" t="s">
        <v>8277</v>
      </c>
    </row>
    <row r="1932" spans="1:5">
      <c r="A1932" s="413">
        <v>611747719</v>
      </c>
      <c r="B1932" s="413">
        <v>802713803.41144896</v>
      </c>
      <c r="D1932" s="413" t="s">
        <v>8278</v>
      </c>
      <c r="E1932" s="413" t="s">
        <v>8279</v>
      </c>
    </row>
    <row r="1933" spans="1:5">
      <c r="A1933" s="413">
        <v>611874980</v>
      </c>
      <c r="B1933" s="413">
        <v>802841064.41282797</v>
      </c>
      <c r="D1933" s="413" t="s">
        <v>8280</v>
      </c>
      <c r="E1933" s="413" t="s">
        <v>8281</v>
      </c>
    </row>
    <row r="1934" spans="1:5">
      <c r="A1934" s="413">
        <v>611924143</v>
      </c>
      <c r="B1934" s="413">
        <v>802890227.41340196</v>
      </c>
      <c r="D1934" s="413" t="s">
        <v>8282</v>
      </c>
      <c r="E1934" s="413" t="s">
        <v>8283</v>
      </c>
    </row>
    <row r="1935" spans="1:5">
      <c r="A1935" s="413">
        <v>611981748</v>
      </c>
      <c r="B1935" s="413">
        <v>802947832.41404605</v>
      </c>
      <c r="D1935" s="413" t="s">
        <v>8284</v>
      </c>
      <c r="E1935" s="413" t="s">
        <v>8285</v>
      </c>
    </row>
    <row r="1936" spans="1:5">
      <c r="A1936" s="413">
        <v>612096944</v>
      </c>
      <c r="B1936" s="413">
        <v>803063028.41532195</v>
      </c>
      <c r="D1936" s="413" t="s">
        <v>8286</v>
      </c>
      <c r="E1936" s="413" t="s">
        <v>8287</v>
      </c>
    </row>
    <row r="1937" spans="1:5">
      <c r="A1937" s="413">
        <v>612341703</v>
      </c>
      <c r="B1937" s="413">
        <v>803307787.41799498</v>
      </c>
      <c r="D1937" s="413" t="s">
        <v>8288</v>
      </c>
      <c r="E1937" s="413" t="s">
        <v>8289</v>
      </c>
    </row>
    <row r="1938" spans="1:5">
      <c r="A1938" s="413">
        <v>612406494</v>
      </c>
      <c r="B1938" s="413">
        <v>803372578.41871595</v>
      </c>
      <c r="D1938" s="413" t="s">
        <v>8290</v>
      </c>
      <c r="E1938" s="413" t="s">
        <v>8291</v>
      </c>
    </row>
    <row r="1939" spans="1:5">
      <c r="A1939" s="413">
        <v>612525355</v>
      </c>
      <c r="B1939" s="413">
        <v>803491439.42004204</v>
      </c>
      <c r="D1939" s="413" t="s">
        <v>8292</v>
      </c>
      <c r="E1939" s="413" t="s">
        <v>8293</v>
      </c>
    </row>
    <row r="1940" spans="1:5">
      <c r="A1940" s="413">
        <v>612611741</v>
      </c>
      <c r="B1940" s="413">
        <v>803577825.42100406</v>
      </c>
      <c r="D1940" s="413" t="s">
        <v>8294</v>
      </c>
      <c r="E1940" s="413" t="s">
        <v>8295</v>
      </c>
    </row>
    <row r="1941" spans="1:5">
      <c r="A1941" s="413">
        <v>612698146</v>
      </c>
      <c r="B1941" s="413">
        <v>803664230.42194796</v>
      </c>
      <c r="D1941" s="413" t="s">
        <v>8296</v>
      </c>
      <c r="E1941" s="413" t="s">
        <v>8297</v>
      </c>
    </row>
    <row r="1942" spans="1:5">
      <c r="A1942" s="413">
        <v>612957343</v>
      </c>
      <c r="B1942" s="413">
        <v>803923427.424824</v>
      </c>
      <c r="D1942" s="413" t="s">
        <v>8298</v>
      </c>
      <c r="E1942" s="413" t="s">
        <v>8299</v>
      </c>
    </row>
    <row r="1943" spans="1:5">
      <c r="A1943" s="413">
        <v>613014938</v>
      </c>
      <c r="B1943" s="413">
        <v>803981022.42546594</v>
      </c>
      <c r="D1943" s="413" t="s">
        <v>8300</v>
      </c>
      <c r="E1943" s="413" t="s">
        <v>8301</v>
      </c>
    </row>
    <row r="1944" spans="1:5">
      <c r="A1944" s="413">
        <v>613130132</v>
      </c>
      <c r="B1944" s="413">
        <v>804096216.42673004</v>
      </c>
      <c r="D1944" s="413" t="s">
        <v>8302</v>
      </c>
      <c r="E1944" s="413" t="s">
        <v>8303</v>
      </c>
    </row>
    <row r="1945" spans="1:5">
      <c r="A1945" s="413">
        <v>613245459</v>
      </c>
      <c r="B1945" s="413">
        <v>804211543.42802703</v>
      </c>
      <c r="D1945" s="413" t="s">
        <v>8304</v>
      </c>
      <c r="E1945" s="413" t="s">
        <v>8305</v>
      </c>
    </row>
    <row r="1946" spans="1:5">
      <c r="A1946" s="413">
        <v>613302941</v>
      </c>
      <c r="B1946" s="413">
        <v>804269025.42864501</v>
      </c>
      <c r="D1946" s="413" t="s">
        <v>8306</v>
      </c>
      <c r="E1946" s="413" t="s">
        <v>8307</v>
      </c>
    </row>
    <row r="1947" spans="1:5">
      <c r="A1947" s="413">
        <v>613428907</v>
      </c>
      <c r="B1947" s="413">
        <v>804394991.43001103</v>
      </c>
      <c r="D1947" s="413" t="s">
        <v>8308</v>
      </c>
      <c r="E1947" s="413" t="s">
        <v>8309</v>
      </c>
    </row>
    <row r="1948" spans="1:5">
      <c r="A1948" s="413">
        <v>613457678</v>
      </c>
      <c r="B1948" s="413">
        <v>804423762.43033004</v>
      </c>
      <c r="D1948" s="413" t="s">
        <v>8310</v>
      </c>
      <c r="E1948" s="413" t="s">
        <v>8311</v>
      </c>
    </row>
    <row r="1949" spans="1:5">
      <c r="A1949" s="413">
        <v>613562132</v>
      </c>
      <c r="B1949" s="413">
        <v>804528216.43150902</v>
      </c>
      <c r="D1949" s="413" t="s">
        <v>8312</v>
      </c>
      <c r="E1949" s="413" t="s">
        <v>8313</v>
      </c>
    </row>
    <row r="1950" spans="1:5">
      <c r="A1950" s="413">
        <v>613630475</v>
      </c>
      <c r="B1950" s="413">
        <v>804596559.43223798</v>
      </c>
      <c r="D1950" s="413" t="s">
        <v>8314</v>
      </c>
      <c r="E1950" s="413" t="s">
        <v>8315</v>
      </c>
    </row>
    <row r="1951" spans="1:5">
      <c r="A1951" s="413">
        <v>613774488</v>
      </c>
      <c r="B1951" s="413">
        <v>804740572.43383002</v>
      </c>
      <c r="D1951" s="413" t="s">
        <v>8316</v>
      </c>
      <c r="E1951" s="413" t="s">
        <v>8317</v>
      </c>
    </row>
    <row r="1952" spans="1:5">
      <c r="A1952" s="413">
        <v>613850211</v>
      </c>
      <c r="B1952" s="413">
        <v>804816295.43471599</v>
      </c>
      <c r="D1952" s="413" t="s">
        <v>8318</v>
      </c>
      <c r="E1952" s="413" t="s">
        <v>8319</v>
      </c>
    </row>
    <row r="1953" spans="1:5">
      <c r="A1953" s="413">
        <v>613904109</v>
      </c>
      <c r="B1953" s="413">
        <v>804870193.43529296</v>
      </c>
      <c r="D1953" s="413" t="s">
        <v>8320</v>
      </c>
      <c r="E1953" s="413" t="s">
        <v>8321</v>
      </c>
    </row>
    <row r="1954" spans="1:5">
      <c r="A1954" s="413">
        <v>613961700</v>
      </c>
      <c r="B1954" s="413">
        <v>804927784.43592596</v>
      </c>
      <c r="D1954" s="413" t="s">
        <v>8322</v>
      </c>
      <c r="E1954" s="413" t="s">
        <v>8323</v>
      </c>
    </row>
    <row r="1955" spans="1:5">
      <c r="A1955" s="413">
        <v>614120084</v>
      </c>
      <c r="B1955" s="413">
        <v>805086168.43765903</v>
      </c>
      <c r="D1955" s="413" t="s">
        <v>8324</v>
      </c>
      <c r="E1955" s="413" t="s">
        <v>8325</v>
      </c>
    </row>
    <row r="1956" spans="1:5">
      <c r="A1956" s="413">
        <v>614134504</v>
      </c>
      <c r="B1956" s="413">
        <v>805100588.43783104</v>
      </c>
      <c r="D1956" s="413" t="s">
        <v>8326</v>
      </c>
      <c r="E1956" s="413" t="s">
        <v>8327</v>
      </c>
    </row>
    <row r="1957" spans="1:5">
      <c r="A1957" s="413">
        <v>614292874</v>
      </c>
      <c r="B1957" s="413">
        <v>805258958.43957996</v>
      </c>
      <c r="D1957" s="413" t="s">
        <v>8328</v>
      </c>
      <c r="E1957" s="413" t="s">
        <v>8329</v>
      </c>
    </row>
    <row r="1958" spans="1:5">
      <c r="A1958" s="413">
        <v>614307289</v>
      </c>
      <c r="B1958" s="413">
        <v>805273373.43975997</v>
      </c>
      <c r="D1958" s="413" t="s">
        <v>8330</v>
      </c>
      <c r="E1958" s="413" t="s">
        <v>8331</v>
      </c>
    </row>
    <row r="1959" spans="1:5">
      <c r="A1959" s="413">
        <v>614465664</v>
      </c>
      <c r="B1959" s="413">
        <v>805431748.44149005</v>
      </c>
      <c r="D1959" s="413" t="s">
        <v>8332</v>
      </c>
      <c r="E1959" s="413" t="s">
        <v>8333</v>
      </c>
    </row>
    <row r="1960" spans="1:5">
      <c r="A1960" s="413">
        <v>614552058</v>
      </c>
      <c r="B1960" s="413">
        <v>805518142.44243002</v>
      </c>
      <c r="D1960" s="413" t="s">
        <v>8334</v>
      </c>
      <c r="E1960" s="413" t="s">
        <v>8335</v>
      </c>
    </row>
    <row r="1961" spans="1:5">
      <c r="A1961" s="413">
        <v>614638457</v>
      </c>
      <c r="B1961" s="413">
        <v>805604541.443398</v>
      </c>
      <c r="D1961" s="413" t="s">
        <v>8336</v>
      </c>
      <c r="E1961" s="413" t="s">
        <v>8337</v>
      </c>
    </row>
    <row r="1962" spans="1:5">
      <c r="A1962" s="413">
        <v>614706980</v>
      </c>
      <c r="B1962" s="413">
        <v>805673064.44414794</v>
      </c>
      <c r="D1962" s="413" t="s">
        <v>8338</v>
      </c>
      <c r="E1962" s="413" t="s">
        <v>8339</v>
      </c>
    </row>
    <row r="1963" spans="1:5">
      <c r="A1963" s="413">
        <v>614768072</v>
      </c>
      <c r="B1963" s="413">
        <v>805734156.44469595</v>
      </c>
      <c r="D1963" s="413" t="s">
        <v>8340</v>
      </c>
      <c r="E1963" s="413" t="s">
        <v>8341</v>
      </c>
    </row>
    <row r="1964" spans="1:5">
      <c r="A1964" s="413">
        <v>614850913</v>
      </c>
      <c r="B1964" s="413">
        <v>805816997.44559801</v>
      </c>
      <c r="D1964" s="413" t="s">
        <v>8342</v>
      </c>
      <c r="E1964" s="413" t="s">
        <v>8343</v>
      </c>
    </row>
    <row r="1965" spans="1:5">
      <c r="A1965" s="413">
        <v>614962568</v>
      </c>
      <c r="B1965" s="413">
        <v>805928652.44683802</v>
      </c>
      <c r="D1965" s="413" t="s">
        <v>8344</v>
      </c>
      <c r="E1965" s="413" t="s">
        <v>8345</v>
      </c>
    </row>
    <row r="1966" spans="1:5">
      <c r="A1966" s="413">
        <v>615070430</v>
      </c>
      <c r="B1966" s="413">
        <v>806036514.44801497</v>
      </c>
      <c r="D1966" s="413" t="s">
        <v>8346</v>
      </c>
      <c r="E1966" s="413" t="s">
        <v>8347</v>
      </c>
    </row>
    <row r="1967" spans="1:5">
      <c r="A1967" s="413">
        <v>615156828</v>
      </c>
      <c r="B1967" s="413">
        <v>806122912.44897401</v>
      </c>
      <c r="D1967" s="413" t="s">
        <v>8348</v>
      </c>
      <c r="E1967" s="413" t="s">
        <v>8349</v>
      </c>
    </row>
    <row r="1968" spans="1:5">
      <c r="A1968" s="413">
        <v>615243221</v>
      </c>
      <c r="B1968" s="413">
        <v>806209305.44992495</v>
      </c>
      <c r="D1968" s="413" t="s">
        <v>8350</v>
      </c>
      <c r="E1968" s="413" t="s">
        <v>8351</v>
      </c>
    </row>
    <row r="1969" spans="1:5">
      <c r="A1969" s="413">
        <v>615282841</v>
      </c>
      <c r="B1969" s="413">
        <v>806248925.45038402</v>
      </c>
      <c r="D1969" s="413" t="s">
        <v>8352</v>
      </c>
      <c r="E1969" s="413" t="s">
        <v>8353</v>
      </c>
    </row>
    <row r="1970" spans="1:5">
      <c r="A1970" s="413">
        <v>615416008</v>
      </c>
      <c r="B1970" s="413">
        <v>806382092.45183003</v>
      </c>
      <c r="D1970" s="413" t="s">
        <v>8354</v>
      </c>
      <c r="E1970" s="413" t="s">
        <v>8355</v>
      </c>
    </row>
    <row r="1971" spans="1:5">
      <c r="A1971" s="413">
        <v>615484553</v>
      </c>
      <c r="B1971" s="413">
        <v>806450637.45260799</v>
      </c>
      <c r="D1971" s="413" t="s">
        <v>8356</v>
      </c>
      <c r="E1971" s="413" t="s">
        <v>8357</v>
      </c>
    </row>
    <row r="1972" spans="1:5">
      <c r="A1972" s="413">
        <v>615588803</v>
      </c>
      <c r="B1972" s="413">
        <v>806554887.45374</v>
      </c>
      <c r="D1972" s="413" t="s">
        <v>8358</v>
      </c>
      <c r="E1972" s="413" t="s">
        <v>8359</v>
      </c>
    </row>
    <row r="1973" spans="1:5">
      <c r="A1973" s="413">
        <v>615675197</v>
      </c>
      <c r="B1973" s="413">
        <v>806641281.45468199</v>
      </c>
      <c r="D1973" s="413" t="s">
        <v>8360</v>
      </c>
      <c r="E1973" s="413" t="s">
        <v>8361</v>
      </c>
    </row>
    <row r="1974" spans="1:5">
      <c r="A1974" s="413">
        <v>615761591</v>
      </c>
      <c r="B1974" s="413">
        <v>806727675.45564497</v>
      </c>
      <c r="D1974" s="413" t="s">
        <v>8362</v>
      </c>
      <c r="E1974" s="413" t="s">
        <v>8363</v>
      </c>
    </row>
    <row r="1975" spans="1:5">
      <c r="A1975" s="413">
        <v>615849487</v>
      </c>
      <c r="B1975" s="413">
        <v>806815571.45660698</v>
      </c>
      <c r="D1975" s="413" t="s">
        <v>8364</v>
      </c>
      <c r="E1975" s="413" t="s">
        <v>8365</v>
      </c>
    </row>
    <row r="1976" spans="1:5">
      <c r="A1976" s="413">
        <v>615858806</v>
      </c>
      <c r="B1976" s="413">
        <v>806824890.45672596</v>
      </c>
      <c r="D1976" s="413" t="s">
        <v>8366</v>
      </c>
      <c r="E1976" s="413" t="s">
        <v>8367</v>
      </c>
    </row>
    <row r="1977" spans="1:5">
      <c r="A1977" s="413">
        <v>616020771</v>
      </c>
      <c r="B1977" s="413">
        <v>806986855.45850694</v>
      </c>
      <c r="D1977" s="413" t="s">
        <v>8368</v>
      </c>
      <c r="E1977" s="413" t="s">
        <v>8369</v>
      </c>
    </row>
    <row r="1978" spans="1:5">
      <c r="A1978" s="413">
        <v>616085668</v>
      </c>
      <c r="B1978" s="413">
        <v>807051752.45918906</v>
      </c>
      <c r="D1978" s="413" t="s">
        <v>8370</v>
      </c>
      <c r="E1978" s="413" t="s">
        <v>8371</v>
      </c>
    </row>
    <row r="1979" spans="1:5">
      <c r="A1979" s="413">
        <v>616193557</v>
      </c>
      <c r="B1979" s="413">
        <v>807159641.46040797</v>
      </c>
      <c r="D1979" s="413" t="s">
        <v>8372</v>
      </c>
      <c r="E1979" s="413" t="s">
        <v>8373</v>
      </c>
    </row>
    <row r="1980" spans="1:5">
      <c r="A1980" s="413">
        <v>616261991</v>
      </c>
      <c r="B1980" s="413">
        <v>807228075.46118701</v>
      </c>
      <c r="D1980" s="413" t="s">
        <v>8374</v>
      </c>
      <c r="E1980" s="413" t="s">
        <v>8375</v>
      </c>
    </row>
    <row r="1981" spans="1:5">
      <c r="A1981" s="413">
        <v>616366348</v>
      </c>
      <c r="B1981" s="413">
        <v>807332432.46231306</v>
      </c>
      <c r="D1981" s="413" t="s">
        <v>8376</v>
      </c>
      <c r="E1981" s="413" t="s">
        <v>8377</v>
      </c>
    </row>
    <row r="1982" spans="1:5">
      <c r="A1982" s="413">
        <v>616373565</v>
      </c>
      <c r="B1982" s="413">
        <v>807339649.46240902</v>
      </c>
      <c r="D1982" s="413" t="s">
        <v>8378</v>
      </c>
      <c r="E1982" s="413" t="s">
        <v>8379</v>
      </c>
    </row>
    <row r="1983" spans="1:5">
      <c r="A1983" s="413">
        <v>616625529</v>
      </c>
      <c r="B1983" s="413">
        <v>807591613.46516395</v>
      </c>
      <c r="D1983" s="413" t="s">
        <v>8380</v>
      </c>
      <c r="E1983" s="413" t="s">
        <v>8381</v>
      </c>
    </row>
    <row r="1984" spans="1:5">
      <c r="A1984" s="413">
        <v>616690428</v>
      </c>
      <c r="B1984" s="413">
        <v>807656512.46592498</v>
      </c>
      <c r="D1984" s="413" t="s">
        <v>8382</v>
      </c>
      <c r="E1984" s="413" t="s">
        <v>8383</v>
      </c>
    </row>
    <row r="1985" spans="1:5">
      <c r="A1985" s="413">
        <v>616766026</v>
      </c>
      <c r="B1985" s="413">
        <v>807732110.46671999</v>
      </c>
      <c r="D1985" s="413" t="s">
        <v>8384</v>
      </c>
      <c r="E1985" s="413" t="s">
        <v>8385</v>
      </c>
    </row>
    <row r="1986" spans="1:5">
      <c r="A1986" s="413">
        <v>616819932</v>
      </c>
      <c r="B1986" s="413">
        <v>807786016.46729195</v>
      </c>
      <c r="D1986" s="413" t="s">
        <v>8386</v>
      </c>
      <c r="E1986" s="413" t="s">
        <v>8387</v>
      </c>
    </row>
    <row r="1987" spans="1:5">
      <c r="A1987" s="413">
        <v>1247971932</v>
      </c>
      <c r="B1987" s="413" t="s">
        <v>8388</v>
      </c>
      <c r="D1987" s="413" t="s">
        <v>8389</v>
      </c>
      <c r="E1987" s="413" t="s">
        <v>8390</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636" t="s">
        <v>1</v>
      </c>
      <c r="I3" s="636"/>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637" t="s">
        <v>22</v>
      </c>
      <c r="G21" s="637"/>
      <c r="H21" s="637"/>
      <c r="I21" s="637"/>
    </row>
    <row r="22" spans="3:25" ht="18">
      <c r="F22" s="638" t="s">
        <v>23</v>
      </c>
      <c r="G22" s="638"/>
      <c r="H22" s="638"/>
      <c r="I22" s="29">
        <v>20</v>
      </c>
      <c r="O22" s="30"/>
    </row>
    <row r="23" spans="3:25" ht="15">
      <c r="F23" s="635" t="s">
        <v>24</v>
      </c>
      <c r="G23" s="635"/>
      <c r="H23" s="635"/>
      <c r="I23" s="29">
        <f>0.7*I22/10</f>
        <v>1.4</v>
      </c>
    </row>
    <row r="24" spans="3:25" ht="15">
      <c r="F24" s="635" t="s">
        <v>25</v>
      </c>
      <c r="G24" s="635"/>
      <c r="H24" s="635"/>
      <c r="I24" s="29">
        <v>2</v>
      </c>
    </row>
    <row r="25" spans="3:25" ht="15">
      <c r="F25" s="635" t="s">
        <v>26</v>
      </c>
      <c r="G25" s="635"/>
      <c r="H25" s="635"/>
      <c r="I25" s="29">
        <v>0</v>
      </c>
    </row>
    <row r="26" spans="3:25" ht="15">
      <c r="F26" s="635" t="s">
        <v>27</v>
      </c>
      <c r="G26" s="635"/>
      <c r="H26" s="635"/>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636" t="s">
        <v>1</v>
      </c>
      <c r="I33" s="636"/>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637" t="s">
        <v>22</v>
      </c>
      <c r="G51" s="637"/>
      <c r="H51" s="637"/>
      <c r="I51" s="637"/>
      <c r="K51" t="s">
        <v>33</v>
      </c>
      <c r="L51" t="s">
        <v>34</v>
      </c>
    </row>
    <row r="52" spans="3:25" ht="18">
      <c r="F52" s="638" t="s">
        <v>23</v>
      </c>
      <c r="G52" s="638"/>
      <c r="H52" s="638"/>
      <c r="I52" s="29">
        <v>20</v>
      </c>
      <c r="K52">
        <v>1</v>
      </c>
      <c r="L52">
        <v>2</v>
      </c>
      <c r="O52" s="30"/>
    </row>
    <row r="53" spans="3:25" ht="15">
      <c r="F53" s="635" t="s">
        <v>24</v>
      </c>
      <c r="G53" s="635"/>
      <c r="H53" s="635"/>
      <c r="I53" s="29">
        <f>0.7*I52/10</f>
        <v>1.4</v>
      </c>
      <c r="K53">
        <v>3</v>
      </c>
      <c r="L53">
        <v>6</v>
      </c>
      <c r="M53" t="str">
        <f>IF((K53/L53)=INT(K53/L53), "good", "bad")</f>
        <v>bad</v>
      </c>
    </row>
    <row r="54" spans="3:25" ht="15">
      <c r="F54" s="635" t="s">
        <v>25</v>
      </c>
      <c r="G54" s="635"/>
      <c r="H54" s="635"/>
      <c r="I54" s="29">
        <v>2</v>
      </c>
      <c r="K54">
        <v>1</v>
      </c>
      <c r="L54">
        <v>2</v>
      </c>
      <c r="M54" t="str">
        <f>IF((K54/L54)=INT(K54/L54), "good", "bad")</f>
        <v>bad</v>
      </c>
    </row>
    <row r="55" spans="3:25" ht="15">
      <c r="F55" s="635" t="s">
        <v>26</v>
      </c>
      <c r="G55" s="635"/>
      <c r="H55" s="635"/>
      <c r="I55" s="29">
        <v>0</v>
      </c>
      <c r="K55">
        <v>1</v>
      </c>
      <c r="L55">
        <v>2</v>
      </c>
      <c r="M55" t="str">
        <f>IF((K55/L55)=INT(K55/L55), "good", "bad")</f>
        <v>bad</v>
      </c>
    </row>
    <row r="56" spans="3:25" ht="15">
      <c r="F56" s="635" t="s">
        <v>27</v>
      </c>
      <c r="G56" s="635"/>
      <c r="H56" s="635"/>
      <c r="I56" s="29">
        <v>0</v>
      </c>
    </row>
    <row r="58" spans="3:25" ht="15">
      <c r="Y58" t="s">
        <v>28</v>
      </c>
    </row>
    <row r="60" spans="3:25" ht="15">
      <c r="C60" s="6" t="s">
        <v>35</v>
      </c>
      <c r="D60" s="7"/>
      <c r="E60" s="6"/>
      <c r="F60" s="8"/>
      <c r="G60" s="8"/>
      <c r="H60" s="8"/>
      <c r="I60" s="9"/>
      <c r="J60" s="9"/>
      <c r="K60" s="8"/>
      <c r="L60" s="8"/>
      <c r="M60" s="8"/>
      <c r="N60" s="10"/>
      <c r="O60" s="9"/>
      <c r="P60" s="9"/>
    </row>
    <row r="61" spans="3:25" ht="15">
      <c r="H61" s="636" t="s">
        <v>1</v>
      </c>
      <c r="I61" s="636"/>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637" t="s">
        <v>22</v>
      </c>
      <c r="G79" s="637"/>
      <c r="H79" s="637"/>
      <c r="I79" s="637"/>
    </row>
    <row r="80" spans="6:18" ht="18">
      <c r="F80" s="638" t="s">
        <v>23</v>
      </c>
      <c r="G80" s="638"/>
      <c r="H80" s="638"/>
      <c r="I80" s="29">
        <v>20</v>
      </c>
      <c r="O80" s="30"/>
    </row>
    <row r="81" spans="3:25" ht="15">
      <c r="F81" s="635" t="s">
        <v>24</v>
      </c>
      <c r="G81" s="635"/>
      <c r="H81" s="635"/>
      <c r="I81" s="29">
        <f>0.7*I80/10</f>
        <v>1.4</v>
      </c>
    </row>
    <row r="82" spans="3:25" ht="15">
      <c r="F82" s="635" t="s">
        <v>25</v>
      </c>
      <c r="G82" s="635"/>
      <c r="H82" s="635"/>
      <c r="I82" s="29">
        <v>2</v>
      </c>
    </row>
    <row r="83" spans="3:25" ht="15">
      <c r="F83" s="635" t="s">
        <v>26</v>
      </c>
      <c r="G83" s="635"/>
      <c r="H83" s="635"/>
      <c r="I83" s="29">
        <v>0</v>
      </c>
    </row>
    <row r="84" spans="3:25" ht="15">
      <c r="F84" s="635" t="s">
        <v>27</v>
      </c>
      <c r="G84" s="635"/>
      <c r="H84" s="635"/>
      <c r="I84" s="29">
        <v>0</v>
      </c>
    </row>
    <row r="86" spans="3:25" ht="15">
      <c r="Y86" t="s">
        <v>28</v>
      </c>
    </row>
    <row r="90" spans="3:25" ht="15">
      <c r="C90" s="6" t="s">
        <v>36</v>
      </c>
      <c r="D90" s="7"/>
      <c r="E90" s="6"/>
      <c r="F90" s="8"/>
      <c r="G90" s="8"/>
      <c r="H90" s="8"/>
      <c r="I90" s="9"/>
      <c r="J90" s="9"/>
      <c r="K90" s="8"/>
      <c r="L90" s="8"/>
      <c r="M90" s="8"/>
      <c r="N90" s="10"/>
      <c r="O90" s="9"/>
      <c r="P90" s="9"/>
    </row>
    <row r="91" spans="3:25" ht="15">
      <c r="H91" s="636" t="s">
        <v>1</v>
      </c>
      <c r="I91" s="636"/>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637" t="s">
        <v>22</v>
      </c>
      <c r="G109" s="637"/>
      <c r="H109" s="637"/>
      <c r="I109" s="637"/>
    </row>
    <row r="110" spans="6:18" ht="18">
      <c r="F110" s="638" t="s">
        <v>23</v>
      </c>
      <c r="G110" s="638"/>
      <c r="H110" s="638"/>
      <c r="I110" s="29">
        <v>20</v>
      </c>
      <c r="O110" s="30"/>
    </row>
    <row r="111" spans="6:18" ht="15">
      <c r="F111" s="635" t="s">
        <v>24</v>
      </c>
      <c r="G111" s="635"/>
      <c r="H111" s="635"/>
      <c r="I111" s="29">
        <f>0.7*I110/10</f>
        <v>1.4</v>
      </c>
    </row>
    <row r="112" spans="6:18" ht="15">
      <c r="F112" s="635" t="s">
        <v>25</v>
      </c>
      <c r="G112" s="635"/>
      <c r="H112" s="635"/>
      <c r="I112" s="29">
        <v>2</v>
      </c>
    </row>
    <row r="113" spans="3:17" ht="15">
      <c r="F113" s="635" t="s">
        <v>26</v>
      </c>
      <c r="G113" s="635"/>
      <c r="H113" s="635"/>
      <c r="I113" s="29">
        <v>2</v>
      </c>
    </row>
    <row r="114" spans="3:17" ht="15">
      <c r="F114" s="635" t="s">
        <v>27</v>
      </c>
      <c r="G114" s="635"/>
      <c r="H114" s="635"/>
      <c r="I114" s="29">
        <v>2</v>
      </c>
    </row>
    <row r="119" spans="3:17" ht="15">
      <c r="C119" s="6" t="s">
        <v>38</v>
      </c>
      <c r="D119" s="7"/>
      <c r="E119" s="6"/>
      <c r="F119" s="8"/>
      <c r="G119" s="8"/>
      <c r="H119" s="8"/>
      <c r="I119" s="9"/>
      <c r="J119" s="9"/>
      <c r="K119" s="8"/>
      <c r="L119" s="8"/>
      <c r="M119" s="8"/>
      <c r="N119" s="10"/>
      <c r="O119" s="9"/>
      <c r="P119" s="9"/>
    </row>
    <row r="120" spans="3:17" ht="15">
      <c r="H120" s="636" t="s">
        <v>1</v>
      </c>
      <c r="I120" s="636"/>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637" t="s">
        <v>22</v>
      </c>
      <c r="G138" s="637"/>
      <c r="H138" s="637"/>
      <c r="I138" s="637"/>
    </row>
    <row r="139" spans="6:18" ht="18">
      <c r="F139" s="638" t="s">
        <v>23</v>
      </c>
      <c r="G139" s="638"/>
      <c r="H139" s="638"/>
      <c r="I139" s="29">
        <v>20</v>
      </c>
      <c r="O139" s="30"/>
    </row>
    <row r="140" spans="6:18" ht="15">
      <c r="F140" s="635" t="s">
        <v>24</v>
      </c>
      <c r="G140" s="635"/>
      <c r="H140" s="635"/>
      <c r="I140" s="29">
        <f>0.7*I139/10</f>
        <v>1.4</v>
      </c>
    </row>
    <row r="141" spans="6:18" ht="15">
      <c r="F141" s="635" t="s">
        <v>25</v>
      </c>
      <c r="G141" s="635"/>
      <c r="H141" s="635"/>
      <c r="I141" s="29">
        <v>2</v>
      </c>
    </row>
    <row r="142" spans="6:18" ht="15">
      <c r="F142" s="635" t="s">
        <v>26</v>
      </c>
      <c r="G142" s="635"/>
      <c r="H142" s="635"/>
      <c r="I142" s="29">
        <v>1</v>
      </c>
    </row>
    <row r="143" spans="6:18" ht="15">
      <c r="F143" s="635" t="s">
        <v>27</v>
      </c>
      <c r="G143" s="635"/>
      <c r="H143" s="635"/>
      <c r="I143" s="29">
        <v>1</v>
      </c>
    </row>
    <row r="149" spans="3:17" ht="15">
      <c r="C149" s="6" t="s">
        <v>39</v>
      </c>
      <c r="D149" s="7"/>
      <c r="E149" s="6"/>
      <c r="F149" s="8"/>
      <c r="G149" s="8"/>
      <c r="H149" s="8"/>
      <c r="I149" s="9"/>
      <c r="J149" s="9"/>
      <c r="K149" s="8"/>
      <c r="L149" s="8"/>
      <c r="M149" s="8"/>
      <c r="N149" s="10"/>
      <c r="O149" s="9"/>
      <c r="P149" s="9"/>
    </row>
    <row r="150" spans="3:17" ht="15">
      <c r="H150" s="636" t="s">
        <v>1</v>
      </c>
      <c r="I150" s="636"/>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637" t="s">
        <v>22</v>
      </c>
      <c r="G168" s="637"/>
      <c r="H168" s="637"/>
      <c r="I168" s="637"/>
    </row>
    <row r="169" spans="6:18" ht="18">
      <c r="F169" s="638" t="s">
        <v>23</v>
      </c>
      <c r="G169" s="638"/>
      <c r="H169" s="638"/>
      <c r="I169" s="29">
        <v>20</v>
      </c>
      <c r="O169" s="30"/>
    </row>
    <row r="170" spans="6:18" ht="15">
      <c r="F170" s="635" t="s">
        <v>24</v>
      </c>
      <c r="G170" s="635"/>
      <c r="H170" s="635"/>
      <c r="I170" s="29">
        <f>0.7*I169/10</f>
        <v>1.4</v>
      </c>
    </row>
    <row r="171" spans="6:18" ht="15">
      <c r="F171" s="635" t="s">
        <v>25</v>
      </c>
      <c r="G171" s="635"/>
      <c r="H171" s="635"/>
      <c r="I171" s="29">
        <v>2</v>
      </c>
    </row>
    <row r="172" spans="6:18" ht="15">
      <c r="F172" s="635" t="s">
        <v>26</v>
      </c>
      <c r="G172" s="635"/>
      <c r="H172" s="635"/>
      <c r="I172" s="29">
        <v>1</v>
      </c>
    </row>
    <row r="173" spans="6:18" ht="15">
      <c r="F173" s="635" t="s">
        <v>27</v>
      </c>
      <c r="G173" s="635"/>
      <c r="H173" s="635"/>
      <c r="I173" s="29">
        <v>1</v>
      </c>
    </row>
    <row r="178" spans="3:17" ht="15">
      <c r="C178" s="6" t="s">
        <v>40</v>
      </c>
      <c r="D178" s="7"/>
      <c r="E178" s="6"/>
      <c r="F178" s="8"/>
      <c r="G178" s="8"/>
      <c r="H178" s="8"/>
      <c r="I178" s="9"/>
      <c r="J178" s="9"/>
      <c r="K178" s="8"/>
      <c r="L178" s="8"/>
      <c r="M178" s="8"/>
      <c r="N178" s="10"/>
      <c r="O178" s="9"/>
      <c r="P178" s="9"/>
    </row>
    <row r="179" spans="3:17" ht="15">
      <c r="H179" s="636" t="s">
        <v>1</v>
      </c>
      <c r="I179" s="636"/>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637" t="s">
        <v>22</v>
      </c>
      <c r="G197" s="637"/>
      <c r="H197" s="637"/>
      <c r="I197" s="637"/>
    </row>
    <row r="198" spans="6:19" ht="18">
      <c r="F198" s="638" t="s">
        <v>23</v>
      </c>
      <c r="G198" s="638"/>
      <c r="H198" s="638"/>
      <c r="I198" s="29">
        <v>20</v>
      </c>
      <c r="O198" s="30"/>
    </row>
    <row r="199" spans="6:19" ht="15">
      <c r="F199" s="635" t="s">
        <v>24</v>
      </c>
      <c r="G199" s="635"/>
      <c r="H199" s="635"/>
      <c r="I199" s="29">
        <f>0.7*I198/10</f>
        <v>1.4</v>
      </c>
    </row>
    <row r="200" spans="6:19" ht="15">
      <c r="F200" s="635" t="s">
        <v>25</v>
      </c>
      <c r="G200" s="635"/>
      <c r="H200" s="635"/>
      <c r="I200" s="29">
        <v>2</v>
      </c>
    </row>
    <row r="201" spans="6:19" ht="15">
      <c r="F201" s="635" t="s">
        <v>26</v>
      </c>
      <c r="G201" s="635"/>
      <c r="H201" s="635"/>
      <c r="I201" s="29">
        <v>1</v>
      </c>
    </row>
    <row r="202" spans="6:19" ht="15">
      <c r="F202" s="635" t="s">
        <v>27</v>
      </c>
      <c r="G202" s="635"/>
      <c r="H202" s="635"/>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636" t="s">
        <v>1</v>
      </c>
      <c r="I219" s="636"/>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637" t="s">
        <v>22</v>
      </c>
      <c r="G237" s="637"/>
      <c r="H237" s="637"/>
      <c r="I237" s="637"/>
    </row>
    <row r="238" spans="6:19" ht="18">
      <c r="F238" s="638" t="s">
        <v>23</v>
      </c>
      <c r="G238" s="638"/>
      <c r="H238" s="638"/>
      <c r="I238" s="29">
        <v>20</v>
      </c>
      <c r="O238" s="30"/>
      <c r="P238" s="40" t="s">
        <v>47</v>
      </c>
      <c r="Q238" s="41"/>
      <c r="R238" s="42">
        <f>P235</f>
        <v>643.01035679999995</v>
      </c>
      <c r="S238" s="43" t="s">
        <v>42</v>
      </c>
    </row>
    <row r="239" spans="6:19" ht="15">
      <c r="F239" s="635" t="s">
        <v>24</v>
      </c>
      <c r="G239" s="635"/>
      <c r="H239" s="635"/>
      <c r="I239" s="29">
        <f>0.7*I238/10</f>
        <v>1.4</v>
      </c>
    </row>
    <row r="240" spans="6:19" ht="15">
      <c r="F240" s="635" t="s">
        <v>25</v>
      </c>
      <c r="G240" s="635"/>
      <c r="H240" s="635"/>
      <c r="I240" s="29">
        <v>2</v>
      </c>
    </row>
    <row r="241" spans="3:19" ht="15">
      <c r="F241" s="635" t="s">
        <v>26</v>
      </c>
      <c r="G241" s="635"/>
      <c r="H241" s="635"/>
      <c r="I241" s="29">
        <v>20</v>
      </c>
    </row>
    <row r="242" spans="3:19" ht="15">
      <c r="F242" s="635" t="s">
        <v>27</v>
      </c>
      <c r="G242" s="635"/>
      <c r="H242" s="635"/>
      <c r="I242" s="29">
        <v>8</v>
      </c>
    </row>
    <row r="246" spans="3:19" ht="15">
      <c r="C246" s="6" t="s">
        <v>48</v>
      </c>
      <c r="D246" s="7"/>
      <c r="E246" s="6"/>
      <c r="F246" s="8"/>
      <c r="G246" s="8"/>
      <c r="H246" s="8"/>
      <c r="I246" s="9"/>
      <c r="J246" s="9"/>
      <c r="K246" s="8"/>
      <c r="L246" s="8"/>
      <c r="M246" s="8"/>
      <c r="N246" s="10"/>
      <c r="O246" s="9"/>
      <c r="P246" s="9"/>
    </row>
    <row r="247" spans="3:19" ht="15">
      <c r="H247" s="636" t="s">
        <v>1</v>
      </c>
      <c r="I247" s="636"/>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637" t="s">
        <v>22</v>
      </c>
      <c r="G265" s="637"/>
      <c r="H265" s="637"/>
      <c r="I265" s="637"/>
      <c r="K265" s="54" t="s">
        <v>58</v>
      </c>
      <c r="L265" s="55"/>
      <c r="M265" s="55"/>
      <c r="N265" s="56"/>
      <c r="O265" s="57" t="s">
        <v>59</v>
      </c>
      <c r="P265" s="57" t="s">
        <v>60</v>
      </c>
      <c r="Q265" s="58"/>
      <c r="S265" s="59" t="s">
        <v>61</v>
      </c>
      <c r="T265" s="60"/>
      <c r="U265" s="55"/>
      <c r="V265" s="56"/>
      <c r="W265" s="57" t="s">
        <v>59</v>
      </c>
      <c r="X265" s="57" t="s">
        <v>60</v>
      </c>
      <c r="Y265" s="58"/>
    </row>
    <row r="266" spans="6:25" ht="18">
      <c r="F266" s="638" t="s">
        <v>23</v>
      </c>
      <c r="G266" s="638"/>
      <c r="H266" s="638"/>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635" t="s">
        <v>24</v>
      </c>
      <c r="G267" s="635"/>
      <c r="H267" s="635"/>
      <c r="I267" s="29">
        <f>0.7*I266/10</f>
        <v>1.4</v>
      </c>
      <c r="K267" s="61"/>
      <c r="L267" s="46"/>
      <c r="M267" s="46"/>
      <c r="N267" s="46"/>
      <c r="O267" s="66" t="s">
        <v>62</v>
      </c>
      <c r="P267" s="46"/>
      <c r="Q267" s="64"/>
      <c r="S267" s="61"/>
      <c r="T267" s="65"/>
      <c r="U267" s="46"/>
      <c r="V267" s="46"/>
      <c r="W267" s="66" t="s">
        <v>62</v>
      </c>
      <c r="X267" s="62"/>
      <c r="Y267" s="64"/>
    </row>
    <row r="268" spans="6:25" ht="15">
      <c r="F268" s="635" t="s">
        <v>25</v>
      </c>
      <c r="G268" s="635"/>
      <c r="H268" s="635"/>
      <c r="I268" s="29">
        <v>2</v>
      </c>
      <c r="K268" s="61"/>
      <c r="L268" s="67"/>
      <c r="M268" s="46"/>
      <c r="N268" s="46"/>
      <c r="O268" s="68">
        <f>Q238/86400</f>
        <v>0</v>
      </c>
      <c r="P268" s="46"/>
      <c r="Q268" s="64"/>
      <c r="S268" s="61"/>
      <c r="T268" s="69"/>
      <c r="U268" s="46"/>
      <c r="V268" s="46"/>
      <c r="W268" s="68">
        <f>Y238/86400</f>
        <v>0</v>
      </c>
      <c r="X268" s="46"/>
      <c r="Y268" s="64"/>
    </row>
    <row r="269" spans="6:25" ht="15">
      <c r="F269" s="635" t="s">
        <v>63</v>
      </c>
      <c r="G269" s="635"/>
      <c r="H269" s="635"/>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635" t="s">
        <v>71</v>
      </c>
      <c r="G270" s="635"/>
      <c r="H270" s="635"/>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42"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41"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40"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9"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8"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7"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6"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5"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4"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opLeftCell="Z33" zoomScaleNormal="100" workbookViewId="0">
      <pane ySplit="2415" topLeftCell="A183"/>
      <selection activeCell="AR5" sqref="AR5"/>
      <selection pane="bottomLeft" activeCell="K168" sqref="K168"/>
    </sheetView>
  </sheetViews>
  <sheetFormatPr defaultColWidth="11.5703125" defaultRowHeight="15"/>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2" customWidth="1"/>
    <col min="17" max="17" width="11.7109375" customWidth="1"/>
    <col min="18"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4.28515625" customWidth="1"/>
    <col min="33" max="33" width="12" bestFit="1" customWidth="1"/>
    <col min="34" max="34" width="25.28515625" bestFit="1" customWidth="1"/>
    <col min="35" max="35" width="10.28515625" customWidth="1"/>
    <col min="36" max="36" width="9.42578125" customWidth="1"/>
    <col min="37" max="37" width="9.85546875" customWidth="1"/>
    <col min="38" max="38" width="10" customWidth="1"/>
    <col min="39" max="40" width="11.85546875" customWidth="1"/>
    <col min="41" max="43" width="8" customWidth="1"/>
    <col min="44" max="44" width="13.7109375" bestFit="1" customWidth="1"/>
    <col min="45" max="45" width="10.5703125" customWidth="1"/>
  </cols>
  <sheetData>
    <row r="1" spans="2:47">
      <c r="B1">
        <v>102</v>
      </c>
      <c r="E1" t="s">
        <v>766</v>
      </c>
      <c r="F1" t="s">
        <v>764</v>
      </c>
      <c r="G1" t="s">
        <v>765</v>
      </c>
      <c r="H1" t="s">
        <v>768</v>
      </c>
      <c r="I1" t="s">
        <v>769</v>
      </c>
      <c r="J1" t="s">
        <v>943</v>
      </c>
      <c r="K1" t="s">
        <v>1540</v>
      </c>
      <c r="T1" t="str">
        <f>_xlfn.TEXTJOIN("",FALSE,$E1:$K1)</f>
        <v>HSK3DT1DT2DT3DT4SDT1HSK4</v>
      </c>
      <c r="AF1" s="543"/>
      <c r="AG1" s="544"/>
      <c r="AH1" s="17" t="s">
        <v>8555</v>
      </c>
      <c r="AI1" s="3">
        <v>1988</v>
      </c>
      <c r="AJ1" s="3">
        <v>18176</v>
      </c>
      <c r="AK1" s="3">
        <v>512</v>
      </c>
      <c r="AL1" s="3">
        <v>2087</v>
      </c>
      <c r="AM1" s="3">
        <v>1266</v>
      </c>
      <c r="AN1" s="3">
        <v>526</v>
      </c>
    </row>
    <row r="2" spans="2:47">
      <c r="M2" t="s">
        <v>758</v>
      </c>
      <c r="N2">
        <v>126</v>
      </c>
      <c r="O2">
        <v>159</v>
      </c>
      <c r="P2">
        <f>O2-N2</f>
        <v>33</v>
      </c>
      <c r="Q2">
        <f>P2*S6</f>
        <v>31.728378000000003</v>
      </c>
      <c r="R2" s="17" t="s">
        <v>4277</v>
      </c>
      <c r="S2" s="545">
        <f>'SWAP Data Volumns'!K108</f>
        <v>0.5056665308181959</v>
      </c>
      <c r="T2" t="str">
        <f>_xlfn.TEXTJOIN("",FALSE,$E2:$I2)</f>
        <v/>
      </c>
      <c r="AF2" s="543"/>
      <c r="AG2" s="544"/>
      <c r="AH2" s="17" t="s">
        <v>8554</v>
      </c>
      <c r="AI2" s="3">
        <v>1</v>
      </c>
      <c r="AJ2" s="3">
        <v>1</v>
      </c>
      <c r="AK2" s="3">
        <v>1</v>
      </c>
      <c r="AL2" s="3">
        <v>64</v>
      </c>
      <c r="AM2" s="3">
        <v>1</v>
      </c>
      <c r="AN2" s="3">
        <v>64</v>
      </c>
    </row>
    <row r="3" spans="2:47">
      <c r="N3">
        <v>159</v>
      </c>
      <c r="O3">
        <v>181</v>
      </c>
      <c r="P3">
        <f>O3-N3</f>
        <v>22</v>
      </c>
      <c r="Q3">
        <f>P3*X6</f>
        <v>56.201820631579039</v>
      </c>
      <c r="R3" s="17" t="s">
        <v>4307</v>
      </c>
      <c r="S3" s="545">
        <f>'SWAP Data Volumns'!K99</f>
        <v>0.80996710526315774</v>
      </c>
      <c r="V3">
        <f>4.513307/V10</f>
        <v>0.92947580888228509</v>
      </c>
      <c r="X3">
        <f>25/X6</f>
        <v>9.7861598400063663</v>
      </c>
      <c r="AF3" s="543"/>
      <c r="AG3" s="544"/>
      <c r="AI3" s="3" t="s">
        <v>12</v>
      </c>
      <c r="AJ3" s="3" t="s">
        <v>773</v>
      </c>
      <c r="AK3" s="3" t="s">
        <v>8403</v>
      </c>
      <c r="AL3" s="3" t="s">
        <v>8552</v>
      </c>
      <c r="AM3" s="3" t="s">
        <v>776</v>
      </c>
      <c r="AN3" s="3" t="s">
        <v>8553</v>
      </c>
    </row>
    <row r="4" spans="2:47">
      <c r="N4">
        <v>181</v>
      </c>
      <c r="O4">
        <v>218</v>
      </c>
      <c r="P4">
        <f>O4-N4</f>
        <v>37</v>
      </c>
      <c r="Q4">
        <f>P4*S6</f>
        <v>35.574241999999998</v>
      </c>
      <c r="R4" s="17" t="s">
        <v>4171</v>
      </c>
      <c r="S4" s="545">
        <f>'SWAP Data Volumns'!K90</f>
        <v>1.4028285692679976</v>
      </c>
      <c r="W4" t="s">
        <v>4116</v>
      </c>
      <c r="X4" s="546">
        <f>'SWAP Data Volumns'!K108</f>
        <v>0.5056665308181959</v>
      </c>
      <c r="AF4" s="543"/>
      <c r="AG4" s="544"/>
      <c r="AH4" s="17" t="s">
        <v>8556</v>
      </c>
      <c r="AI4" s="3">
        <v>1988</v>
      </c>
      <c r="AJ4" s="3">
        <v>18176</v>
      </c>
      <c r="AK4" s="3">
        <v>512</v>
      </c>
      <c r="AL4" s="3">
        <v>2087</v>
      </c>
      <c r="AM4" s="3">
        <v>1266</v>
      </c>
      <c r="AN4" s="3">
        <v>526</v>
      </c>
    </row>
    <row r="5" spans="2:47">
      <c r="L5">
        <f>66+90+23+164+28+5</f>
        <v>376</v>
      </c>
      <c r="M5">
        <f>16+18+66+90+23+164+33</f>
        <v>410</v>
      </c>
      <c r="Q5">
        <f>Q4+Q3+Q2</f>
        <v>123.50444063157904</v>
      </c>
      <c r="R5" s="17" t="s">
        <v>4276</v>
      </c>
      <c r="S5" s="545">
        <f>'SWAP Data Volumns'!K72</f>
        <v>3.6959320175438592</v>
      </c>
      <c r="AF5" s="543"/>
      <c r="AG5" s="544"/>
      <c r="AH5" s="17" t="s">
        <v>8557</v>
      </c>
      <c r="AI5" s="3">
        <v>1988</v>
      </c>
      <c r="AJ5" s="3">
        <v>19908</v>
      </c>
      <c r="AK5" s="3">
        <v>512</v>
      </c>
      <c r="AL5" s="3">
        <v>2340</v>
      </c>
      <c r="AM5" s="3">
        <v>1330</v>
      </c>
      <c r="AN5" s="3">
        <v>564</v>
      </c>
    </row>
    <row r="6" spans="2:47">
      <c r="L6">
        <f>(51-44)*X6</f>
        <v>17.882397473684239</v>
      </c>
      <c r="M6">
        <f>82+49+54+105+82+39</f>
        <v>411</v>
      </c>
      <c r="R6" t="s">
        <v>759</v>
      </c>
      <c r="S6" s="3">
        <v>0.96146600000000004</v>
      </c>
      <c r="U6" t="s">
        <v>759</v>
      </c>
      <c r="V6" s="3">
        <f>V9*8*86400/1000000</f>
        <v>2.6403840000000001</v>
      </c>
      <c r="W6" s="3">
        <v>2.546459</v>
      </c>
      <c r="X6">
        <v>2.5546282105263201</v>
      </c>
      <c r="AF6" s="543"/>
      <c r="AG6" s="544"/>
    </row>
    <row r="7" spans="2:47" ht="15.75" thickBot="1">
      <c r="L7">
        <f>(83-51)*X6</f>
        <v>81.748102736842242</v>
      </c>
      <c r="M7">
        <f>87+161+205+666+18</f>
        <v>1137</v>
      </c>
      <c r="R7" t="s">
        <v>760</v>
      </c>
      <c r="S7" t="s">
        <v>761</v>
      </c>
      <c r="U7" t="s">
        <v>762</v>
      </c>
      <c r="V7" t="s">
        <v>763</v>
      </c>
      <c r="Z7" s="3" t="s">
        <v>764</v>
      </c>
      <c r="AA7" s="3" t="s">
        <v>765</v>
      </c>
      <c r="AB7" s="3" t="s">
        <v>766</v>
      </c>
      <c r="AC7" s="3" t="s">
        <v>767</v>
      </c>
      <c r="AD7" s="3" t="s">
        <v>768</v>
      </c>
      <c r="AE7" s="3" t="s">
        <v>769</v>
      </c>
      <c r="AF7" s="535"/>
      <c r="AG7" s="544"/>
      <c r="AI7" t="s">
        <v>764</v>
      </c>
      <c r="AJ7" t="s">
        <v>765</v>
      </c>
      <c r="AK7" t="s">
        <v>766</v>
      </c>
      <c r="AL7" t="s">
        <v>767</v>
      </c>
      <c r="AM7" t="s">
        <v>768</v>
      </c>
      <c r="AN7" t="s">
        <v>769</v>
      </c>
      <c r="AT7" s="528" t="s">
        <v>8549</v>
      </c>
    </row>
    <row r="8" spans="2:47" ht="15.75" thickBot="1">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535" t="s">
        <v>778</v>
      </c>
      <c r="AG8" s="534"/>
      <c r="AI8" t="s">
        <v>12</v>
      </c>
      <c r="AJ8" t="s">
        <v>773</v>
      </c>
      <c r="AK8" t="s">
        <v>774</v>
      </c>
      <c r="AL8" t="s">
        <v>775</v>
      </c>
      <c r="AM8" t="s">
        <v>776</v>
      </c>
      <c r="AN8" t="s">
        <v>777</v>
      </c>
      <c r="AO8" s="539" t="s">
        <v>8546</v>
      </c>
      <c r="AP8" s="539" t="s">
        <v>8546</v>
      </c>
      <c r="AQ8" s="539" t="s">
        <v>8546</v>
      </c>
      <c r="AR8" s="539" t="s">
        <v>8546</v>
      </c>
      <c r="AS8" s="540" t="s">
        <v>8549</v>
      </c>
      <c r="AT8" s="532" t="s">
        <v>8550</v>
      </c>
      <c r="AU8" s="528" t="s">
        <v>8561</v>
      </c>
    </row>
    <row r="9" spans="2:47">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535"/>
      <c r="AG9" s="537" t="s">
        <v>8558</v>
      </c>
      <c r="AH9" s="530" t="s">
        <v>781</v>
      </c>
      <c r="AI9" t="s">
        <v>6</v>
      </c>
      <c r="AJ9" t="s">
        <v>6</v>
      </c>
      <c r="AK9" t="s">
        <v>6</v>
      </c>
      <c r="AL9" t="s">
        <v>6</v>
      </c>
      <c r="AM9" t="s">
        <v>6</v>
      </c>
      <c r="AN9" t="s">
        <v>6</v>
      </c>
      <c r="AO9" s="541" t="s">
        <v>12</v>
      </c>
      <c r="AP9" s="541" t="s">
        <v>773</v>
      </c>
      <c r="AQ9" s="541" t="s">
        <v>8403</v>
      </c>
      <c r="AR9" s="541" t="s">
        <v>8547</v>
      </c>
      <c r="AS9" s="542" t="s">
        <v>8548</v>
      </c>
      <c r="AT9" s="533" t="s">
        <v>8551</v>
      </c>
      <c r="AU9" s="533" t="s">
        <v>8560</v>
      </c>
    </row>
    <row r="10" spans="2:47">
      <c r="N10" t="s">
        <v>782</v>
      </c>
      <c r="O10">
        <f>347+49-365</f>
        <v>31</v>
      </c>
      <c r="S10" s="17" t="s">
        <v>783</v>
      </c>
      <c r="T10" s="3" t="s">
        <v>784</v>
      </c>
      <c r="U10" s="134" t="s">
        <v>785</v>
      </c>
      <c r="V10" s="218">
        <f t="shared" ref="V10:V21" si="0">Y10/8</f>
        <v>4.8557552083333402</v>
      </c>
      <c r="W10" t="s">
        <v>786</v>
      </c>
      <c r="X10" s="3" t="s">
        <v>787</v>
      </c>
      <c r="Y10" s="217">
        <f>SUM(Z10:AE10)</f>
        <v>38.846041666666721</v>
      </c>
      <c r="Z10">
        <v>16.566666666666698</v>
      </c>
      <c r="AA10">
        <v>2.5244444444444398</v>
      </c>
      <c r="AB10">
        <v>0.284444444444444</v>
      </c>
      <c r="AC10">
        <v>10.8697916666667</v>
      </c>
      <c r="AD10">
        <v>5.8611111111111098</v>
      </c>
      <c r="AE10">
        <v>2.7395833333333299</v>
      </c>
      <c r="AF10" s="535"/>
      <c r="AG10" s="538">
        <f>AH10-Y10</f>
        <v>0</v>
      </c>
      <c r="AH10" s="531">
        <f>SUM(AI10:AN10)</f>
        <v>38.846041666666672</v>
      </c>
      <c r="AI10" s="455">
        <f>1*(IF(TRIM($AU10)="13_3",AI$5,AI$1)/AI$2)/IF(OR(TRIM(AO10)="",AO10&lt;=0),1E+38,AO10)</f>
        <v>16.566666666666666</v>
      </c>
      <c r="AJ10" s="455">
        <f t="shared" ref="AJ10:AJ13" si="1">1*(IF(TRIM($AU10)="13_3",AJ$5,AJ$1)/AJ$2)/IF(OR(TRIM(AP10)="",AP10&lt;=0),1E+38,AP10)</f>
        <v>2.5244444444444443</v>
      </c>
      <c r="AK10" s="455">
        <f t="shared" ref="AK10:AK13" si="2">1*(IF(TRIM($AU10)="13_3",AK$5,AK$1)/AK$2)/IF(OR(TRIM(AQ10)="",AQ10&lt;=0),1E+38,AQ10)</f>
        <v>0.28444444444444444</v>
      </c>
      <c r="AL10" s="455">
        <f>1*(IF(TRIM($AU10)="13_3",AL$5,AL$1)/AL$2)/IF(OR(TRIM($AR10)="",$AR10&lt;=0),1E+38,IF($AR10=103,3,IF($AR10=104,2,$AR10)))</f>
        <v>10.869791666666666</v>
      </c>
      <c r="AM10" s="455">
        <f>1*(IF(TRIM($AU10)="13_3",AM$5,AM$1)/AM$2)*(AT10/720)/IF(OR(TRIM($AR10)="",$AR10&lt;=0),1E+38,IF($AR10=103,3,IF($AR10=104,2,$AR10)))</f>
        <v>5.8611111111111107</v>
      </c>
      <c r="AN10" s="455">
        <f>1*(IF(TRIM($AU10)="13_3",AN$5,AN$1)/AN$2)/IF(OR(TRIM($AR10)="",$AR10&lt;=0),1E+38,IF($AR10=103,3,IF($AR10=104,2,$AR10)))</f>
        <v>2.7395833333333335</v>
      </c>
      <c r="AO10" s="547">
        <v>120</v>
      </c>
      <c r="AP10" s="547">
        <v>7200</v>
      </c>
      <c r="AQ10" s="547">
        <v>1800</v>
      </c>
      <c r="AR10" s="547">
        <v>103</v>
      </c>
      <c r="AS10" s="547">
        <v>106</v>
      </c>
      <c r="AT10" s="548">
        <f t="shared" ref="AT10:AT11" si="3">IF(OR(AS10="",AS10&lt;105,AS10&gt;109),720,(336+(AS10-107)*(110+(AS10-107)*(25+(AS10-107)*(10+(AS10-107)*(-1)))))/24)</f>
        <v>10</v>
      </c>
      <c r="AU10" s="528"/>
    </row>
    <row r="11" spans="2:47">
      <c r="M11" t="s">
        <v>788</v>
      </c>
      <c r="N11" t="s">
        <v>789</v>
      </c>
      <c r="O11">
        <f>(40-6)/X6</f>
        <v>13.309177382408658</v>
      </c>
      <c r="S11" s="17" t="s">
        <v>790</v>
      </c>
      <c r="T11" s="3" t="s">
        <v>784</v>
      </c>
      <c r="U11" s="134" t="s">
        <v>785</v>
      </c>
      <c r="V11" s="218">
        <f t="shared" si="0"/>
        <v>4.5133072916666741</v>
      </c>
      <c r="W11" t="s">
        <v>791</v>
      </c>
      <c r="X11" s="3" t="s">
        <v>787</v>
      </c>
      <c r="Y11" s="217">
        <f t="shared" ref="Y11:Y21" si="4">SUM(Z11:AE11)</f>
        <v>36.106458333333393</v>
      </c>
      <c r="Z11">
        <v>16.566666666666698</v>
      </c>
      <c r="AA11">
        <v>2.5244444444444398</v>
      </c>
      <c r="AB11">
        <v>0.284444444444444</v>
      </c>
      <c r="AC11">
        <v>10.8697916666667</v>
      </c>
      <c r="AD11">
        <v>5.8611111111111098</v>
      </c>
      <c r="AE11" s="3"/>
      <c r="AF11" s="535">
        <f t="shared" ref="AF11:AF21" si="5">Y11*86400/1000000</f>
        <v>3.1195980000000052</v>
      </c>
      <c r="AG11" s="538">
        <f t="shared" ref="AG11:AG31" si="6">AH11-Y11</f>
        <v>-5.6843418860808015E-14</v>
      </c>
      <c r="AH11" s="531">
        <f t="shared" ref="AH11:AH31" si="7">SUM(AI11:AN11)</f>
        <v>36.106458333333336</v>
      </c>
      <c r="AI11" s="455">
        <f t="shared" ref="AI11:AI13" si="8">1*(IF(TRIM($AU11)="13_3",AI$5,AI$1)/AI$2)/IF(OR(TRIM(AO11)="",AO11&lt;=0),1E+38,AO11)</f>
        <v>16.566666666666666</v>
      </c>
      <c r="AJ11" s="455">
        <f t="shared" si="1"/>
        <v>2.5244444444444443</v>
      </c>
      <c r="AK11" s="455">
        <f t="shared" si="2"/>
        <v>0.28444444444444444</v>
      </c>
      <c r="AL11" s="455">
        <f t="shared" ref="AL11:AL13" si="9">1*(IF(TRIM($AU11)="13_3",AL$5,AL$1)/AL$2)/IF(OR(TRIM($AR11)="",$AR11&lt;=0),1E+38,IF($AR11=103,3,IF($AR11=104,2,$AR11)))</f>
        <v>10.869791666666666</v>
      </c>
      <c r="AM11" s="455">
        <f>1*(IF(TRIM($AU11)="13_3",AM$5,AM$1)/AM$2)*(AT11/720)/IF(OR(TRIM($AR11)="",$AR11&lt;=0),1E+38,IF($AR11=103,3,IF($AR11=104,2,$AR11)))</f>
        <v>5.8611111111111107</v>
      </c>
      <c r="AN11" s="455">
        <f>0*(IF(TRIM($AU11)="13_3",AN$5,AN$1)/AN$2)/IF(OR(TRIM($AR11)="",$AR11&lt;=0),1E+38,IF($AR11=103,3,IF($AR11=104,2,$AR11)))</f>
        <v>0</v>
      </c>
      <c r="AO11" s="549">
        <v>120</v>
      </c>
      <c r="AP11" s="549">
        <v>7200</v>
      </c>
      <c r="AQ11" s="549">
        <v>1800</v>
      </c>
      <c r="AR11" s="549">
        <v>103</v>
      </c>
      <c r="AS11" s="549">
        <v>106</v>
      </c>
      <c r="AT11" s="550">
        <f t="shared" si="3"/>
        <v>10</v>
      </c>
      <c r="AU11" s="532"/>
    </row>
    <row r="12" spans="2:47">
      <c r="N12">
        <f>(83-45)*X6</f>
        <v>97.07587200000016</v>
      </c>
      <c r="S12">
        <v>25159</v>
      </c>
      <c r="T12" s="3" t="s">
        <v>792</v>
      </c>
      <c r="U12" s="134" t="s">
        <v>785</v>
      </c>
      <c r="V12" s="218">
        <f t="shared" si="0"/>
        <v>3.0903906249999977</v>
      </c>
      <c r="W12" t="s">
        <v>793</v>
      </c>
      <c r="X12" s="3" t="s">
        <v>794</v>
      </c>
      <c r="Y12" s="217">
        <f t="shared" si="4"/>
        <v>24.723124999999982</v>
      </c>
      <c r="Z12">
        <v>11.0444444444444</v>
      </c>
      <c r="AA12">
        <v>2.5244444444444398</v>
      </c>
      <c r="AB12">
        <v>0.284444444444444</v>
      </c>
      <c r="AC12">
        <v>10.8697916666667</v>
      </c>
      <c r="AD12" s="3"/>
      <c r="AE12" s="3"/>
      <c r="AF12" s="535">
        <f t="shared" si="5"/>
        <v>2.1360779999999986</v>
      </c>
      <c r="AG12" s="538">
        <f t="shared" si="6"/>
        <v>0</v>
      </c>
      <c r="AH12" s="531">
        <f t="shared" si="7"/>
        <v>24.723125</v>
      </c>
      <c r="AI12" s="455">
        <f t="shared" si="8"/>
        <v>11.044444444444444</v>
      </c>
      <c r="AJ12" s="455">
        <f t="shared" si="1"/>
        <v>2.5244444444444443</v>
      </c>
      <c r="AK12" s="455">
        <f t="shared" si="2"/>
        <v>0.28444444444444444</v>
      </c>
      <c r="AL12" s="455">
        <f t="shared" si="9"/>
        <v>10.869791666666666</v>
      </c>
      <c r="AM12" s="455">
        <f>0*(IF(TRIM($AU12)="13_3",AM$5,AM$1)/AM$2)*(AT12/720)/IF(OR(TRIM($AR12)="",$AR12&lt;=0),1E+38,IF($AR12=103,3,IF($AR12=104,2,$AR12)))</f>
        <v>0</v>
      </c>
      <c r="AN12" s="455">
        <f>0*(IF(TRIM($AU12)="13_3",AN$5,AN$1)/AN$2)/IF(OR(TRIM($AR12)="",$AR12&lt;=0),1E+38,IF($AR12=103,3,IF($AR12=104,2,$AR12)))</f>
        <v>0</v>
      </c>
      <c r="AO12" s="549">
        <v>180</v>
      </c>
      <c r="AP12" s="549">
        <v>7200</v>
      </c>
      <c r="AQ12" s="549">
        <v>1800</v>
      </c>
      <c r="AR12" s="549">
        <v>103</v>
      </c>
      <c r="AS12" s="549"/>
      <c r="AT12" s="550">
        <f>IF(OR(AS12="",AS12&lt;105,AS12&gt;109),720,(336+(AS12-107)*(110+(AS12-107)*(25+(AS12-107)*(10+(AS12-107)*(-1)))))/24)</f>
        <v>720</v>
      </c>
      <c r="AU12" s="532"/>
    </row>
    <row r="13" spans="2:47">
      <c r="P13" s="17" t="s">
        <v>795</v>
      </c>
      <c r="S13" s="17">
        <v>25139</v>
      </c>
      <c r="T13" s="3" t="s">
        <v>784</v>
      </c>
      <c r="U13" s="134" t="s">
        <v>785</v>
      </c>
      <c r="V13" s="218">
        <f t="shared" si="0"/>
        <v>3.7806684027777853</v>
      </c>
      <c r="W13" t="s">
        <v>793</v>
      </c>
      <c r="X13" s="3" t="s">
        <v>787</v>
      </c>
      <c r="Y13" s="217">
        <f t="shared" si="4"/>
        <v>30.245347222222282</v>
      </c>
      <c r="Z13">
        <v>16.566666666666698</v>
      </c>
      <c r="AA13">
        <v>2.5244444444444398</v>
      </c>
      <c r="AB13">
        <v>0.284444444444444</v>
      </c>
      <c r="AC13">
        <v>10.8697916666667</v>
      </c>
      <c r="AD13" s="3"/>
      <c r="AE13" s="3"/>
      <c r="AF13" s="535">
        <f t="shared" si="5"/>
        <v>2.613198000000005</v>
      </c>
      <c r="AG13" s="538">
        <f t="shared" si="6"/>
        <v>-6.0396132539608516E-14</v>
      </c>
      <c r="AH13" s="531">
        <f t="shared" si="7"/>
        <v>30.245347222222222</v>
      </c>
      <c r="AI13" s="455">
        <f t="shared" si="8"/>
        <v>16.566666666666666</v>
      </c>
      <c r="AJ13" s="455">
        <f t="shared" si="1"/>
        <v>2.5244444444444443</v>
      </c>
      <c r="AK13" s="455">
        <f t="shared" si="2"/>
        <v>0.28444444444444444</v>
      </c>
      <c r="AL13" s="455">
        <f t="shared" si="9"/>
        <v>10.869791666666666</v>
      </c>
      <c r="AM13" s="455">
        <f t="shared" ref="AM13:AM16" si="10">0*(IF(TRIM($AU13)="13_3",AM$5,AM$1)/AM$2)*(AT13/720)/IF(OR(TRIM($AR13)="",$AR13&lt;=0),1E+38,IF($AR13=103,3,IF($AR13=104,2,$AR13)))</f>
        <v>0</v>
      </c>
      <c r="AN13" s="455">
        <f>0*(IF(TRIM($AU13)="13_3",AN$5,AN$1)/AN$2)/IF(OR(TRIM($AR13)="",$AR13&lt;=0),1E+38,IF($AR13=103,3,IF($AR13=104,2,$AR13)))</f>
        <v>0</v>
      </c>
      <c r="AO13" s="549">
        <v>120</v>
      </c>
      <c r="AP13" s="549">
        <v>7200</v>
      </c>
      <c r="AQ13" s="549">
        <v>1800</v>
      </c>
      <c r="AR13" s="549">
        <v>103</v>
      </c>
      <c r="AS13" s="549"/>
      <c r="AT13" s="550">
        <f t="shared" ref="AT13:AT31" si="11">IF(OR(AS13="",AS13&lt;105,AS13&gt;109),720,(336+(AS13-107)*(110+(AS13-107)*(25+(AS13-107)*(10+(AS13-107)*(-1)))))/24)</f>
        <v>720</v>
      </c>
      <c r="AU13" s="532"/>
    </row>
    <row r="14" spans="2:47">
      <c r="S14">
        <v>25159</v>
      </c>
      <c r="T14" t="s">
        <v>792</v>
      </c>
      <c r="U14" s="134" t="s">
        <v>785</v>
      </c>
      <c r="V14" s="218">
        <f t="shared" si="0"/>
        <v>0.34244791666666624</v>
      </c>
      <c r="W14" t="s">
        <v>796</v>
      </c>
      <c r="X14" s="3" t="s">
        <v>794</v>
      </c>
      <c r="Y14" s="217">
        <f t="shared" si="4"/>
        <v>2.7395833333333299</v>
      </c>
      <c r="AD14" s="3"/>
      <c r="AE14">
        <v>2.7395833333333299</v>
      </c>
      <c r="AF14" s="535">
        <f t="shared" si="5"/>
        <v>0.23669999999999972</v>
      </c>
      <c r="AG14" s="538">
        <f t="shared" si="6"/>
        <v>3.5527136788005009E-15</v>
      </c>
      <c r="AH14" s="531">
        <f t="shared" si="7"/>
        <v>2.7395833333333335</v>
      </c>
      <c r="AI14" s="455">
        <f>0*(IF(TRIM($AU14)="13_3",AI$5,AI$1)/AI$2)/IF(OR(TRIM(AO14)="",AO14&lt;=0),1E+38,AO14)</f>
        <v>0</v>
      </c>
      <c r="AJ14" s="455">
        <f>0*(IF(TRIM($AU14)="13_3",AJ$5,AJ$1)/AJ$2)/IF(OR(TRIM(AP14)="",AP14&lt;=0),1E+38,AP14)</f>
        <v>0</v>
      </c>
      <c r="AK14" s="455">
        <f>0*(IF(TRIM($AU14)="13_3",AK$5,AK$1)/AK$2)/IF(OR(TRIM(AQ14)="",AQ14&lt;=0),1E+38,AQ14)</f>
        <v>0</v>
      </c>
      <c r="AL14" s="455">
        <f>0*(IF(TRIM($AU14)="13_3",AL$5,AL$1)/AL$2)/IF(OR(TRIM($AR14)="",$AR14&lt;=0),1E+38,IF($AR14=103,3,IF($AR14=104,2,$AR14)))</f>
        <v>0</v>
      </c>
      <c r="AM14" s="455">
        <f t="shared" si="10"/>
        <v>0</v>
      </c>
      <c r="AN14" s="455">
        <f>1*(IF(TRIM($AU14)="13_3",AN$5,AN$1)/AN$2)/IF(OR(TRIM($AR14)="",$AR14&lt;=0),1E+38,IF($AR14=103,3,IF($AR14=104,2,$AR14)))</f>
        <v>2.7395833333333335</v>
      </c>
      <c r="AO14" s="549"/>
      <c r="AP14" s="549"/>
      <c r="AQ14" s="549"/>
      <c r="AR14" s="549">
        <v>103</v>
      </c>
      <c r="AS14" s="549"/>
      <c r="AT14" s="550">
        <f t="shared" si="11"/>
        <v>720</v>
      </c>
      <c r="AU14" s="532"/>
    </row>
    <row r="15" spans="2:47">
      <c r="S15" s="17" t="s">
        <v>797</v>
      </c>
      <c r="T15" s="3" t="s">
        <v>798</v>
      </c>
      <c r="U15" s="134" t="s">
        <v>785</v>
      </c>
      <c r="V15" s="218">
        <f t="shared" si="0"/>
        <v>1.7316666666666605</v>
      </c>
      <c r="W15" t="s">
        <v>799</v>
      </c>
      <c r="X15" s="3" t="s">
        <v>794</v>
      </c>
      <c r="Y15" s="217">
        <f t="shared" si="4"/>
        <v>13.853333333333284</v>
      </c>
      <c r="Z15">
        <v>11.0444444444444</v>
      </c>
      <c r="AA15">
        <v>2.5244444444444398</v>
      </c>
      <c r="AB15">
        <v>0.284444444444444</v>
      </c>
      <c r="AF15" s="535">
        <f t="shared" si="5"/>
        <v>1.1969279999999958</v>
      </c>
      <c r="AG15" s="538">
        <f t="shared" si="6"/>
        <v>4.9737991503207013E-14</v>
      </c>
      <c r="AH15" s="531">
        <f t="shared" si="7"/>
        <v>13.853333333333333</v>
      </c>
      <c r="AI15" s="455">
        <f t="shared" ref="AI15:AI16" si="12">1*(IF(TRIM($AU15)="13_3",AI$5,AI$1)/AI$2)/IF(OR(TRIM(AO15)="",AO15&lt;=0),1E+38,AO15)</f>
        <v>11.044444444444444</v>
      </c>
      <c r="AJ15" s="455">
        <f t="shared" ref="AJ15:AJ16" si="13">1*(IF(TRIM($AU15)="13_3",AJ$5,AJ$1)/AJ$2)/IF(OR(TRIM(AP15)="",AP15&lt;=0),1E+38,AP15)</f>
        <v>2.5244444444444443</v>
      </c>
      <c r="AK15" s="455">
        <f t="shared" ref="AK15:AK16" si="14">1*(IF(TRIM($AU15)="13_3",AK$5,AK$1)/AK$2)/IF(OR(TRIM(AQ15)="",AQ15&lt;=0),1E+38,AQ15)</f>
        <v>0.28444444444444444</v>
      </c>
      <c r="AL15" s="455">
        <f t="shared" ref="AL15:AL17" si="15">0*(IF(TRIM($AU15)="13_3",AL$5,AL$1)/AL$2)/IF(OR(TRIM($AR15)="",$AR15&lt;=0),1E+38,IF($AR15=103,3,IF($AR15=104,2,$AR15)))</f>
        <v>0</v>
      </c>
      <c r="AM15" s="455">
        <f t="shared" si="10"/>
        <v>0</v>
      </c>
      <c r="AN15" s="455">
        <f t="shared" ref="AN15:AN16" si="16">0*(IF(TRIM($AU15)="13_3",AN$5,AN$1)/AN$2)/IF(OR(TRIM($AR15)="",$AR15&lt;=0),1E+38,IF($AR15=103,3,IF($AR15=104,2,$AR15)))</f>
        <v>0</v>
      </c>
      <c r="AO15" s="549">
        <v>180</v>
      </c>
      <c r="AP15" s="549">
        <v>7200</v>
      </c>
      <c r="AQ15" s="549">
        <v>1800</v>
      </c>
      <c r="AR15" s="549"/>
      <c r="AS15" s="549"/>
      <c r="AT15" s="550">
        <f t="shared" si="11"/>
        <v>720</v>
      </c>
      <c r="AU15" s="532"/>
    </row>
    <row r="16" spans="2:47">
      <c r="P16" s="219"/>
      <c r="Q16" s="219" t="s">
        <v>800</v>
      </c>
      <c r="R16" s="219"/>
      <c r="S16" s="220" t="s">
        <v>801</v>
      </c>
      <c r="T16" s="221" t="s">
        <v>798</v>
      </c>
      <c r="U16" s="222" t="s">
        <v>785</v>
      </c>
      <c r="V16" s="223">
        <f t="shared" si="0"/>
        <v>2.4219444444444478</v>
      </c>
      <c r="W16" s="219" t="s">
        <v>799</v>
      </c>
      <c r="X16" s="221" t="s">
        <v>787</v>
      </c>
      <c r="Y16" s="217">
        <f t="shared" si="4"/>
        <v>19.375555555555582</v>
      </c>
      <c r="Z16">
        <v>16.566666666666698</v>
      </c>
      <c r="AA16">
        <v>2.5244444444444398</v>
      </c>
      <c r="AB16">
        <v>0.284444444444444</v>
      </c>
      <c r="AF16" s="535">
        <f t="shared" si="5"/>
        <v>1.6740480000000024</v>
      </c>
      <c r="AG16" s="538">
        <f t="shared" si="6"/>
        <v>-2.8421709430404007E-14</v>
      </c>
      <c r="AH16" s="531">
        <f t="shared" si="7"/>
        <v>19.375555555555554</v>
      </c>
      <c r="AI16" s="455">
        <f t="shared" si="12"/>
        <v>16.566666666666666</v>
      </c>
      <c r="AJ16" s="455">
        <f t="shared" si="13"/>
        <v>2.5244444444444443</v>
      </c>
      <c r="AK16" s="455">
        <f t="shared" si="14"/>
        <v>0.28444444444444444</v>
      </c>
      <c r="AL16" s="455">
        <f t="shared" si="15"/>
        <v>0</v>
      </c>
      <c r="AM16" s="455">
        <f t="shared" si="10"/>
        <v>0</v>
      </c>
      <c r="AN16" s="455">
        <f t="shared" si="16"/>
        <v>0</v>
      </c>
      <c r="AO16" s="549">
        <v>120</v>
      </c>
      <c r="AP16" s="549">
        <v>7200</v>
      </c>
      <c r="AQ16" s="549">
        <v>1800</v>
      </c>
      <c r="AR16" s="549"/>
      <c r="AS16" s="549"/>
      <c r="AT16" s="550">
        <f t="shared" si="11"/>
        <v>720</v>
      </c>
      <c r="AU16" s="532"/>
    </row>
    <row r="17" spans="14:47">
      <c r="Q17" t="s">
        <v>802</v>
      </c>
      <c r="S17">
        <v>25181</v>
      </c>
      <c r="T17" s="17" t="s">
        <v>803</v>
      </c>
      <c r="U17" s="134" t="s">
        <v>785</v>
      </c>
      <c r="V17" s="218">
        <f t="shared" si="0"/>
        <v>2.1248784722222167</v>
      </c>
      <c r="W17" t="s">
        <v>804</v>
      </c>
      <c r="X17" s="3" t="s">
        <v>794</v>
      </c>
      <c r="Y17" s="217">
        <f t="shared" si="4"/>
        <v>16.999027777777734</v>
      </c>
      <c r="Z17">
        <v>11.0444444444444</v>
      </c>
      <c r="AB17">
        <v>0.284444444444444</v>
      </c>
      <c r="AD17">
        <v>2.9305555555555598</v>
      </c>
      <c r="AE17">
        <v>2.7395833333333299</v>
      </c>
      <c r="AF17" s="535">
        <f t="shared" si="5"/>
        <v>1.4687159999999964</v>
      </c>
      <c r="AG17" s="538">
        <f t="shared" si="6"/>
        <v>4.2632564145606011E-14</v>
      </c>
      <c r="AH17" s="531">
        <f t="shared" si="7"/>
        <v>16.999027777777776</v>
      </c>
      <c r="AI17" s="455">
        <f>1*(IF(TRIM($AU17)="13_3",AI$5,AI$1)/AI$2)/IF(OR(TRIM(AO17)="",AO17&lt;=0),1E+38,AO17)</f>
        <v>11.044444444444444</v>
      </c>
      <c r="AJ17" s="455">
        <f>0*(IF(TRIM($AU17)="13_3",AJ$5,AJ$1)/AJ$2)/IF(OR(TRIM(AP17)="",AP17&lt;=0),1E+38,AP17)</f>
        <v>0</v>
      </c>
      <c r="AK17" s="455">
        <f>1*(IF(TRIM($AU17)="13_3",AK$5,AK$1)/AK$2)/IF(OR(TRIM(AQ17)="",AQ17&lt;=0),1E+38,AQ17)</f>
        <v>0.28444444444444444</v>
      </c>
      <c r="AL17" s="455">
        <f t="shared" si="15"/>
        <v>0</v>
      </c>
      <c r="AM17" s="455">
        <f>1*(IF(TRIM($AU17)="13_3",AM$5,AM$1)/AM$2)*(AT17/720)/IF(OR(TRIM($AR17)="",$AR17&lt;=0),1E+38,IF($AR17=103,3,IF($AR17=104,2,$AR17)))</f>
        <v>2.9305555555555554</v>
      </c>
      <c r="AN17" s="455">
        <f>1*(IF(TRIM($AU17)="13_3",AN$5,AN$1)/AN$2)/IF(OR(TRIM($AR17)="",$AR17&lt;=0),1E+38,IF($AR17=103,3,IF($AR17=104,2,$AR17)))</f>
        <v>2.7395833333333335</v>
      </c>
      <c r="AO17" s="549">
        <v>180</v>
      </c>
      <c r="AP17" s="549"/>
      <c r="AQ17" s="549">
        <v>1800</v>
      </c>
      <c r="AR17" s="549">
        <v>103</v>
      </c>
      <c r="AS17" s="549">
        <v>105</v>
      </c>
      <c r="AT17" s="550">
        <f t="shared" si="11"/>
        <v>5</v>
      </c>
      <c r="AU17" s="532"/>
    </row>
    <row r="18" spans="14:47">
      <c r="Q18" t="s">
        <v>805</v>
      </c>
      <c r="S18">
        <v>25181</v>
      </c>
      <c r="T18" s="17" t="s">
        <v>803</v>
      </c>
      <c r="U18" s="134" t="s">
        <v>785</v>
      </c>
      <c r="V18" s="218">
        <f t="shared" si="0"/>
        <v>1.6742795138888924</v>
      </c>
      <c r="W18" t="s">
        <v>806</v>
      </c>
      <c r="X18" s="3" t="s">
        <v>794</v>
      </c>
      <c r="Y18" s="217">
        <f t="shared" si="4"/>
        <v>13.394236111111139</v>
      </c>
      <c r="AA18">
        <v>2.5244444444444398</v>
      </c>
      <c r="AC18">
        <v>10.8697916666667</v>
      </c>
      <c r="AF18" s="535">
        <f t="shared" si="5"/>
        <v>1.1572620000000022</v>
      </c>
      <c r="AG18" s="538">
        <f t="shared" si="6"/>
        <v>-2.8421709430404007E-14</v>
      </c>
      <c r="AH18" s="531">
        <f t="shared" si="7"/>
        <v>13.394236111111111</v>
      </c>
      <c r="AI18" s="455">
        <f>0*(IF(TRIM($AU18)="13_3",AI$5,AI$1)/AI$2)/IF(OR(TRIM(AO18)="",AO18&lt;=0),1E+38,AO18)</f>
        <v>0</v>
      </c>
      <c r="AJ18" s="455">
        <f>1*(IF(TRIM($AU18)="13_3",AJ$5,AJ$1)/AJ$2)/IF(OR(TRIM(AP18)="",AP18&lt;=0),1E+38,AP18)</f>
        <v>2.5244444444444443</v>
      </c>
      <c r="AK18" s="455">
        <f>0*(IF(TRIM($AU18)="13_3",AK$5,AK$1)/AK$2)/IF(OR(TRIM(AQ18)="",AQ18&lt;=0),1E+38,AQ18)</f>
        <v>0</v>
      </c>
      <c r="AL18" s="455">
        <f>1*(IF(TRIM($AU18)="13_3",AL$5,AL$1)/AL$2)/IF(OR(TRIM($AR18)="",$AR18&lt;=0),1E+38,IF($AR18=103,3,IF($AR18=104,2,$AR18)))</f>
        <v>10.869791666666666</v>
      </c>
      <c r="AM18" s="455">
        <f>0*(IF(TRIM($AU18)="13_3",AM$5,AM$1)/AM$2)*(AT18/720)/IF(OR(TRIM($AR18)="",$AR18&lt;=0),1E+38,IF($AR18=103,3,IF($AR18=104,2,$AR18)))</f>
        <v>0</v>
      </c>
      <c r="AN18" s="455">
        <f>0*(IF(TRIM($AU18)="13_3",AN$5,AN$1)/AN$2)/IF(OR(TRIM($AR18)="",$AR18&lt;=0),1E+38,IF($AR18=103,3,IF($AR18=104,2,$AR18)))</f>
        <v>0</v>
      </c>
      <c r="AO18" s="549"/>
      <c r="AP18" s="549">
        <v>7200</v>
      </c>
      <c r="AQ18" s="549"/>
      <c r="AR18" s="549">
        <v>103</v>
      </c>
      <c r="AS18" s="549"/>
      <c r="AT18" s="550">
        <f t="shared" si="11"/>
        <v>720</v>
      </c>
      <c r="AU18" s="532"/>
    </row>
    <row r="19" spans="14:47">
      <c r="S19">
        <v>25181</v>
      </c>
      <c r="T19" t="s">
        <v>803</v>
      </c>
      <c r="U19" s="134" t="s">
        <v>785</v>
      </c>
      <c r="V19" s="218">
        <f t="shared" si="0"/>
        <v>3.7991579861111089</v>
      </c>
      <c r="W19" t="s">
        <v>807</v>
      </c>
      <c r="X19" s="3" t="s">
        <v>794</v>
      </c>
      <c r="Y19" s="217">
        <f t="shared" si="4"/>
        <v>30.393263888888871</v>
      </c>
      <c r="Z19">
        <v>11.0444444444444</v>
      </c>
      <c r="AA19">
        <v>2.5244444444444398</v>
      </c>
      <c r="AB19">
        <v>0.284444444444444</v>
      </c>
      <c r="AC19">
        <v>10.8697916666667</v>
      </c>
      <c r="AD19">
        <v>2.9305555555555598</v>
      </c>
      <c r="AE19">
        <v>2.7395833333333299</v>
      </c>
      <c r="AF19" s="535">
        <f t="shared" si="5"/>
        <v>2.6259779999999986</v>
      </c>
      <c r="AG19" s="538">
        <f t="shared" si="6"/>
        <v>0</v>
      </c>
      <c r="AH19" s="531">
        <f t="shared" si="7"/>
        <v>30.393263888888885</v>
      </c>
      <c r="AI19" s="455">
        <f t="shared" ref="AI19:AK19" si="17">1*(IF(TRIM($AU19)="13_3",AI$5,AI$1)/AI$2)/IF(OR(TRIM(AO19)="",AO19&lt;=0),1E+38,AO19)</f>
        <v>11.044444444444444</v>
      </c>
      <c r="AJ19" s="455">
        <f t="shared" si="17"/>
        <v>2.5244444444444443</v>
      </c>
      <c r="AK19" s="455">
        <f t="shared" si="17"/>
        <v>0.28444444444444444</v>
      </c>
      <c r="AL19" s="455">
        <f>1*(IF(TRIM($AU19)="13_3",AL$5,AL$1)/AL$2)/IF(OR(TRIM($AR19)="",$AR19&lt;=0),1E+38,IF($AR19=103,3,IF($AR19=104,2,$AR19)))</f>
        <v>10.869791666666666</v>
      </c>
      <c r="AM19" s="455">
        <f t="shared" ref="AM19:AM21" si="18">1*(IF(TRIM($AU19)="13_3",AM$5,AM$1)/AM$2)*(AT19/720)/IF(OR(TRIM($AR19)="",$AR19&lt;=0),1E+38,IF($AR19=103,3,IF($AR19=104,2,$AR19)))</f>
        <v>2.9305555555555554</v>
      </c>
      <c r="AN19" s="455">
        <f>1*(IF(TRIM($AU19)="13_3",AN$5,AN$1)/AN$2)/IF(OR(TRIM($AR19)="",$AR19&lt;=0),1E+38,IF($AR19=103,3,IF($AR19=104,2,$AR19)))</f>
        <v>2.7395833333333335</v>
      </c>
      <c r="AO19" s="549">
        <v>180</v>
      </c>
      <c r="AP19" s="549">
        <v>7200</v>
      </c>
      <c r="AQ19" s="549">
        <v>1800</v>
      </c>
      <c r="AR19" s="549">
        <v>103</v>
      </c>
      <c r="AS19" s="549">
        <v>105</v>
      </c>
      <c r="AT19" s="550">
        <f t="shared" si="11"/>
        <v>5</v>
      </c>
      <c r="AU19" s="532"/>
    </row>
    <row r="20" spans="14:47">
      <c r="S20">
        <v>25159</v>
      </c>
      <c r="T20" t="s">
        <v>792</v>
      </c>
      <c r="U20" s="134" t="s">
        <v>785</v>
      </c>
      <c r="V20" s="218">
        <f t="shared" si="0"/>
        <v>52.75</v>
      </c>
      <c r="W20" t="s">
        <v>808</v>
      </c>
      <c r="X20" s="3" t="s">
        <v>794</v>
      </c>
      <c r="Y20" s="217">
        <f t="shared" si="4"/>
        <v>422</v>
      </c>
      <c r="AD20">
        <v>422</v>
      </c>
      <c r="AF20" s="535">
        <f t="shared" si="5"/>
        <v>36.460799999999999</v>
      </c>
      <c r="AG20" s="538">
        <f t="shared" si="6"/>
        <v>0</v>
      </c>
      <c r="AH20" s="531">
        <f t="shared" si="7"/>
        <v>422</v>
      </c>
      <c r="AI20" s="455">
        <f t="shared" ref="AI20:AK20" si="19">0*(IF(TRIM($AU20)="13_3",AI$5,AI$1)/AI$2)/IF(OR(TRIM(AO20)="",AO20&lt;=0),1E+38,AO20)</f>
        <v>0</v>
      </c>
      <c r="AJ20" s="455">
        <f t="shared" si="19"/>
        <v>0</v>
      </c>
      <c r="AK20" s="455">
        <f t="shared" si="19"/>
        <v>0</v>
      </c>
      <c r="AL20" s="455">
        <f>0*(IF(TRIM($AU20)="13_3",AL$5,AL$1)/AL$2)/IF(OR(TRIM($AR20)="",$AR20&lt;=0),1E+38,IF($AR20=103,3,IF($AR20=104,2,$AR20)))</f>
        <v>0</v>
      </c>
      <c r="AM20" s="455">
        <f t="shared" si="18"/>
        <v>422</v>
      </c>
      <c r="AN20" s="455">
        <f>0*(IF(TRIM($AU20)="13_3",AN$5,AN$1)/AN$2)/IF(OR(TRIM($AR20)="",$AR20&lt;=0),1E+38,IF($AR20=103,3,IF($AR20=104,2,$AR20)))</f>
        <v>0</v>
      </c>
      <c r="AO20" s="549"/>
      <c r="AP20" s="549"/>
      <c r="AQ20" s="549"/>
      <c r="AR20" s="549">
        <v>103</v>
      </c>
      <c r="AS20" s="549">
        <v>110</v>
      </c>
      <c r="AT20" s="550">
        <f t="shared" si="11"/>
        <v>720</v>
      </c>
      <c r="AU20" s="532"/>
    </row>
    <row r="21" spans="14:47" ht="15.75" thickBot="1">
      <c r="Q21" t="s">
        <v>4089</v>
      </c>
      <c r="T21" s="17" t="s">
        <v>809</v>
      </c>
      <c r="U21" s="134" t="s">
        <v>785</v>
      </c>
      <c r="V21" s="218">
        <f t="shared" si="0"/>
        <v>1.7889843749999992</v>
      </c>
      <c r="W21" t="s">
        <v>810</v>
      </c>
      <c r="X21" s="3" t="s">
        <v>811</v>
      </c>
      <c r="Y21" s="217">
        <f t="shared" si="4"/>
        <v>14.311874999999993</v>
      </c>
      <c r="Z21">
        <v>5.5222222222222204</v>
      </c>
      <c r="AB21">
        <v>0.284444444444444</v>
      </c>
      <c r="AD21">
        <v>4.3958333333333304</v>
      </c>
      <c r="AE21">
        <v>4.109375</v>
      </c>
      <c r="AF21" s="535">
        <f t="shared" si="5"/>
        <v>1.2365459999999995</v>
      </c>
      <c r="AG21" s="538">
        <f t="shared" si="6"/>
        <v>0</v>
      </c>
      <c r="AH21" s="531">
        <f t="shared" si="7"/>
        <v>14.311875000000001</v>
      </c>
      <c r="AI21" s="455">
        <f>1*(IF(TRIM($AU21)="13_3",AI$5,AI$1)/AI$2)/IF(OR(TRIM(AO21)="",AO21&lt;=0),1E+38,AO21)</f>
        <v>5.5222222222222221</v>
      </c>
      <c r="AJ21" s="455">
        <f>0*(IF(TRIM($AU21)="13_3",AJ$5,AJ$1)/AJ$2)/IF(OR(TRIM(AP21)="",AP21&lt;=0),1E+38,AP21)</f>
        <v>0</v>
      </c>
      <c r="AK21" s="455">
        <f>1*(IF(TRIM($AU21)="13_3",AK$5,AK$1)/AK$2)/IF(OR(TRIM(AQ21)="",AQ21&lt;=0),1E+38,AQ21)</f>
        <v>0.28444444444444444</v>
      </c>
      <c r="AL21" s="455">
        <f>0*(IF(TRIM($AU21)="13_3",AL$5,AL$1)/AL$2)/IF(OR(TRIM($AR21)="",$AR21&lt;=0),1E+38,IF($AR21=103,3,IF($AR21=104,2,$AR21)))</f>
        <v>0</v>
      </c>
      <c r="AM21" s="455">
        <f t="shared" si="18"/>
        <v>4.395833333333333</v>
      </c>
      <c r="AN21" s="455">
        <f>1*(IF(TRIM($AU21)="13_3",AN$5,AN$1)/AN$2)/IF(OR(TRIM($AR21)="",$AR21&lt;=0),1E+38,IF($AR21=103,3,IF($AR21=104,2,$AR21)))</f>
        <v>4.109375</v>
      </c>
      <c r="AO21" s="549">
        <v>360</v>
      </c>
      <c r="AP21" s="549"/>
      <c r="AQ21" s="549">
        <v>1800</v>
      </c>
      <c r="AR21" s="549">
        <v>104</v>
      </c>
      <c r="AS21" s="549">
        <v>105</v>
      </c>
      <c r="AT21" s="550">
        <f t="shared" si="11"/>
        <v>5</v>
      </c>
      <c r="AU21" s="532"/>
    </row>
    <row r="22" spans="14:47" ht="15.75" thickBot="1">
      <c r="Q22" s="91" t="s">
        <v>805</v>
      </c>
      <c r="R22" s="91"/>
      <c r="S22" s="91"/>
      <c r="T22" s="146" t="s">
        <v>4090</v>
      </c>
      <c r="U22" s="134" t="s">
        <v>785</v>
      </c>
      <c r="V22" s="218">
        <f t="shared" ref="V22" si="20">Y22/8</f>
        <v>4.5625303819444447</v>
      </c>
      <c r="W22" t="s">
        <v>805</v>
      </c>
      <c r="X22" s="3" t="s">
        <v>4170</v>
      </c>
      <c r="Y22" s="217">
        <f t="shared" ref="Y22" si="21">SUM(Z22:AE22)</f>
        <v>36.500243055555558</v>
      </c>
      <c r="AA22">
        <v>20.195555555555554</v>
      </c>
      <c r="AC22">
        <v>16.3046875</v>
      </c>
      <c r="AF22" s="535">
        <f t="shared" ref="AF22" si="22">Y22*86400/1000000</f>
        <v>3.1536209999999998</v>
      </c>
      <c r="AG22" s="538">
        <f t="shared" si="6"/>
        <v>0</v>
      </c>
      <c r="AH22" s="531">
        <f t="shared" si="7"/>
        <v>36.500243055555558</v>
      </c>
      <c r="AI22" s="455">
        <f>0*(IF(TRIM($AU22)="13_3",AI$5,AI$1)/AI$2)/IF(OR(TRIM(AO22)="",AO22&lt;=0),1E+38,AO22)</f>
        <v>0</v>
      </c>
      <c r="AJ22" s="455">
        <f>1*(IF(TRIM($AU22)="13_3",AJ$5,AJ$1)/AJ$2)/IF(OR(TRIM(AP22)="",AP22&lt;=0),1E+38,AP22)</f>
        <v>20.195555555555554</v>
      </c>
      <c r="AK22" s="455">
        <f>0*(IF(TRIM($AU22)="13_3",AK$5,AK$1)/AK$2)/IF(OR(TRIM(AQ22)="",AQ22&lt;=0),1E+38,AQ22)</f>
        <v>0</v>
      </c>
      <c r="AL22" s="455">
        <f>1*(IF(TRIM($AU22)="13_3",AL$5,AL$1)/AL$2)/IF(OR(TRIM($AR22)="",$AR22&lt;=0),1E+38,IF($AR22=103,3,IF($AR22=104,2,$AR22)))</f>
        <v>16.3046875</v>
      </c>
      <c r="AM22" s="455">
        <f t="shared" ref="AM22:AM25" si="23">0*(IF(TRIM($AU22)="13_3",AM$5,AM$1)/AM$2)*(AT22/720)/IF(OR(TRIM($AR22)="",$AR22&lt;=0),1E+38,IF($AR22=103,3,IF($AR22=104,2,$AR22)))</f>
        <v>0</v>
      </c>
      <c r="AN22" s="455">
        <f t="shared" ref="AN22:AN24" si="24">0*(IF(TRIM($AU22)="13_3",AN$5,AN$1)/AN$2)/IF(OR(TRIM($AR22)="",$AR22&lt;=0),1E+38,IF($AR22=103,3,IF($AR22=104,2,$AR22)))</f>
        <v>0</v>
      </c>
      <c r="AO22" s="549"/>
      <c r="AP22" s="549">
        <v>900</v>
      </c>
      <c r="AQ22" s="549"/>
      <c r="AR22" s="549">
        <v>104</v>
      </c>
      <c r="AS22" s="549"/>
      <c r="AT22" s="550">
        <f t="shared" si="11"/>
        <v>720</v>
      </c>
      <c r="AU22" s="532"/>
    </row>
    <row r="23" spans="14:47" ht="15.75" thickBot="1">
      <c r="Q23" t="s">
        <v>1534</v>
      </c>
      <c r="S23">
        <v>25159</v>
      </c>
      <c r="T23" s="3" t="s">
        <v>792</v>
      </c>
      <c r="U23" s="134" t="s">
        <v>785</v>
      </c>
      <c r="V23" s="218">
        <f t="shared" ref="V23:V29" si="25">Y23/8</f>
        <v>3.2851736111111056</v>
      </c>
      <c r="W23" t="s">
        <v>793</v>
      </c>
      <c r="X23" s="3" t="s">
        <v>794</v>
      </c>
      <c r="Y23" s="217">
        <f t="shared" ref="Y23:Y29" si="26">SUM(Z23:AE23)</f>
        <v>26.281388888888845</v>
      </c>
      <c r="Z23">
        <v>11.0444444444444</v>
      </c>
      <c r="AA23">
        <v>2.7650000000000001</v>
      </c>
      <c r="AB23">
        <v>0.284444444444444</v>
      </c>
      <c r="AC23">
        <v>12.1875</v>
      </c>
      <c r="AD23" s="3"/>
      <c r="AE23" s="3"/>
      <c r="AF23" s="535">
        <f t="shared" ref="AF23:AF30" si="27">Y23*86400/1000000</f>
        <v>2.2707119999999961</v>
      </c>
      <c r="AG23" s="538">
        <f t="shared" si="6"/>
        <v>4.6185277824406512E-14</v>
      </c>
      <c r="AH23" s="531">
        <f t="shared" si="7"/>
        <v>26.281388888888891</v>
      </c>
      <c r="AI23" s="455">
        <f t="shared" ref="AI23:AI24" si="28">1*(IF(TRIM($AU23)="13_3",AI$5,AI$1)/AI$2)/IF(OR(TRIM(AO23)="",AO23&lt;=0),1E+38,AO23)</f>
        <v>11.044444444444444</v>
      </c>
      <c r="AJ23" s="455">
        <f t="shared" ref="AJ23:AJ24" si="29">1*(IF(TRIM($AU23)="13_3",AJ$5,AJ$1)/AJ$2)/IF(OR(TRIM(AP23)="",AP23&lt;=0),1E+38,AP23)</f>
        <v>2.7650000000000001</v>
      </c>
      <c r="AK23" s="455">
        <f t="shared" ref="AK23:AK24" si="30">1*(IF(TRIM($AU23)="13_3",AK$5,AK$1)/AK$2)/IF(OR(TRIM(AQ23)="",AQ23&lt;=0),1E+38,AQ23)</f>
        <v>0.28444444444444444</v>
      </c>
      <c r="AL23" s="455">
        <f>1*(IF(TRIM($AU23)="13_3",AL$5,AL$1)/AL$2)/IF(OR(TRIM($AR23)="",$AR23&lt;=0),1E+38,IF($AR23=103,3,IF($AR23=104,2,$AR23)))</f>
        <v>12.1875</v>
      </c>
      <c r="AM23" s="455">
        <f t="shared" si="23"/>
        <v>0</v>
      </c>
      <c r="AN23" s="455">
        <f t="shared" si="24"/>
        <v>0</v>
      </c>
      <c r="AO23" s="549">
        <v>180</v>
      </c>
      <c r="AP23" s="549">
        <v>7200</v>
      </c>
      <c r="AQ23" s="549">
        <v>1800</v>
      </c>
      <c r="AR23" s="549">
        <v>103</v>
      </c>
      <c r="AS23" s="549"/>
      <c r="AT23" s="550">
        <f t="shared" si="11"/>
        <v>720</v>
      </c>
      <c r="AU23" s="532" t="s">
        <v>8559</v>
      </c>
    </row>
    <row r="24" spans="14:47">
      <c r="Q24" t="s">
        <v>1535</v>
      </c>
      <c r="S24" s="17" t="s">
        <v>797</v>
      </c>
      <c r="T24" s="3" t="s">
        <v>798</v>
      </c>
      <c r="U24" s="134" t="s">
        <v>785</v>
      </c>
      <c r="V24" s="218">
        <f t="shared" si="25"/>
        <v>1.7617361111111056</v>
      </c>
      <c r="W24" t="s">
        <v>799</v>
      </c>
      <c r="X24" s="3" t="s">
        <v>794</v>
      </c>
      <c r="Y24" s="217">
        <f t="shared" si="26"/>
        <v>14.093888888888845</v>
      </c>
      <c r="Z24">
        <v>11.0444444444444</v>
      </c>
      <c r="AA24">
        <v>2.7650000000000001</v>
      </c>
      <c r="AB24">
        <v>0.284444444444444</v>
      </c>
      <c r="AF24" s="535">
        <f t="shared" si="27"/>
        <v>1.2177119999999964</v>
      </c>
      <c r="AG24" s="538">
        <f t="shared" si="6"/>
        <v>4.4408920985006262E-14</v>
      </c>
      <c r="AH24" s="531">
        <f t="shared" si="7"/>
        <v>14.093888888888889</v>
      </c>
      <c r="AI24" s="455">
        <f t="shared" si="28"/>
        <v>11.044444444444444</v>
      </c>
      <c r="AJ24" s="455">
        <f t="shared" si="29"/>
        <v>2.7650000000000001</v>
      </c>
      <c r="AK24" s="455">
        <f t="shared" si="30"/>
        <v>0.28444444444444444</v>
      </c>
      <c r="AL24" s="455">
        <f t="shared" ref="AL24:AL27" si="31">0*(IF(TRIM($AU24)="13_3",AL$5,AL$1)/AL$2)/IF(OR(TRIM($AR24)="",$AR24&lt;=0),1E+38,IF($AR24=103,3,IF($AR24=104,2,$AR24)))</f>
        <v>0</v>
      </c>
      <c r="AM24" s="455">
        <f t="shared" si="23"/>
        <v>0</v>
      </c>
      <c r="AN24" s="455">
        <f t="shared" si="24"/>
        <v>0</v>
      </c>
      <c r="AO24" s="549">
        <v>180</v>
      </c>
      <c r="AP24" s="549">
        <v>7200</v>
      </c>
      <c r="AQ24" s="549">
        <v>1800</v>
      </c>
      <c r="AR24" s="549"/>
      <c r="AS24" s="549"/>
      <c r="AT24" s="550">
        <f t="shared" si="11"/>
        <v>720</v>
      </c>
      <c r="AU24" s="532" t="s">
        <v>8559</v>
      </c>
    </row>
    <row r="25" spans="14:47">
      <c r="Q25" t="s">
        <v>1536</v>
      </c>
      <c r="S25">
        <v>25159</v>
      </c>
      <c r="T25" t="s">
        <v>792</v>
      </c>
      <c r="U25" s="134" t="s">
        <v>785</v>
      </c>
      <c r="V25" s="218">
        <f t="shared" si="25"/>
        <v>0.3671875</v>
      </c>
      <c r="W25" t="s">
        <v>796</v>
      </c>
      <c r="X25" s="3" t="s">
        <v>794</v>
      </c>
      <c r="Y25" s="217">
        <f t="shared" si="26"/>
        <v>2.9375</v>
      </c>
      <c r="AD25" s="3"/>
      <c r="AE25">
        <v>2.9375</v>
      </c>
      <c r="AF25" s="535">
        <f t="shared" si="27"/>
        <v>0.25380000000000003</v>
      </c>
      <c r="AG25" s="538">
        <f t="shared" si="6"/>
        <v>0</v>
      </c>
      <c r="AH25" s="531">
        <f t="shared" si="7"/>
        <v>2.9375</v>
      </c>
      <c r="AI25" s="455">
        <f t="shared" ref="AI25:AK25" si="32">0*(IF(TRIM($AU25)="13_3",AI$5,AI$1)/AI$2)/IF(OR(TRIM(AO25)="",AO25&lt;=0),1E+38,AO25)</f>
        <v>0</v>
      </c>
      <c r="AJ25" s="455">
        <f t="shared" si="32"/>
        <v>0</v>
      </c>
      <c r="AK25" s="455">
        <f t="shared" si="32"/>
        <v>0</v>
      </c>
      <c r="AL25" s="455">
        <f t="shared" si="31"/>
        <v>0</v>
      </c>
      <c r="AM25" s="455">
        <f t="shared" si="23"/>
        <v>0</v>
      </c>
      <c r="AN25" s="455">
        <f>1*(IF(TRIM($AU25)="13_3",AN$5,AN$1)/AN$2)/IF(OR(TRIM($AR25)="",$AR25&lt;=0),1E+38,IF($AR25=103,3,IF($AR25=104,2,$AR25)))</f>
        <v>2.9375</v>
      </c>
      <c r="AO25" s="549"/>
      <c r="AP25" s="549"/>
      <c r="AQ25" s="549"/>
      <c r="AR25" s="549">
        <v>103</v>
      </c>
      <c r="AS25" s="549"/>
      <c r="AT25" s="550">
        <f t="shared" si="11"/>
        <v>720</v>
      </c>
      <c r="AU25" s="532" t="s">
        <v>8559</v>
      </c>
    </row>
    <row r="26" spans="14:47">
      <c r="Q26" t="s">
        <v>1537</v>
      </c>
      <c r="R26" t="s">
        <v>802</v>
      </c>
      <c r="S26">
        <v>25181</v>
      </c>
      <c r="T26" s="17" t="s">
        <v>803</v>
      </c>
      <c r="U26" s="134" t="s">
        <v>785</v>
      </c>
      <c r="V26" s="218">
        <f t="shared" si="25"/>
        <v>2.1681365740740679</v>
      </c>
      <c r="W26" t="s">
        <v>804</v>
      </c>
      <c r="X26" s="3" t="s">
        <v>794</v>
      </c>
      <c r="Y26" s="217">
        <f t="shared" si="26"/>
        <v>17.345092592592543</v>
      </c>
      <c r="Z26">
        <v>11.0444444444444</v>
      </c>
      <c r="AB26">
        <v>0.284444444444444</v>
      </c>
      <c r="AD26">
        <v>3.0787037037037002</v>
      </c>
      <c r="AE26">
        <v>2.9375</v>
      </c>
      <c r="AF26" s="535">
        <f t="shared" si="27"/>
        <v>1.4986159999999957</v>
      </c>
      <c r="AG26" s="538">
        <f t="shared" si="6"/>
        <v>4.9737991503207013E-14</v>
      </c>
      <c r="AH26" s="531">
        <f t="shared" si="7"/>
        <v>17.345092592592593</v>
      </c>
      <c r="AI26" s="455">
        <f>1*(IF(TRIM($AU26)="13_3",AI$5,AI$1)/AI$2)/IF(OR(TRIM(AO26)="",AO26&lt;=0),1E+38,AO26)</f>
        <v>11.044444444444444</v>
      </c>
      <c r="AJ26" s="455">
        <f>0*(IF(TRIM($AU26)="13_3",AJ$5,AJ$1)/AJ$2)/IF(OR(TRIM(AP26)="",AP26&lt;=0),1E+38,AP26)</f>
        <v>0</v>
      </c>
      <c r="AK26" s="455">
        <f>1*(IF(TRIM($AU26)="13_3",AK$5,AK$1)/AK$2)/IF(OR(TRIM(AQ26)="",AQ26&lt;=0),1E+38,AQ26)</f>
        <v>0.28444444444444444</v>
      </c>
      <c r="AL26" s="455">
        <f t="shared" si="31"/>
        <v>0</v>
      </c>
      <c r="AM26" s="455">
        <f t="shared" ref="AM26:AM27" si="33">1*(IF(TRIM($AU26)="13_3",AM$5,AM$1)/AM$2)*(AT26/720)/IF(OR(TRIM($AR26)="",$AR26&lt;=0),1E+38,IF($AR26=103,3,IF($AR26=104,2,$AR26)))</f>
        <v>3.0787037037037037</v>
      </c>
      <c r="AN26" s="455">
        <f>1*(IF(TRIM($AU26)="13_3",AN$5,AN$1)/AN$2)/IF(OR(TRIM($AR26)="",$AR26&lt;=0),1E+38,IF($AR26=103,3,IF($AR26=104,2,$AR26)))</f>
        <v>2.9375</v>
      </c>
      <c r="AO26" s="549">
        <v>180</v>
      </c>
      <c r="AP26" s="549"/>
      <c r="AQ26" s="549">
        <v>1800</v>
      </c>
      <c r="AR26" s="549">
        <v>103</v>
      </c>
      <c r="AS26" s="549">
        <v>105</v>
      </c>
      <c r="AT26" s="550">
        <f t="shared" si="11"/>
        <v>5</v>
      </c>
      <c r="AU26" s="532" t="s">
        <v>8559</v>
      </c>
    </row>
    <row r="27" spans="14:47">
      <c r="Q27" t="s">
        <v>1538</v>
      </c>
      <c r="S27">
        <v>25159</v>
      </c>
      <c r="T27" t="s">
        <v>792</v>
      </c>
      <c r="U27" s="134" t="s">
        <v>785</v>
      </c>
      <c r="V27" s="218">
        <f t="shared" si="25"/>
        <v>55.416666666666622</v>
      </c>
      <c r="W27" t="s">
        <v>808</v>
      </c>
      <c r="X27" s="3" t="s">
        <v>794</v>
      </c>
      <c r="Y27" s="217">
        <f t="shared" si="26"/>
        <v>443.33333333333297</v>
      </c>
      <c r="AD27">
        <v>443.33333333333297</v>
      </c>
      <c r="AF27" s="535">
        <f t="shared" si="27"/>
        <v>38.303999999999974</v>
      </c>
      <c r="AG27" s="538">
        <f t="shared" si="6"/>
        <v>0</v>
      </c>
      <c r="AH27" s="531">
        <f t="shared" si="7"/>
        <v>443.33333333333331</v>
      </c>
      <c r="AI27" s="455">
        <f t="shared" ref="AI27:AK27" si="34">0*(IF(TRIM($AU27)="13_3",AI$5,AI$1)/AI$2)/IF(OR(TRIM(AO27)="",AO27&lt;=0),1E+38,AO27)</f>
        <v>0</v>
      </c>
      <c r="AJ27" s="455">
        <f t="shared" si="34"/>
        <v>0</v>
      </c>
      <c r="AK27" s="455">
        <f t="shared" si="34"/>
        <v>0</v>
      </c>
      <c r="AL27" s="455">
        <f t="shared" si="31"/>
        <v>0</v>
      </c>
      <c r="AM27" s="455">
        <f t="shared" si="33"/>
        <v>443.33333333333331</v>
      </c>
      <c r="AN27" s="455">
        <f t="shared" ref="AN27:AN28" si="35">0*(IF(TRIM($AU27)="13_3",AN$5,AN$1)/AN$2)/IF(OR(TRIM($AR27)="",$AR27&lt;=0),1E+38,IF($AR27=103,3,IF($AR27=104,2,$AR27)))</f>
        <v>0</v>
      </c>
      <c r="AO27" s="549"/>
      <c r="AP27" s="549"/>
      <c r="AQ27" s="549"/>
      <c r="AR27" s="549">
        <v>103</v>
      </c>
      <c r="AS27" s="549">
        <v>110</v>
      </c>
      <c r="AT27" s="550">
        <f t="shared" si="11"/>
        <v>720</v>
      </c>
      <c r="AU27" s="532" t="s">
        <v>8559</v>
      </c>
    </row>
    <row r="28" spans="14:47">
      <c r="Q28" t="s">
        <v>1539</v>
      </c>
      <c r="S28">
        <v>25181</v>
      </c>
      <c r="T28" s="17" t="s">
        <v>803</v>
      </c>
      <c r="U28" s="134" t="s">
        <v>785</v>
      </c>
      <c r="V28" s="218">
        <f t="shared" si="25"/>
        <v>1.8690625000000001</v>
      </c>
      <c r="W28" t="s">
        <v>806</v>
      </c>
      <c r="X28" s="3" t="s">
        <v>794</v>
      </c>
      <c r="Y28" s="217">
        <f t="shared" si="26"/>
        <v>14.952500000000001</v>
      </c>
      <c r="AA28">
        <v>2.7650000000000001</v>
      </c>
      <c r="AC28">
        <v>12.1875</v>
      </c>
      <c r="AF28" s="535">
        <f t="shared" si="27"/>
        <v>1.2918959999999999</v>
      </c>
      <c r="AG28" s="538">
        <f t="shared" si="6"/>
        <v>0</v>
      </c>
      <c r="AH28" s="531">
        <f t="shared" si="7"/>
        <v>14.952500000000001</v>
      </c>
      <c r="AI28" s="455">
        <f>0*(IF(TRIM($AU28)="13_3",AI$5,AI$1)/AI$2)/IF(OR(TRIM(AO28)="",AO28&lt;=0),1E+38,AO28)</f>
        <v>0</v>
      </c>
      <c r="AJ28" s="455">
        <f>1*(IF(TRIM($AU28)="13_3",AJ$5,AJ$1)/AJ$2)/IF(OR(TRIM(AP28)="",AP28&lt;=0),1E+38,AP28)</f>
        <v>2.7650000000000001</v>
      </c>
      <c r="AK28" s="455">
        <f>0*(IF(TRIM($AU28)="13_3",AK$5,AK$1)/AK$2)/IF(OR(TRIM(AQ28)="",AQ28&lt;=0),1E+38,AQ28)</f>
        <v>0</v>
      </c>
      <c r="AL28" s="455">
        <f t="shared" ref="AL28:AL30" si="36">1*(IF(TRIM($AU28)="13_3",AL$5,AL$1)/AL$2)/IF(OR(TRIM($AR28)="",$AR28&lt;=0),1E+38,IF($AR28=103,3,IF($AR28=104,2,$AR28)))</f>
        <v>12.1875</v>
      </c>
      <c r="AM28" s="455">
        <f>0*(IF(TRIM($AU28)="13_3",AM$5,AM$1)/AM$2)*(AT28/720)/IF(OR(TRIM($AR28)="",$AR28&lt;=0),1E+38,IF($AR28=103,3,IF($AR28=104,2,$AR28)))</f>
        <v>0</v>
      </c>
      <c r="AN28" s="455">
        <f t="shared" si="35"/>
        <v>0</v>
      </c>
      <c r="AO28" s="549"/>
      <c r="AP28" s="549">
        <v>7200</v>
      </c>
      <c r="AQ28" s="549"/>
      <c r="AR28" s="549">
        <v>103</v>
      </c>
      <c r="AS28" s="549"/>
      <c r="AT28" s="550">
        <f t="shared" si="11"/>
        <v>720</v>
      </c>
      <c r="AU28" s="532" t="s">
        <v>8559</v>
      </c>
    </row>
    <row r="29" spans="14:47" ht="15.75" thickBot="1">
      <c r="N29">
        <f>O29/1000000</f>
        <v>9.1461812499999996E-3</v>
      </c>
      <c r="O29">
        <f>Y29*180</f>
        <v>9146.1812499999996</v>
      </c>
      <c r="Q29" s="91" t="s">
        <v>4150</v>
      </c>
      <c r="R29" s="91"/>
      <c r="S29" s="91"/>
      <c r="T29" s="146" t="s">
        <v>4090</v>
      </c>
      <c r="U29" s="134" t="s">
        <v>785</v>
      </c>
      <c r="V29" s="218">
        <f t="shared" si="25"/>
        <v>6.3515147569444439</v>
      </c>
      <c r="W29" t="s">
        <v>4150</v>
      </c>
      <c r="X29" s="3" t="s">
        <v>4170</v>
      </c>
      <c r="Y29" s="217">
        <f t="shared" si="26"/>
        <v>50.812118055555551</v>
      </c>
      <c r="Z29">
        <v>5.5222222222222221</v>
      </c>
      <c r="AA29">
        <v>20.195555555555554</v>
      </c>
      <c r="AB29">
        <v>0.28444444444444444</v>
      </c>
      <c r="AC29">
        <v>16.3046875</v>
      </c>
      <c r="AD29">
        <v>4.395833333333333</v>
      </c>
      <c r="AE29">
        <v>4.109375</v>
      </c>
      <c r="AF29" s="535">
        <f t="shared" si="27"/>
        <v>4.3901669999999999</v>
      </c>
      <c r="AG29" s="538">
        <f t="shared" si="6"/>
        <v>0</v>
      </c>
      <c r="AH29" s="531">
        <f t="shared" si="7"/>
        <v>50.812118055555551</v>
      </c>
      <c r="AI29" s="455">
        <f t="shared" ref="AI29" si="37">1*(IF(TRIM($AU29)="13_3",AI$5,AI$1)/AI$2)/IF(OR(TRIM(AO29)="",AO29&lt;=0),1E+38,AO29)</f>
        <v>5.5222222222222221</v>
      </c>
      <c r="AJ29" s="455">
        <f t="shared" ref="AJ29:AJ30" si="38">1*(IF(TRIM($AU29)="13_3",AJ$5,AJ$1)/AJ$2)/IF(OR(TRIM(AP29)="",AP29&lt;=0),1E+38,AP29)</f>
        <v>20.195555555555554</v>
      </c>
      <c r="AK29" s="455">
        <f t="shared" ref="AK29:AK30" si="39">1*(IF(TRIM($AU29)="13_3",AK$5,AK$1)/AK$2)/IF(OR(TRIM(AQ29)="",AQ29&lt;=0),1E+38,AQ29)</f>
        <v>0.28444444444444444</v>
      </c>
      <c r="AL29" s="455">
        <f t="shared" si="36"/>
        <v>16.3046875</v>
      </c>
      <c r="AM29" s="455">
        <f t="shared" ref="AM29:AM30" si="40">1*(IF(TRIM($AU29)="13_3",AM$5,AM$1)/AM$2)*(AT29/720)/IF(OR(TRIM($AR29)="",$AR29&lt;=0),1E+38,IF($AR29=103,3,IF($AR29=104,2,$AR29)))</f>
        <v>4.395833333333333</v>
      </c>
      <c r="AN29" s="455">
        <f t="shared" ref="AN29:AN31" si="41">1*(IF(TRIM($AU29)="13_3",AN$5,AN$1)/AN$2)/IF(OR(TRIM($AR29)="",$AR29&lt;=0),1E+38,IF($AR29=103,3,IF($AR29=104,2,$AR29)))</f>
        <v>4.109375</v>
      </c>
      <c r="AO29" s="549">
        <v>360</v>
      </c>
      <c r="AP29" s="549">
        <v>900</v>
      </c>
      <c r="AQ29" s="549">
        <v>1800</v>
      </c>
      <c r="AR29" s="549">
        <v>104</v>
      </c>
      <c r="AS29" s="549">
        <v>105</v>
      </c>
      <c r="AT29" s="550">
        <f t="shared" si="11"/>
        <v>5</v>
      </c>
      <c r="AU29" s="532"/>
    </row>
    <row r="30" spans="14:47" ht="15.75" thickBot="1">
      <c r="Q30" s="91" t="s">
        <v>4150</v>
      </c>
      <c r="R30" s="91"/>
      <c r="S30" s="91">
        <v>26201</v>
      </c>
      <c r="T30" s="146" t="s">
        <v>4267</v>
      </c>
      <c r="U30" s="134" t="s">
        <v>785</v>
      </c>
      <c r="V30" s="218">
        <f t="shared" ref="V30" si="42">Y30/8</f>
        <v>4.9404774305555561</v>
      </c>
      <c r="W30" t="s">
        <v>4150</v>
      </c>
      <c r="X30" s="3" t="s">
        <v>4268</v>
      </c>
      <c r="Y30" s="217">
        <f t="shared" ref="Y30" si="43">SUM(Z30:AE30)</f>
        <v>39.523819444444449</v>
      </c>
      <c r="Z30">
        <v>5.5222222222222221</v>
      </c>
      <c r="AA30">
        <v>2.5244444444444443</v>
      </c>
      <c r="AB30">
        <v>0.28444444444444444</v>
      </c>
      <c r="AC30">
        <v>10.869791666666666</v>
      </c>
      <c r="AD30">
        <v>17.583333333333332</v>
      </c>
      <c r="AE30">
        <v>2.7395833333333335</v>
      </c>
      <c r="AF30" s="535">
        <f t="shared" si="27"/>
        <v>3.4148580000000006</v>
      </c>
      <c r="AG30" s="538">
        <f t="shared" si="6"/>
        <v>0</v>
      </c>
      <c r="AH30" s="531">
        <f t="shared" si="7"/>
        <v>39.523819444444449</v>
      </c>
      <c r="AI30" s="455">
        <f>1*(IF(TRIM($AU30)="13_3",AI$5,AI$1)/AI$2)/IF(OR(TRIM(AO30)="",AO30&lt;=0),1E+38,AO30)</f>
        <v>5.5222222222222221</v>
      </c>
      <c r="AJ30" s="455">
        <f t="shared" si="38"/>
        <v>2.5244444444444443</v>
      </c>
      <c r="AK30" s="455">
        <f t="shared" si="39"/>
        <v>0.28444444444444444</v>
      </c>
      <c r="AL30" s="455">
        <f t="shared" si="36"/>
        <v>10.869791666666666</v>
      </c>
      <c r="AM30" s="455">
        <f t="shared" si="40"/>
        <v>17.583333333333332</v>
      </c>
      <c r="AN30" s="455">
        <f t="shared" si="41"/>
        <v>2.7395833333333335</v>
      </c>
      <c r="AO30" s="549">
        <v>360</v>
      </c>
      <c r="AP30" s="549">
        <v>7200</v>
      </c>
      <c r="AQ30" s="549">
        <v>1800</v>
      </c>
      <c r="AR30" s="549">
        <v>103</v>
      </c>
      <c r="AS30" s="549">
        <v>109</v>
      </c>
      <c r="AT30" s="550">
        <f t="shared" si="11"/>
        <v>30</v>
      </c>
      <c r="AU30" s="532"/>
    </row>
    <row r="31" spans="14:47">
      <c r="Q31" s="91" t="s">
        <v>4364</v>
      </c>
      <c r="R31" s="91"/>
      <c r="S31" s="91">
        <v>26179</v>
      </c>
      <c r="T31" s="146" t="s">
        <v>4267</v>
      </c>
      <c r="U31" s="134" t="s">
        <v>785</v>
      </c>
      <c r="V31" s="218">
        <f t="shared" ref="V31" si="44">Y31/8</f>
        <v>0.34244791666666669</v>
      </c>
      <c r="W31" t="s">
        <v>4150</v>
      </c>
      <c r="X31" s="3" t="s">
        <v>4268</v>
      </c>
      <c r="Y31" s="217">
        <f t="shared" ref="Y31" si="45">SUM(Z31:AE31)</f>
        <v>2.7395833333333335</v>
      </c>
      <c r="AE31">
        <v>2.7395833333333335</v>
      </c>
      <c r="AF31" s="535">
        <f t="shared" ref="AF31" si="46">Y31*86400/1000000</f>
        <v>0.23669999999999999</v>
      </c>
      <c r="AG31" s="538">
        <f t="shared" si="6"/>
        <v>0</v>
      </c>
      <c r="AH31" s="531">
        <f t="shared" si="7"/>
        <v>2.7395833333333335</v>
      </c>
      <c r="AI31" s="455">
        <f t="shared" ref="AI31:AK31" si="47">0*(IF(TRIM($AU31)="13_3",AI$5,AI$1)/AI$2)/IF(OR(TRIM(AO31)="",AO31&lt;=0),1E+38,AO31)</f>
        <v>0</v>
      </c>
      <c r="AJ31" s="455">
        <f t="shared" si="47"/>
        <v>0</v>
      </c>
      <c r="AK31" s="455">
        <f t="shared" si="47"/>
        <v>0</v>
      </c>
      <c r="AL31" s="455">
        <f>0*(IF(TRIM($AU31)="13_3",AL$5,AL$1)/AL$2)/IF(OR(TRIM($AR31)="",$AR31&lt;=0),1E+38,IF($AR31=103,3,IF($AR31=104,2,$AR31)))</f>
        <v>0</v>
      </c>
      <c r="AM31" s="455">
        <f>0*(IF(TRIM($AU31)="13_3",AM$5,AM$1)/AM$2)*(AT31/720)/IF(OR(TRIM($AR31)="",$AR31&lt;=0),1E+38,IF($AR31=103,3,IF($AR31=104,2,$AR31)))</f>
        <v>0</v>
      </c>
      <c r="AN31" s="455">
        <f t="shared" si="41"/>
        <v>2.7395833333333335</v>
      </c>
      <c r="AO31" s="551"/>
      <c r="AP31" s="551"/>
      <c r="AQ31" s="551"/>
      <c r="AR31" s="551">
        <v>103</v>
      </c>
      <c r="AS31" s="551"/>
      <c r="AT31" s="552">
        <f t="shared" si="11"/>
        <v>720</v>
      </c>
      <c r="AU31" s="533"/>
    </row>
    <row r="32" spans="14:47" ht="15.75" thickBot="1">
      <c r="Z32" s="3" t="s">
        <v>764</v>
      </c>
      <c r="AA32" s="3" t="s">
        <v>765</v>
      </c>
      <c r="AB32" s="3" t="s">
        <v>766</v>
      </c>
      <c r="AC32" s="3" t="s">
        <v>767</v>
      </c>
      <c r="AD32" s="3" t="s">
        <v>768</v>
      </c>
      <c r="AE32" s="3" t="s">
        <v>769</v>
      </c>
      <c r="AF32" s="3"/>
      <c r="AI32" t="s">
        <v>764</v>
      </c>
      <c r="AJ32" t="s">
        <v>765</v>
      </c>
      <c r="AK32" t="s">
        <v>766</v>
      </c>
      <c r="AL32" t="s">
        <v>767</v>
      </c>
      <c r="AM32" t="s">
        <v>768</v>
      </c>
      <c r="AN32" t="s">
        <v>769</v>
      </c>
    </row>
    <row r="33" spans="1:45">
      <c r="U33" s="215" t="s">
        <v>812</v>
      </c>
      <c r="V33" s="135">
        <v>197375</v>
      </c>
      <c r="Z33" s="3" t="s">
        <v>12</v>
      </c>
      <c r="AA33" s="3" t="s">
        <v>773</v>
      </c>
      <c r="AB33" s="4" t="s">
        <v>774</v>
      </c>
      <c r="AC33" s="3" t="s">
        <v>775</v>
      </c>
      <c r="AD33" s="3" t="s">
        <v>776</v>
      </c>
      <c r="AE33" s="3" t="s">
        <v>777</v>
      </c>
      <c r="AF33" s="3" t="s">
        <v>778</v>
      </c>
      <c r="AI33" t="s">
        <v>12</v>
      </c>
      <c r="AJ33" t="s">
        <v>773</v>
      </c>
      <c r="AK33" t="s">
        <v>774</v>
      </c>
      <c r="AL33" t="s">
        <v>775</v>
      </c>
      <c r="AM33" t="s">
        <v>776</v>
      </c>
      <c r="AN33" t="s">
        <v>777</v>
      </c>
    </row>
    <row r="34" spans="1:45">
      <c r="P34" s="224" t="s">
        <v>813</v>
      </c>
      <c r="Q34" s="224" t="s">
        <v>814</v>
      </c>
      <c r="R34" s="225">
        <v>606262016</v>
      </c>
      <c r="S34" s="224">
        <v>8</v>
      </c>
      <c r="T34" s="224" t="s">
        <v>373</v>
      </c>
      <c r="U34" s="224" t="s">
        <v>815</v>
      </c>
      <c r="V34" s="224" t="s">
        <v>816</v>
      </c>
      <c r="W34" s="224" t="s">
        <v>817</v>
      </c>
      <c r="X34" s="224" t="s">
        <v>818</v>
      </c>
      <c r="Y34" s="226"/>
      <c r="Z34" s="227"/>
    </row>
    <row r="35" spans="1:45">
      <c r="O35" s="17" t="s">
        <v>819</v>
      </c>
      <c r="P35" s="224" t="s">
        <v>820</v>
      </c>
      <c r="Q35" s="224" t="s">
        <v>821</v>
      </c>
      <c r="R35" s="225">
        <v>606473516</v>
      </c>
      <c r="S35" s="224">
        <v>7</v>
      </c>
      <c r="T35" s="224" t="s">
        <v>373</v>
      </c>
      <c r="U35" s="224" t="s">
        <v>822</v>
      </c>
      <c r="V35" s="224" t="s">
        <v>816</v>
      </c>
      <c r="W35" s="224" t="s">
        <v>817</v>
      </c>
      <c r="X35" s="224" t="s">
        <v>823</v>
      </c>
      <c r="Y35" s="227"/>
      <c r="AI35" s="536" t="s">
        <v>8563</v>
      </c>
      <c r="AJ35" s="536" t="s">
        <v>8563</v>
      </c>
      <c r="AK35" s="536" t="s">
        <v>8563</v>
      </c>
      <c r="AL35" s="536" t="s">
        <v>8563</v>
      </c>
      <c r="AM35" s="536" t="s">
        <v>8563</v>
      </c>
      <c r="AN35" s="536" t="s">
        <v>8563</v>
      </c>
      <c r="AR35" s="536" t="s">
        <v>8563</v>
      </c>
      <c r="AS35" s="536" t="s">
        <v>8563</v>
      </c>
    </row>
    <row r="36" spans="1:45">
      <c r="P36" s="224" t="s">
        <v>824</v>
      </c>
      <c r="Q36" s="224" t="s">
        <v>825</v>
      </c>
      <c r="R36" s="224">
        <v>606480128</v>
      </c>
      <c r="S36" s="224">
        <v>0</v>
      </c>
      <c r="T36" s="224" t="s">
        <v>826</v>
      </c>
      <c r="U36" s="224" t="s">
        <v>827</v>
      </c>
      <c r="V36" s="224" t="s">
        <v>828</v>
      </c>
      <c r="W36" s="224"/>
      <c r="X36" s="224" t="s">
        <v>829</v>
      </c>
      <c r="Y36" s="227"/>
      <c r="AI36" s="3" t="s">
        <v>8562</v>
      </c>
      <c r="AJ36" s="3" t="s">
        <v>8562</v>
      </c>
      <c r="AK36" s="3" t="s">
        <v>8562</v>
      </c>
      <c r="AL36" s="3" t="s">
        <v>8562</v>
      </c>
      <c r="AM36" s="3" t="s">
        <v>8562</v>
      </c>
      <c r="AN36" s="3" t="s">
        <v>8562</v>
      </c>
      <c r="AR36" s="3" t="s">
        <v>8562</v>
      </c>
      <c r="AS36" s="3" t="s">
        <v>8562</v>
      </c>
    </row>
    <row r="37" spans="1:45">
      <c r="P37">
        <f>R36-R35</f>
        <v>6612</v>
      </c>
      <c r="R37">
        <v>589335049</v>
      </c>
      <c r="S37">
        <v>589362052</v>
      </c>
      <c r="T37">
        <f>S37-R37</f>
        <v>27003</v>
      </c>
      <c r="U37">
        <v>110684</v>
      </c>
      <c r="V37">
        <f>U37/T37</f>
        <v>4.0989519682998186</v>
      </c>
    </row>
    <row r="38" spans="1:4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5" ht="15.75">
      <c r="L41" s="226" t="s">
        <v>842</v>
      </c>
      <c r="M41" s="226" t="s">
        <v>843</v>
      </c>
      <c r="N41" s="227" t="s">
        <v>844</v>
      </c>
      <c r="O41" s="553"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553"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5" ht="15.75">
      <c r="K42" s="226" t="s">
        <v>849</v>
      </c>
      <c r="L42" s="226" t="s">
        <v>843</v>
      </c>
      <c r="M42" s="226" t="s">
        <v>850</v>
      </c>
      <c r="N42" s="227">
        <v>5.58</v>
      </c>
      <c r="O42" s="553"/>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553"/>
      <c r="AH42" s="232"/>
      <c r="AI42" s="232"/>
      <c r="AJ42" s="227"/>
    </row>
    <row r="43" spans="1:45" ht="15.75">
      <c r="K43" s="226" t="s">
        <v>851</v>
      </c>
      <c r="L43" s="226" t="s">
        <v>850</v>
      </c>
      <c r="M43" s="226" t="s">
        <v>852</v>
      </c>
      <c r="N43" s="227"/>
      <c r="O43" s="553"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553"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5" ht="15.75">
      <c r="L44" s="226" t="s">
        <v>852</v>
      </c>
      <c r="M44" s="226" t="s">
        <v>857</v>
      </c>
      <c r="N44" s="227"/>
      <c r="O44" s="553" t="s">
        <v>858</v>
      </c>
      <c r="P44" s="179" t="s">
        <v>859</v>
      </c>
      <c r="Q44" s="104">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553"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5">
      <c r="M45" s="3"/>
      <c r="N45" s="3"/>
      <c r="P45" s="3"/>
      <c r="T45" s="4"/>
      <c r="U45" s="3"/>
      <c r="V45" s="3"/>
      <c r="X45" s="3"/>
      <c r="Y45" s="3"/>
      <c r="Z45" s="5"/>
      <c r="AB45" s="3" t="s">
        <v>862</v>
      </c>
      <c r="AC45" s="3"/>
      <c r="AD45" s="97"/>
      <c r="AE45" s="97"/>
      <c r="AH45" s="232"/>
      <c r="AI45" s="232"/>
    </row>
    <row r="46" spans="1:4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5" ht="15.75">
      <c r="A47" s="238" t="s">
        <v>872</v>
      </c>
      <c r="B47" s="238"/>
      <c r="C47" s="238"/>
      <c r="D47" s="238"/>
      <c r="E47" s="238"/>
      <c r="F47" s="238"/>
      <c r="G47" s="238"/>
      <c r="H47" s="238"/>
      <c r="I47" s="238"/>
      <c r="J47" s="238"/>
      <c r="K47" s="238"/>
      <c r="L47" s="238" t="s">
        <v>873</v>
      </c>
      <c r="M47" s="238" t="s">
        <v>874</v>
      </c>
      <c r="N47" s="238"/>
      <c r="O47" s="554" t="s">
        <v>875</v>
      </c>
      <c r="P47" s="179" t="s">
        <v>876</v>
      </c>
      <c r="Q47" s="209">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554"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5" ht="15.75">
      <c r="L48" s="238" t="str">
        <f>M47</f>
        <v>99/20:14</v>
      </c>
      <c r="M48" s="238" t="s">
        <v>879</v>
      </c>
      <c r="N48" s="238"/>
      <c r="O48" s="554" t="s">
        <v>880</v>
      </c>
      <c r="P48" s="179" t="s">
        <v>571</v>
      </c>
      <c r="Q48" s="104">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554"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554" t="s">
        <v>884</v>
      </c>
      <c r="P49" s="179" t="s">
        <v>885</v>
      </c>
      <c r="Q49" s="104">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554"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c r="L50" s="3"/>
      <c r="M50" s="3"/>
      <c r="N50" s="3"/>
      <c r="AA50" s="3"/>
      <c r="AD50" s="3"/>
      <c r="AE50" s="3"/>
      <c r="AH50" s="232"/>
      <c r="AI50" s="232"/>
      <c r="AJ50">
        <f>SUM(AJ47:AJ49)</f>
        <v>36.639108999999998</v>
      </c>
    </row>
    <row r="51" spans="6:45" ht="15.75">
      <c r="F51" t="s">
        <v>764</v>
      </c>
      <c r="L51" s="226" t="s">
        <v>857</v>
      </c>
      <c r="M51" s="226" t="s">
        <v>888</v>
      </c>
      <c r="N51" s="227"/>
      <c r="O51" s="553" t="s">
        <v>889</v>
      </c>
      <c r="P51" s="179" t="s">
        <v>890</v>
      </c>
      <c r="Q51" s="104">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553"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c r="L54" s="3"/>
      <c r="M54" s="3"/>
      <c r="N54" s="3"/>
      <c r="O54" s="3"/>
      <c r="Q54" s="5">
        <f>R51+(-3)</f>
        <v>607164811.48952889</v>
      </c>
      <c r="R54" s="5">
        <f>Q51+(3)</f>
        <v>607123357.77094245</v>
      </c>
      <c r="Y54" s="3" t="s">
        <v>895</v>
      </c>
      <c r="Z54" s="3" t="s">
        <v>896</v>
      </c>
      <c r="AA54" s="3"/>
      <c r="AB54" s="3"/>
      <c r="AC54" s="3"/>
      <c r="AD54" s="3"/>
      <c r="AG54" s="219"/>
      <c r="AH54" s="219"/>
      <c r="AK54" s="555" t="s">
        <v>897</v>
      </c>
      <c r="AL54" s="555" t="s">
        <v>898</v>
      </c>
      <c r="AM54" s="555">
        <v>14.73</v>
      </c>
      <c r="AN54" s="555">
        <v>-5.43</v>
      </c>
      <c r="AO54" s="555">
        <v>-5.43</v>
      </c>
      <c r="AR54" s="3">
        <v>16.2</v>
      </c>
    </row>
    <row r="55" spans="6:45">
      <c r="L55" s="93" t="s">
        <v>899</v>
      </c>
      <c r="M55" s="3"/>
      <c r="N55" s="3"/>
      <c r="O55" s="3"/>
      <c r="Q55" s="5">
        <f>R51+(-5)</f>
        <v>607164809.48952889</v>
      </c>
      <c r="R55" s="5">
        <f>Q51+(5)</f>
        <v>607123359.77094245</v>
      </c>
      <c r="AC55" s="3"/>
      <c r="AD55" s="3"/>
      <c r="AG55" s="219"/>
      <c r="AH55" s="219"/>
      <c r="AK55" s="555" t="s">
        <v>900</v>
      </c>
      <c r="AL55" s="555" t="s">
        <v>901</v>
      </c>
      <c r="AM55" s="555">
        <v>3.7</v>
      </c>
      <c r="AN55" s="555">
        <v>3.7</v>
      </c>
      <c r="AO55" s="555">
        <v>-1.73</v>
      </c>
      <c r="AR55" s="3">
        <v>4.07</v>
      </c>
    </row>
    <row r="56" spans="6:45">
      <c r="L56" s="93" t="s">
        <v>902</v>
      </c>
      <c r="M56" s="3"/>
      <c r="N56" s="3"/>
      <c r="O56" s="3"/>
      <c r="Q56" s="5">
        <f>R51+(-20)</f>
        <v>607164794.48952889</v>
      </c>
      <c r="R56" s="5">
        <f>Q51+(20)</f>
        <v>607123374.77094245</v>
      </c>
      <c r="AC56" s="3"/>
      <c r="AD56" s="3"/>
      <c r="AG56" s="219"/>
      <c r="AH56" s="219"/>
      <c r="AK56" s="555" t="s">
        <v>903</v>
      </c>
      <c r="AL56" s="555" t="s">
        <v>904</v>
      </c>
      <c r="AM56" s="555">
        <v>4.3099999999999996</v>
      </c>
      <c r="AN56" s="555">
        <v>-2.41</v>
      </c>
      <c r="AO56" s="555">
        <v>-4.1399999999999997</v>
      </c>
      <c r="AR56" s="3">
        <v>4.74</v>
      </c>
    </row>
    <row r="57" spans="6:45">
      <c r="O57" s="3"/>
      <c r="Q57" s="5">
        <f>R51+(-60)</f>
        <v>607164754.48952889</v>
      </c>
      <c r="R57" s="5">
        <f>Q51+(50)</f>
        <v>607123404.77094245</v>
      </c>
      <c r="AC57" s="3"/>
      <c r="AD57" s="3"/>
      <c r="AG57" s="219"/>
      <c r="AH57" s="219"/>
      <c r="AK57" s="555" t="s">
        <v>905</v>
      </c>
      <c r="AL57" s="555" t="s">
        <v>906</v>
      </c>
      <c r="AM57" s="555">
        <v>4.42</v>
      </c>
      <c r="AN57" s="555">
        <v>1.46</v>
      </c>
      <c r="AO57" s="555">
        <v>-2.68</v>
      </c>
      <c r="AR57" s="3">
        <v>4.87</v>
      </c>
    </row>
    <row r="58" spans="6:45">
      <c r="P58" s="81" t="s">
        <v>907</v>
      </c>
      <c r="Q58" s="81" t="s">
        <v>908</v>
      </c>
      <c r="R58" s="81">
        <v>608130222</v>
      </c>
      <c r="S58" s="81">
        <v>1</v>
      </c>
      <c r="T58" s="81" t="s">
        <v>373</v>
      </c>
      <c r="U58" s="81" t="s">
        <v>909</v>
      </c>
      <c r="V58" s="81" t="s">
        <v>382</v>
      </c>
      <c r="W58" s="81"/>
      <c r="X58" s="81" t="s">
        <v>910</v>
      </c>
      <c r="AC58" s="3"/>
      <c r="AD58" s="3"/>
      <c r="AG58" s="219"/>
      <c r="AH58" s="219"/>
      <c r="AK58" s="556" t="s">
        <v>911</v>
      </c>
      <c r="AL58" s="557" t="s">
        <v>912</v>
      </c>
      <c r="AM58" s="555">
        <v>11.87</v>
      </c>
      <c r="AN58" s="555">
        <v>9.11</v>
      </c>
      <c r="AO58" s="557">
        <v>6.43</v>
      </c>
      <c r="AP58">
        <f>AO58</f>
        <v>6.43</v>
      </c>
      <c r="AR58" s="247">
        <v>13.04</v>
      </c>
    </row>
    <row r="59" spans="6:45">
      <c r="X59" t="s">
        <v>913</v>
      </c>
      <c r="AC59" s="3"/>
      <c r="AD59" s="3"/>
      <c r="AG59" s="219"/>
      <c r="AH59" s="219"/>
      <c r="AK59" s="556" t="s">
        <v>914</v>
      </c>
      <c r="AL59" s="557" t="s">
        <v>915</v>
      </c>
      <c r="AM59" s="555">
        <v>11.16</v>
      </c>
      <c r="AN59" s="555">
        <v>11.16</v>
      </c>
      <c r="AO59" s="557">
        <v>11.16</v>
      </c>
      <c r="AP59" s="248">
        <f>AP58+AO59</f>
        <v>17.59</v>
      </c>
      <c r="AR59" s="3">
        <v>12.28</v>
      </c>
    </row>
    <row r="60" spans="6:45">
      <c r="X60" t="s">
        <v>916</v>
      </c>
      <c r="AC60" s="3"/>
      <c r="AD60" s="3"/>
      <c r="AE60" s="3"/>
      <c r="AH60" s="219"/>
      <c r="AI60" s="219"/>
      <c r="AL60" s="555" t="s">
        <v>917</v>
      </c>
      <c r="AM60" s="555" t="s">
        <v>918</v>
      </c>
      <c r="AN60" s="555">
        <v>0</v>
      </c>
      <c r="AO60" s="555">
        <v>0</v>
      </c>
      <c r="AP60" s="558">
        <v>0</v>
      </c>
      <c r="AS60" s="3"/>
    </row>
    <row r="61" spans="6:45">
      <c r="I61" t="s">
        <v>769</v>
      </c>
      <c r="P61" s="59">
        <v>25118</v>
      </c>
      <c r="Q61" s="55"/>
      <c r="R61" s="55"/>
      <c r="S61" s="56"/>
      <c r="T61" s="3"/>
      <c r="U61" s="95">
        <f>Q50</f>
        <v>0</v>
      </c>
      <c r="V61" s="93"/>
      <c r="W61" s="139"/>
      <c r="X61" s="140"/>
      <c r="Y61" s="3"/>
      <c r="Z61" s="5"/>
      <c r="AA61" s="5"/>
      <c r="AB61" s="5"/>
      <c r="AC61" s="97"/>
      <c r="AD61" s="97"/>
      <c r="AE61" s="97"/>
      <c r="AH61" t="s">
        <v>919</v>
      </c>
      <c r="AI61" t="s">
        <v>836</v>
      </c>
      <c r="AL61" s="555" t="s">
        <v>920</v>
      </c>
      <c r="AM61" s="555" t="s">
        <v>921</v>
      </c>
      <c r="AN61" s="555">
        <v>0</v>
      </c>
      <c r="AO61" s="555">
        <v>0</v>
      </c>
      <c r="AP61" s="558">
        <v>0</v>
      </c>
      <c r="AS61" s="3"/>
    </row>
    <row r="62" spans="6:4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557" t="s">
        <v>924</v>
      </c>
      <c r="AM62" s="556" t="s">
        <v>925</v>
      </c>
      <c r="AN62" s="555">
        <v>3.19</v>
      </c>
      <c r="AO62" s="555">
        <v>3.19</v>
      </c>
      <c r="AP62" s="557">
        <v>3.19</v>
      </c>
      <c r="AQ62">
        <f>AP59+AP62</f>
        <v>20.78</v>
      </c>
      <c r="AS62" s="3">
        <v>3.5</v>
      </c>
    </row>
    <row r="63" spans="6:45">
      <c r="L63" s="421" t="str" cm="1">
        <f t="array" aca="1" ref="L63" ca="1">MID(met2utc(Q64),3,12)</f>
        <v>25-107/03:01</v>
      </c>
      <c r="M63" s="421"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559" t="s">
        <v>930</v>
      </c>
      <c r="AM63" s="559" t="s">
        <v>931</v>
      </c>
      <c r="AN63" s="555">
        <v>6.36</v>
      </c>
      <c r="AO63" s="555">
        <v>6.36</v>
      </c>
      <c r="AP63" s="560">
        <v>6.36</v>
      </c>
      <c r="AQ63">
        <f>AQ62+AP63</f>
        <v>27.14</v>
      </c>
      <c r="AS63" s="3">
        <v>6.99</v>
      </c>
    </row>
    <row r="64" spans="6:45" ht="15.75">
      <c r="L64" s="226" t="s">
        <v>932</v>
      </c>
      <c r="M64" s="226" t="s">
        <v>933</v>
      </c>
      <c r="N64" s="252" t="s">
        <v>934</v>
      </c>
      <c r="O64" s="226"/>
      <c r="P64" s="179" t="s">
        <v>935</v>
      </c>
      <c r="Q64" s="104">
        <f>R51-1</f>
        <v>607164813.48952889</v>
      </c>
      <c r="R64" s="209">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553" t="s">
        <v>938</v>
      </c>
      <c r="AH64" s="232">
        <f>X64*8/1000000</f>
        <v>-0.56035751999698202</v>
      </c>
      <c r="AI64" s="232">
        <f>V64*8/1000000</f>
        <v>23.418357519996984</v>
      </c>
      <c r="AJ64" s="242"/>
      <c r="AL64" s="559" t="s">
        <v>939</v>
      </c>
      <c r="AM64" s="559" t="s">
        <v>940</v>
      </c>
      <c r="AN64" s="555">
        <v>8.57</v>
      </c>
      <c r="AO64" s="555">
        <v>8.57</v>
      </c>
      <c r="AP64" s="560">
        <v>8.57</v>
      </c>
      <c r="AQ64">
        <f>AQ63+AP64</f>
        <v>35.71</v>
      </c>
      <c r="AS64" s="3">
        <v>9.43</v>
      </c>
    </row>
    <row r="65" spans="2:47">
      <c r="C65" s="254" t="s">
        <v>941</v>
      </c>
      <c r="D65" s="254" t="s">
        <v>942</v>
      </c>
      <c r="E65" s="254" t="s">
        <v>766</v>
      </c>
      <c r="F65" s="254" t="s">
        <v>764</v>
      </c>
      <c r="G65" s="254" t="s">
        <v>765</v>
      </c>
      <c r="H65" s="254" t="s">
        <v>768</v>
      </c>
      <c r="I65" s="254" t="s">
        <v>769</v>
      </c>
      <c r="J65" s="254" t="s">
        <v>943</v>
      </c>
      <c r="K65" t="s">
        <v>1540</v>
      </c>
      <c r="L65" s="417" t="str" cm="1">
        <f t="array" aca="1" ref="L65" ca="1">MID(met2utc(Q66),3,12)</f>
        <v>25-107/03:16</v>
      </c>
      <c r="M65" s="421"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555" t="s">
        <v>947</v>
      </c>
      <c r="AM65" s="555" t="s">
        <v>948</v>
      </c>
      <c r="AN65" s="555">
        <v>0</v>
      </c>
      <c r="AO65" s="555">
        <v>0</v>
      </c>
      <c r="AP65" s="558">
        <v>0</v>
      </c>
      <c r="AS65" s="3"/>
    </row>
    <row r="66" spans="2:47" ht="15.75">
      <c r="B66">
        <v>102</v>
      </c>
      <c r="C66">
        <v>101</v>
      </c>
      <c r="E66" t="s">
        <v>766</v>
      </c>
      <c r="F66" t="s">
        <v>764</v>
      </c>
      <c r="G66" t="s">
        <v>765</v>
      </c>
      <c r="H66" t="s">
        <v>768</v>
      </c>
      <c r="L66" s="238" t="s">
        <v>883</v>
      </c>
      <c r="M66" s="238" t="s">
        <v>949</v>
      </c>
      <c r="N66" s="255" t="s">
        <v>950</v>
      </c>
      <c r="O66" s="238"/>
      <c r="P66" s="179" t="s">
        <v>951</v>
      </c>
      <c r="Q66" s="104">
        <f>R49-1</f>
        <v>607165733.06575108</v>
      </c>
      <c r="R66" s="209">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554" t="s">
        <v>954</v>
      </c>
      <c r="AH66" s="232">
        <f>X66*8/1000000</f>
        <v>11.696765919797015</v>
      </c>
      <c r="AI66" s="232">
        <f>V66*8/1000000</f>
        <v>29.740876560206015</v>
      </c>
      <c r="AL66" s="555" t="s">
        <v>955</v>
      </c>
      <c r="AM66" s="555" t="s">
        <v>956</v>
      </c>
      <c r="AN66" s="555">
        <v>0</v>
      </c>
      <c r="AO66" s="555">
        <v>0</v>
      </c>
      <c r="AP66" s="558">
        <v>0</v>
      </c>
      <c r="AS66" s="3"/>
    </row>
    <row r="67" spans="2:47">
      <c r="L67" s="422" t="str" cm="1">
        <f t="array" aca="1" ref="L67" ca="1">MID(met2utc(Q68),3,12)</f>
        <v>25-116/08:14</v>
      </c>
      <c r="M67" s="418"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555" t="s">
        <v>961</v>
      </c>
      <c r="AM67" s="555" t="s">
        <v>962</v>
      </c>
      <c r="AN67" s="555">
        <v>0</v>
      </c>
      <c r="AO67" s="555">
        <v>0</v>
      </c>
      <c r="AP67" s="558">
        <v>0</v>
      </c>
      <c r="AS67" s="3"/>
    </row>
    <row r="68" spans="2:47" ht="15.75">
      <c r="B68">
        <v>102</v>
      </c>
      <c r="C68">
        <v>101</v>
      </c>
      <c r="E68" t="s">
        <v>766</v>
      </c>
      <c r="F68" t="s">
        <v>764</v>
      </c>
      <c r="G68" t="s">
        <v>765</v>
      </c>
      <c r="H68" t="s">
        <v>768</v>
      </c>
      <c r="L68" s="238" t="s">
        <v>963</v>
      </c>
      <c r="M68" s="257" t="s">
        <v>964</v>
      </c>
      <c r="N68" s="255" t="s">
        <v>965</v>
      </c>
      <c r="O68" s="238"/>
      <c r="P68" s="179" t="s">
        <v>951</v>
      </c>
      <c r="Q68" s="209">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555" t="s">
        <v>967</v>
      </c>
      <c r="AM68" s="555" t="s">
        <v>968</v>
      </c>
      <c r="AN68" s="555">
        <v>0</v>
      </c>
      <c r="AO68" s="555">
        <v>0</v>
      </c>
      <c r="AP68" s="558">
        <v>0</v>
      </c>
      <c r="AS68" s="3"/>
    </row>
    <row r="69" spans="2:47">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559" t="s">
        <v>976</v>
      </c>
      <c r="AM69" s="559" t="s">
        <v>977</v>
      </c>
      <c r="AN69" s="555">
        <v>6.03</v>
      </c>
      <c r="AO69" s="555">
        <v>6.03</v>
      </c>
      <c r="AP69" s="560">
        <v>6.03</v>
      </c>
      <c r="AQ69">
        <f>AQ64+AP69</f>
        <v>41.74</v>
      </c>
      <c r="AS69" s="3">
        <v>6.63</v>
      </c>
    </row>
    <row r="70" spans="2:47" ht="15.75">
      <c r="L70" s="226" t="s">
        <v>978</v>
      </c>
      <c r="M70" s="226" t="s">
        <v>979</v>
      </c>
      <c r="N70" s="227" t="s">
        <v>980</v>
      </c>
      <c r="O70" s="226"/>
      <c r="P70" s="179" t="s">
        <v>112</v>
      </c>
      <c r="Q70" s="209">
        <f>R69-20</f>
        <v>607960717</v>
      </c>
      <c r="R70" s="209">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559" t="s">
        <v>983</v>
      </c>
      <c r="AM70" s="559" t="s">
        <v>984</v>
      </c>
      <c r="AN70" s="555">
        <v>17.22</v>
      </c>
      <c r="AO70" s="555">
        <v>17.22</v>
      </c>
      <c r="AP70" s="560">
        <v>17.22</v>
      </c>
      <c r="AQ70">
        <f>AQ69+AP70</f>
        <v>58.96</v>
      </c>
      <c r="AS70" s="3">
        <v>18.940000000000001</v>
      </c>
    </row>
    <row r="71" spans="2:47">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561" t="s">
        <v>990</v>
      </c>
      <c r="AM71" s="561" t="s">
        <v>991</v>
      </c>
      <c r="AN71" s="555">
        <v>8.7799999999999994</v>
      </c>
      <c r="AO71" s="555">
        <v>8.7799999999999994</v>
      </c>
      <c r="AP71" s="562">
        <v>8.7799999999999994</v>
      </c>
      <c r="AQ71">
        <f>AQ70+AP71</f>
        <v>67.739999999999995</v>
      </c>
      <c r="AS71" s="3">
        <v>9.66</v>
      </c>
    </row>
    <row r="72" spans="2:47">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561" t="s">
        <v>995</v>
      </c>
      <c r="AM72" s="561" t="s">
        <v>996</v>
      </c>
      <c r="AN72" s="555">
        <v>6.38</v>
      </c>
      <c r="AO72" s="555">
        <v>6.38</v>
      </c>
      <c r="AP72" s="562">
        <v>6.38</v>
      </c>
      <c r="AQ72">
        <f>AQ71+AP72</f>
        <v>74.11999999999999</v>
      </c>
      <c r="AS72" s="3">
        <v>7.01</v>
      </c>
    </row>
    <row r="73" spans="2:47">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561" t="s">
        <v>1002</v>
      </c>
      <c r="AM73" s="561" t="s">
        <v>1003</v>
      </c>
      <c r="AN73" s="555">
        <v>7.54</v>
      </c>
      <c r="AO73" s="555">
        <v>7.54</v>
      </c>
      <c r="AP73" s="562">
        <v>7.54</v>
      </c>
      <c r="AQ73">
        <f>AQ72+AP73</f>
        <v>81.66</v>
      </c>
      <c r="AR73">
        <f>AQ73/2</f>
        <v>40.83</v>
      </c>
      <c r="AS73" s="3">
        <v>8.3000000000000007</v>
      </c>
    </row>
    <row r="74" spans="2:47">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09">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c r="Z76" s="238">
        <f>Y66</f>
        <v>41.998000000000005</v>
      </c>
      <c r="AB76" s="243">
        <f>AB75+AB70+AB64</f>
        <v>17.620073652666218</v>
      </c>
      <c r="AC76" s="3"/>
      <c r="AD76" s="3"/>
      <c r="AE76" s="3"/>
      <c r="AH76" s="232"/>
      <c r="AI76" s="232"/>
    </row>
    <row r="77" spans="2:47">
      <c r="X77" t="s">
        <v>913</v>
      </c>
      <c r="AB77" t="s">
        <v>894</v>
      </c>
      <c r="AC77" s="3"/>
      <c r="AD77" s="3"/>
      <c r="AE77" s="3"/>
      <c r="AH77" s="232"/>
      <c r="AI77" s="232"/>
    </row>
    <row r="78" spans="2:47">
      <c r="P78" t="s">
        <v>1009</v>
      </c>
      <c r="X78" t="s">
        <v>1010</v>
      </c>
      <c r="AC78" s="3"/>
      <c r="AD78" s="3"/>
      <c r="AE78" s="3"/>
      <c r="AH78" s="232"/>
      <c r="AI78" s="232"/>
    </row>
    <row r="79" spans="2:47">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c r="P81" s="59">
        <v>25139</v>
      </c>
      <c r="Q81" s="55"/>
      <c r="R81" s="55"/>
      <c r="S81" s="56"/>
      <c r="T81" s="3"/>
      <c r="U81" s="95"/>
      <c r="V81" s="93"/>
      <c r="W81" s="139"/>
      <c r="X81" s="140"/>
      <c r="AC81" s="3" t="s">
        <v>862</v>
      </c>
      <c r="AD81" s="3"/>
      <c r="AE81" s="3"/>
      <c r="AN81" s="3"/>
    </row>
    <row r="82" spans="1:43">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563" t="s">
        <v>1022</v>
      </c>
      <c r="AM83" s="563" t="s">
        <v>1023</v>
      </c>
      <c r="AN83" s="563" t="s">
        <v>1024</v>
      </c>
      <c r="AO83" s="563" t="s">
        <v>1025</v>
      </c>
      <c r="AP83" s="563" t="s">
        <v>1026</v>
      </c>
    </row>
    <row r="84" spans="1:43" ht="15.75">
      <c r="B84">
        <v>102</v>
      </c>
      <c r="C84">
        <v>101</v>
      </c>
      <c r="E84" t="s">
        <v>766</v>
      </c>
      <c r="F84" t="s">
        <v>764</v>
      </c>
      <c r="G84" t="s">
        <v>765</v>
      </c>
      <c r="H84" t="s">
        <v>768</v>
      </c>
      <c r="L84" s="238" t="s">
        <v>964</v>
      </c>
      <c r="M84" s="238" t="s">
        <v>1027</v>
      </c>
      <c r="N84" s="255" t="s">
        <v>167</v>
      </c>
      <c r="O84" s="564" t="s">
        <v>1028</v>
      </c>
      <c r="P84" s="179" t="s">
        <v>120</v>
      </c>
      <c r="Q84" s="143">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554" t="s">
        <v>1028</v>
      </c>
      <c r="AH84" s="232">
        <f>X84*8/1000000</f>
        <v>2.8143508016713223</v>
      </c>
      <c r="AI84" s="232">
        <f>V84*8/1000000</f>
        <v>13.795649198328677</v>
      </c>
      <c r="AL84" s="565" t="s">
        <v>1030</v>
      </c>
      <c r="AM84" s="565" t="s">
        <v>1031</v>
      </c>
      <c r="AN84" s="565">
        <v>15.1</v>
      </c>
      <c r="AO84" s="565">
        <v>15.1</v>
      </c>
      <c r="AP84" s="565">
        <v>15.1</v>
      </c>
      <c r="AQ84">
        <f>AP84</f>
        <v>15.1</v>
      </c>
    </row>
    <row r="85" spans="1:43">
      <c r="L85" s="422" t="str" cm="1">
        <f t="array" aca="1" ref="L85" ca="1">MID(met2utc(Q86),3,12)</f>
        <v>25-123/08:15</v>
      </c>
      <c r="M85" s="418"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564" t="s">
        <v>1028</v>
      </c>
      <c r="P86" s="179" t="s">
        <v>120</v>
      </c>
      <c r="Q86" s="566">
        <f>R85+20</f>
        <v>608566037</v>
      </c>
      <c r="R86" s="143">
        <f t="shared" ref="R86:R91" si="48">((W86-U86*$V$33)/$V$10)+Q86</f>
        <v>608597838.20158112</v>
      </c>
      <c r="S86" s="104">
        <f t="shared" ref="S86:S91" si="49">R86-Q86</f>
        <v>31801.201581120491</v>
      </c>
      <c r="T86" s="104">
        <f t="shared" ref="T86:T91" si="50">S86*$V$10</f>
        <v>154418.85020878428</v>
      </c>
      <c r="U86" s="3">
        <v>1</v>
      </c>
      <c r="V86" s="142">
        <f t="shared" ref="V86:V91" si="51">T86+U86*$V$33</f>
        <v>351793.85020878428</v>
      </c>
      <c r="W86" s="97">
        <f>X84</f>
        <v>351793.8502089153</v>
      </c>
      <c r="X86" s="266">
        <f t="shared" ref="X86:X91" si="52">W86-V86</f>
        <v>1.3102544471621513E-7</v>
      </c>
      <c r="AB86" s="229">
        <v>334134</v>
      </c>
      <c r="AC86" s="229">
        <f t="shared" ref="AC86:AC91" si="53">AB86-V86</f>
        <v>-17659.850208784279</v>
      </c>
      <c r="AD86" s="267">
        <f t="shared" ref="AD86:AD91" si="54">AC86*8/1000000</f>
        <v>-0.14127880167027423</v>
      </c>
      <c r="AE86" s="241">
        <f t="shared" ref="AE86:AE91" si="55">AC86/AB86</f>
        <v>-5.2852598684313114E-2</v>
      </c>
      <c r="AF86" s="178" t="s">
        <v>1029</v>
      </c>
      <c r="AG86" s="554" t="s">
        <v>1028</v>
      </c>
      <c r="AH86" s="232">
        <f t="shared" ref="AH86:AH91" si="56">X86*8/1000000</f>
        <v>1.0482035577297211E-12</v>
      </c>
      <c r="AI86" s="232">
        <f t="shared" ref="AI86:AI91" si="57">V86*8/1000000</f>
        <v>2.8143508016702743</v>
      </c>
    </row>
    <row r="87" spans="1:43" ht="15.75">
      <c r="B87">
        <v>102</v>
      </c>
      <c r="C87">
        <v>101</v>
      </c>
      <c r="E87" t="s">
        <v>766</v>
      </c>
      <c r="F87" t="s">
        <v>764</v>
      </c>
      <c r="G87" t="s">
        <v>765</v>
      </c>
      <c r="H87" t="s">
        <v>768</v>
      </c>
      <c r="L87" s="257" t="s">
        <v>1037</v>
      </c>
      <c r="M87" s="257" t="s">
        <v>1038</v>
      </c>
      <c r="O87" s="564" t="s">
        <v>1039</v>
      </c>
      <c r="P87" s="179" t="s">
        <v>1040</v>
      </c>
      <c r="Q87" s="143">
        <f>R86-1</f>
        <v>608597837.20158112</v>
      </c>
      <c r="R87" s="143">
        <f t="shared" si="48"/>
        <v>608806816.02288961</v>
      </c>
      <c r="S87" s="104">
        <f t="shared" si="49"/>
        <v>208978.82130849361</v>
      </c>
      <c r="T87" s="104">
        <f t="shared" si="50"/>
        <v>1014750.0000000803</v>
      </c>
      <c r="U87" s="3">
        <v>0</v>
      </c>
      <c r="V87" s="142">
        <f t="shared" si="51"/>
        <v>1014750.0000000803</v>
      </c>
      <c r="W87" s="97">
        <f>Y87*1000000/8</f>
        <v>1014750</v>
      </c>
      <c r="X87" s="266">
        <f t="shared" si="52"/>
        <v>-8.0326572060585022E-8</v>
      </c>
      <c r="Y87" s="256">
        <f>1.1*AN87</f>
        <v>8.1180000000000003</v>
      </c>
      <c r="Z87" s="189"/>
      <c r="AA87" s="189"/>
      <c r="AB87" s="229">
        <v>1116266</v>
      </c>
      <c r="AC87" s="229">
        <f t="shared" si="53"/>
        <v>101515.99999991967</v>
      </c>
      <c r="AD87" s="267">
        <f t="shared" si="54"/>
        <v>0.81212799999935736</v>
      </c>
      <c r="AE87" s="241">
        <f t="shared" si="55"/>
        <v>9.0942481451481705E-2</v>
      </c>
      <c r="AF87" s="178" t="s">
        <v>1041</v>
      </c>
      <c r="AG87" s="554" t="s">
        <v>1039</v>
      </c>
      <c r="AH87" s="232">
        <f t="shared" si="56"/>
        <v>-6.4261257648468014E-13</v>
      </c>
      <c r="AI87" s="232">
        <f t="shared" si="57"/>
        <v>8.1180000000006434</v>
      </c>
      <c r="AJ87" s="3"/>
      <c r="AK87" s="3"/>
      <c r="AL87" s="565" t="s">
        <v>1042</v>
      </c>
      <c r="AM87" s="565" t="s">
        <v>1043</v>
      </c>
      <c r="AN87" s="565">
        <v>7.38</v>
      </c>
      <c r="AO87" s="565">
        <v>7.38</v>
      </c>
      <c r="AP87" s="565">
        <v>7.38</v>
      </c>
      <c r="AQ87" s="271">
        <f>AQ84+AP87</f>
        <v>22.48</v>
      </c>
    </row>
    <row r="88" spans="1:43" ht="15.75">
      <c r="B88">
        <v>102</v>
      </c>
      <c r="C88">
        <v>101</v>
      </c>
      <c r="E88" t="s">
        <v>766</v>
      </c>
      <c r="F88" t="s">
        <v>764</v>
      </c>
      <c r="G88" t="s">
        <v>765</v>
      </c>
      <c r="H88" t="s">
        <v>768</v>
      </c>
      <c r="L88" s="257" t="s">
        <v>1038</v>
      </c>
      <c r="M88" s="257" t="s">
        <v>1044</v>
      </c>
      <c r="O88" s="564" t="s">
        <v>1045</v>
      </c>
      <c r="P88" s="179" t="s">
        <v>1046</v>
      </c>
      <c r="Q88" s="143">
        <f>R87-1</f>
        <v>608806815.02288961</v>
      </c>
      <c r="R88" s="143">
        <f t="shared" si="48"/>
        <v>608968221.4295913</v>
      </c>
      <c r="S88" s="104">
        <f t="shared" si="49"/>
        <v>161406.406701684</v>
      </c>
      <c r="T88" s="104">
        <f t="shared" si="50"/>
        <v>783750.00000007136</v>
      </c>
      <c r="U88" s="3">
        <v>0</v>
      </c>
      <c r="V88" s="142">
        <f t="shared" si="51"/>
        <v>783750.00000007136</v>
      </c>
      <c r="W88" s="97">
        <f>Y88*1000000/8</f>
        <v>783750</v>
      </c>
      <c r="X88" s="266">
        <f t="shared" si="52"/>
        <v>-7.1362592279911041E-8</v>
      </c>
      <c r="Y88" s="256">
        <f>1.1*AN88</f>
        <v>6.2700000000000005</v>
      </c>
      <c r="Z88" s="189"/>
      <c r="AA88" s="189"/>
      <c r="AB88" s="229">
        <v>862324</v>
      </c>
      <c r="AC88" s="229">
        <f t="shared" si="53"/>
        <v>78573.999999928637</v>
      </c>
      <c r="AD88" s="267">
        <f t="shared" si="54"/>
        <v>0.62859199999942905</v>
      </c>
      <c r="AE88" s="241">
        <f t="shared" si="55"/>
        <v>9.1118883389455285E-2</v>
      </c>
      <c r="AF88" s="178" t="s">
        <v>1047</v>
      </c>
      <c r="AG88" s="554" t="s">
        <v>1045</v>
      </c>
      <c r="AH88" s="232">
        <f t="shared" si="56"/>
        <v>-5.7090073823928837E-13</v>
      </c>
      <c r="AI88" s="232">
        <f t="shared" si="57"/>
        <v>6.2700000000005707</v>
      </c>
      <c r="AL88" s="565" t="s">
        <v>1048</v>
      </c>
      <c r="AM88" s="565" t="s">
        <v>1049</v>
      </c>
      <c r="AN88" s="565">
        <v>5.7</v>
      </c>
      <c r="AO88" s="565">
        <v>5.7</v>
      </c>
      <c r="AP88" s="565">
        <v>5.7</v>
      </c>
      <c r="AQ88" s="271">
        <f>AQ87+AP88</f>
        <v>28.18</v>
      </c>
    </row>
    <row r="89" spans="1:43" ht="15.75">
      <c r="B89">
        <v>102</v>
      </c>
      <c r="C89">
        <v>101</v>
      </c>
      <c r="E89" t="s">
        <v>766</v>
      </c>
      <c r="F89" t="s">
        <v>764</v>
      </c>
      <c r="G89" t="s">
        <v>765</v>
      </c>
      <c r="H89" t="s">
        <v>768</v>
      </c>
      <c r="L89" s="257" t="s">
        <v>1044</v>
      </c>
      <c r="M89" s="257" t="s">
        <v>1050</v>
      </c>
      <c r="O89" s="564" t="s">
        <v>1051</v>
      </c>
      <c r="P89" s="179" t="s">
        <v>1052</v>
      </c>
      <c r="Q89" s="143">
        <f>R88-1</f>
        <v>608968220.4295913</v>
      </c>
      <c r="R89" s="143">
        <f t="shared" si="48"/>
        <v>609242044.98271501</v>
      </c>
      <c r="S89" s="104">
        <f t="shared" si="49"/>
        <v>273824.55312371254</v>
      </c>
      <c r="T89" s="104">
        <f t="shared" si="50"/>
        <v>1329625.0000000165</v>
      </c>
      <c r="U89" s="3">
        <v>0</v>
      </c>
      <c r="V89" s="142">
        <f t="shared" si="51"/>
        <v>1329625.0000000165</v>
      </c>
      <c r="W89" s="97">
        <f>Y89*1000000/8</f>
        <v>1329625</v>
      </c>
      <c r="X89" s="266">
        <f t="shared" si="52"/>
        <v>-1.6530975699424744E-8</v>
      </c>
      <c r="Y89" s="256">
        <f>1.1*AN89</f>
        <v>10.637</v>
      </c>
      <c r="Z89" s="189"/>
      <c r="AA89" s="189"/>
      <c r="AB89" s="229">
        <v>1414898</v>
      </c>
      <c r="AC89" s="229">
        <f t="shared" si="53"/>
        <v>85272.999999983469</v>
      </c>
      <c r="AD89" s="267">
        <f t="shared" si="54"/>
        <v>0.68218399999986779</v>
      </c>
      <c r="AE89" s="241">
        <f t="shared" si="55"/>
        <v>6.0267948643636125E-2</v>
      </c>
      <c r="AF89" s="178" t="s">
        <v>1053</v>
      </c>
      <c r="AG89" s="554" t="s">
        <v>1051</v>
      </c>
      <c r="AH89" s="232">
        <f t="shared" si="56"/>
        <v>-1.3224780559539796E-13</v>
      </c>
      <c r="AI89" s="232">
        <f t="shared" si="57"/>
        <v>10.637000000000132</v>
      </c>
      <c r="AL89" s="565" t="s">
        <v>1054</v>
      </c>
      <c r="AM89" s="565" t="s">
        <v>1055</v>
      </c>
      <c r="AN89" s="565">
        <v>9.67</v>
      </c>
      <c r="AO89" s="565">
        <v>9.67</v>
      </c>
      <c r="AP89" s="565">
        <v>9.67</v>
      </c>
      <c r="AQ89" s="271">
        <f>AQ88+AP89</f>
        <v>37.85</v>
      </c>
    </row>
    <row r="90" spans="1:43" ht="15.75">
      <c r="B90">
        <v>102</v>
      </c>
      <c r="C90">
        <v>101</v>
      </c>
      <c r="E90" t="s">
        <v>766</v>
      </c>
      <c r="F90" t="s">
        <v>764</v>
      </c>
      <c r="G90" t="s">
        <v>765</v>
      </c>
      <c r="H90" t="s">
        <v>768</v>
      </c>
      <c r="L90" s="257" t="s">
        <v>1050</v>
      </c>
      <c r="M90" s="257" t="s">
        <v>1056</v>
      </c>
      <c r="N90" s="91"/>
      <c r="O90" s="564" t="s">
        <v>1057</v>
      </c>
      <c r="P90" s="179" t="s">
        <v>1058</v>
      </c>
      <c r="Q90" s="143">
        <f>R89-1</f>
        <v>609242043.98271501</v>
      </c>
      <c r="R90" s="143">
        <f t="shared" si="48"/>
        <v>609420723.7066251</v>
      </c>
      <c r="S90" s="104">
        <f t="shared" si="49"/>
        <v>178679.72391009331</v>
      </c>
      <c r="T90" s="104">
        <f t="shared" si="50"/>
        <v>867624.99999999884</v>
      </c>
      <c r="U90" s="3">
        <v>0</v>
      </c>
      <c r="V90" s="142">
        <f t="shared" si="51"/>
        <v>867624.99999999884</v>
      </c>
      <c r="W90" s="97">
        <f>Y90*1000000/8</f>
        <v>867625</v>
      </c>
      <c r="X90" s="266">
        <f t="shared" si="52"/>
        <v>1.1641532182693481E-9</v>
      </c>
      <c r="Y90" s="256">
        <f>1.1*AN90</f>
        <v>6.9409999999999998</v>
      </c>
      <c r="Z90" s="189"/>
      <c r="AA90" s="189"/>
      <c r="AB90" s="229">
        <v>924952</v>
      </c>
      <c r="AC90" s="229">
        <f t="shared" si="53"/>
        <v>57327.000000001164</v>
      </c>
      <c r="AD90" s="267">
        <f t="shared" si="54"/>
        <v>0.45861600000000929</v>
      </c>
      <c r="AE90" s="241">
        <f t="shared" si="55"/>
        <v>6.1978351309042161E-2</v>
      </c>
      <c r="AF90" s="178" t="s">
        <v>1059</v>
      </c>
      <c r="AG90" s="554" t="s">
        <v>1057</v>
      </c>
      <c r="AH90" s="232">
        <f t="shared" si="56"/>
        <v>9.3132257461547859E-15</v>
      </c>
      <c r="AI90" s="232">
        <f t="shared" si="57"/>
        <v>6.940999999999991</v>
      </c>
      <c r="AL90" s="565" t="s">
        <v>1060</v>
      </c>
      <c r="AM90" s="565" t="s">
        <v>1061</v>
      </c>
      <c r="AN90" s="565">
        <v>6.31</v>
      </c>
      <c r="AO90" s="565">
        <v>6.31</v>
      </c>
      <c r="AP90" s="565">
        <v>6.31</v>
      </c>
      <c r="AQ90" s="271">
        <f>AQ89+AP90</f>
        <v>44.160000000000004</v>
      </c>
    </row>
    <row r="91" spans="1:43" ht="15.75">
      <c r="B91">
        <v>102</v>
      </c>
      <c r="C91">
        <v>101</v>
      </c>
      <c r="E91" t="s">
        <v>766</v>
      </c>
      <c r="F91" t="s">
        <v>764</v>
      </c>
      <c r="G91" t="s">
        <v>765</v>
      </c>
      <c r="H91" t="s">
        <v>768</v>
      </c>
      <c r="L91" s="257" t="s">
        <v>1056</v>
      </c>
      <c r="M91" s="257" t="s">
        <v>1062</v>
      </c>
      <c r="N91" s="91"/>
      <c r="O91" s="564" t="s">
        <v>1063</v>
      </c>
      <c r="P91" s="179" t="s">
        <v>1064</v>
      </c>
      <c r="Q91" s="143">
        <f>R90-1</f>
        <v>609420722.7066251</v>
      </c>
      <c r="R91" s="143">
        <f t="shared" si="48"/>
        <v>609625453.99091506</v>
      </c>
      <c r="S91" s="104">
        <f t="shared" si="49"/>
        <v>204731.28428995609</v>
      </c>
      <c r="T91" s="104">
        <f t="shared" si="50"/>
        <v>994124.99999972805</v>
      </c>
      <c r="U91" s="3">
        <v>0</v>
      </c>
      <c r="V91" s="142">
        <f t="shared" si="51"/>
        <v>994124.99999972805</v>
      </c>
      <c r="W91" s="97">
        <f>Y91*1000000/8</f>
        <v>994125.00000000012</v>
      </c>
      <c r="X91" s="266">
        <f t="shared" si="52"/>
        <v>2.7206260710954666E-7</v>
      </c>
      <c r="Y91" s="256">
        <f>1.1*AN91</f>
        <v>7.9530000000000012</v>
      </c>
      <c r="Z91" s="272">
        <f>SUM(Y84:Y91)</f>
        <v>56.529000000000011</v>
      </c>
      <c r="AA91" s="229"/>
      <c r="AB91" s="229">
        <v>1063706</v>
      </c>
      <c r="AC91" s="229">
        <f t="shared" si="53"/>
        <v>69581.000000271946</v>
      </c>
      <c r="AD91" s="267">
        <f t="shared" si="54"/>
        <v>0.55664800000217562</v>
      </c>
      <c r="AE91" s="241">
        <f t="shared" si="55"/>
        <v>6.5413751544385335E-2</v>
      </c>
      <c r="AF91" s="178" t="s">
        <v>1065</v>
      </c>
      <c r="AG91" s="554" t="s">
        <v>1063</v>
      </c>
      <c r="AH91" s="232">
        <f t="shared" si="56"/>
        <v>2.1765008568763734E-12</v>
      </c>
      <c r="AI91" s="232">
        <f t="shared" si="57"/>
        <v>7.9529999999978243</v>
      </c>
      <c r="AL91" s="565" t="s">
        <v>1066</v>
      </c>
      <c r="AM91" s="565" t="s">
        <v>1067</v>
      </c>
      <c r="AN91" s="565">
        <v>7.23</v>
      </c>
      <c r="AO91" s="565">
        <v>7.23</v>
      </c>
      <c r="AP91" s="565">
        <v>7.23</v>
      </c>
      <c r="AQ91" s="271">
        <f>AQ90+AP91</f>
        <v>51.39</v>
      </c>
    </row>
    <row r="92" spans="1:43">
      <c r="L92" s="418" t="str" cm="1">
        <f t="array" aca="1" ref="L92" ca="1">MID(met2utc(Q91),3,12)</f>
        <v>25-133/05:40</v>
      </c>
      <c r="M92" s="418"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c r="F93" t="s">
        <v>764</v>
      </c>
      <c r="O93" t="s">
        <v>1068</v>
      </c>
      <c r="Q93" s="3">
        <v>590138632</v>
      </c>
      <c r="Y93" s="3"/>
      <c r="Z93" s="5"/>
      <c r="AA93" s="5"/>
      <c r="AB93" s="5"/>
      <c r="AC93" s="97"/>
      <c r="AD93" s="97"/>
      <c r="AE93" s="97"/>
      <c r="AH93" s="232"/>
      <c r="AI93" s="232"/>
    </row>
    <row r="94" spans="1:43">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554" t="s">
        <v>1076</v>
      </c>
      <c r="P95" s="61" t="s">
        <v>82</v>
      </c>
      <c r="Q95" s="143">
        <f>Q93-3</f>
        <v>590138629</v>
      </c>
      <c r="R95" s="566">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554" t="s">
        <v>1076</v>
      </c>
      <c r="AH95" s="232">
        <f>X95*8/1000000</f>
        <v>1.1404999128703703</v>
      </c>
      <c r="AI95" s="232">
        <f>V95*8/1000000</f>
        <v>2.0275000871296296</v>
      </c>
      <c r="AL95" s="567" t="s">
        <v>1078</v>
      </c>
      <c r="AM95" s="567" t="s">
        <v>1079</v>
      </c>
      <c r="AN95" s="567">
        <v>2.88</v>
      </c>
      <c r="AO95" s="567">
        <v>2.88</v>
      </c>
      <c r="AP95" s="567">
        <v>2.88</v>
      </c>
      <c r="AQ95" s="227">
        <f>AP95</f>
        <v>2.88</v>
      </c>
    </row>
    <row r="96" spans="1:43">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554" t="s">
        <v>1076</v>
      </c>
      <c r="P97" s="179" t="s">
        <v>82</v>
      </c>
      <c r="Q97" s="566">
        <f>R96-20</f>
        <v>590247096</v>
      </c>
      <c r="R97" s="143">
        <f t="shared" ref="R97:R102" si="58">((W97)/$W$9)+Q97</f>
        <v>590285792.5556767</v>
      </c>
      <c r="S97" s="104">
        <f t="shared" ref="S97:S102" si="59">R97-Q97</f>
        <v>38696.555676698685</v>
      </c>
      <c r="T97" s="104">
        <f t="shared" ref="T97:T102" si="60">S97*$W$9</f>
        <v>142562.48910869568</v>
      </c>
      <c r="U97" s="3">
        <v>0</v>
      </c>
      <c r="V97" s="142">
        <f t="shared" ref="V97:V102" si="61">T97+U97*$V$33</f>
        <v>142562.48910869568</v>
      </c>
      <c r="W97" s="97">
        <f>X95</f>
        <v>142562.48910879629</v>
      </c>
      <c r="X97" s="266">
        <f t="shared" ref="X97:X102" si="62">W97-V97</f>
        <v>1.0061194188892841E-7</v>
      </c>
      <c r="AB97" s="229">
        <v>191209</v>
      </c>
      <c r="AC97" s="229">
        <f t="shared" ref="AC97:AC102" si="63">AB97-W97</f>
        <v>48646.51089120371</v>
      </c>
      <c r="AD97" s="229">
        <f t="shared" ref="AD97:AD102" si="64">AC97*8/1000000</f>
        <v>0.3891720871296297</v>
      </c>
      <c r="AE97" s="229"/>
      <c r="AH97" s="232">
        <f t="shared" ref="AH97:AH102" si="65">X97*8/1000000</f>
        <v>8.0489553511142731E-13</v>
      </c>
      <c r="AI97" s="232">
        <f t="shared" ref="AI97:AI102" si="66">V97*8/1000000</f>
        <v>1.1404999128695654</v>
      </c>
    </row>
    <row r="98" spans="1:43" ht="15.75">
      <c r="L98" s="273" t="s">
        <v>1085</v>
      </c>
      <c r="M98" s="273" t="s">
        <v>1086</v>
      </c>
      <c r="O98" s="554" t="s">
        <v>1087</v>
      </c>
      <c r="P98" s="179" t="s">
        <v>1088</v>
      </c>
      <c r="Q98" s="143">
        <f>R97-3</f>
        <v>590285789.5556767</v>
      </c>
      <c r="R98" s="143">
        <f t="shared" si="58"/>
        <v>590669090.75942671</v>
      </c>
      <c r="S98" s="104">
        <f t="shared" si="59"/>
        <v>383301.20375001431</v>
      </c>
      <c r="T98" s="104">
        <f t="shared" si="60"/>
        <v>1412125.0000000836</v>
      </c>
      <c r="U98" s="3">
        <v>0</v>
      </c>
      <c r="V98" s="142">
        <f t="shared" si="61"/>
        <v>1412125.0000000836</v>
      </c>
      <c r="W98" s="97">
        <f>Y98*1000000/8</f>
        <v>1412125</v>
      </c>
      <c r="X98" s="266">
        <f t="shared" si="62"/>
        <v>-8.3586201071739197E-8</v>
      </c>
      <c r="Y98" s="256">
        <f>1.1*AN98</f>
        <v>11.297000000000001</v>
      </c>
      <c r="Z98" s="189"/>
      <c r="AA98" s="189"/>
      <c r="AB98" s="229">
        <v>1411117</v>
      </c>
      <c r="AC98" s="229">
        <f t="shared" si="63"/>
        <v>-1008</v>
      </c>
      <c r="AD98" s="229">
        <f t="shared" si="64"/>
        <v>-8.064E-3</v>
      </c>
      <c r="AE98" s="229"/>
      <c r="AF98" s="178" t="s">
        <v>1089</v>
      </c>
      <c r="AG98" s="554" t="s">
        <v>1087</v>
      </c>
      <c r="AH98" s="232">
        <f t="shared" si="65"/>
        <v>-6.6868960857391357E-13</v>
      </c>
      <c r="AI98" s="232">
        <f t="shared" si="66"/>
        <v>11.297000000000669</v>
      </c>
      <c r="AL98" s="567" t="s">
        <v>1090</v>
      </c>
      <c r="AM98" s="567" t="s">
        <v>1091</v>
      </c>
      <c r="AN98" s="567">
        <v>10.27</v>
      </c>
      <c r="AO98" s="567">
        <v>10.27</v>
      </c>
      <c r="AP98" s="567">
        <v>10.27</v>
      </c>
      <c r="AQ98" s="227">
        <f>AQ95+AP98</f>
        <v>13.149999999999999</v>
      </c>
    </row>
    <row r="99" spans="1:43" ht="15.75">
      <c r="L99" s="273" t="s">
        <v>1086</v>
      </c>
      <c r="M99" s="273" t="s">
        <v>1092</v>
      </c>
      <c r="O99" s="554" t="s">
        <v>1093</v>
      </c>
      <c r="P99" s="179" t="s">
        <v>162</v>
      </c>
      <c r="Q99" s="143">
        <f>R98-3</f>
        <v>590669087.75942671</v>
      </c>
      <c r="R99" s="143">
        <f t="shared" si="58"/>
        <v>591454351.37450945</v>
      </c>
      <c r="S99" s="104">
        <f t="shared" si="59"/>
        <v>785263.61508274078</v>
      </c>
      <c r="T99" s="104">
        <f t="shared" si="60"/>
        <v>2892999.9999999725</v>
      </c>
      <c r="U99" s="3">
        <v>0</v>
      </c>
      <c r="V99" s="142">
        <f t="shared" si="61"/>
        <v>2892999.9999999725</v>
      </c>
      <c r="W99" s="97">
        <f>Y99*1000000/8</f>
        <v>2893000.0000000005</v>
      </c>
      <c r="X99" s="266">
        <f t="shared" si="62"/>
        <v>2.7939677238464355E-8</v>
      </c>
      <c r="Y99" s="256">
        <f>1.1*AN99</f>
        <v>23.144000000000002</v>
      </c>
      <c r="Z99" s="189"/>
      <c r="AA99" s="189"/>
      <c r="AB99" s="229">
        <v>2901234</v>
      </c>
      <c r="AC99" s="229">
        <f t="shared" si="63"/>
        <v>8233.9999999995343</v>
      </c>
      <c r="AD99" s="229">
        <f t="shared" si="64"/>
        <v>6.5871999999996281E-2</v>
      </c>
      <c r="AE99" s="229"/>
      <c r="AF99" s="178" t="s">
        <v>1094</v>
      </c>
      <c r="AG99" s="554" t="s">
        <v>1093</v>
      </c>
      <c r="AH99" s="232">
        <f t="shared" si="65"/>
        <v>2.2351741790771485E-13</v>
      </c>
      <c r="AI99" s="232">
        <f t="shared" si="66"/>
        <v>23.143999999999782</v>
      </c>
      <c r="AL99" s="567" t="s">
        <v>1095</v>
      </c>
      <c r="AM99" s="567" t="s">
        <v>1096</v>
      </c>
      <c r="AN99" s="567">
        <v>21.04</v>
      </c>
      <c r="AO99" s="567">
        <v>21.04</v>
      </c>
      <c r="AP99" s="567">
        <v>21.04</v>
      </c>
      <c r="AQ99" s="227">
        <f>AQ98+AP99</f>
        <v>34.19</v>
      </c>
    </row>
    <row r="100" spans="1:43" ht="15.75">
      <c r="L100" s="273" t="s">
        <v>1092</v>
      </c>
      <c r="M100" s="273" t="s">
        <v>1097</v>
      </c>
      <c r="N100" s="91"/>
      <c r="O100" s="554" t="s">
        <v>1098</v>
      </c>
      <c r="P100" s="179" t="s">
        <v>1099</v>
      </c>
      <c r="Q100" s="143">
        <f>R99-3</f>
        <v>591454348.37450945</v>
      </c>
      <c r="R100" s="143">
        <f t="shared" si="58"/>
        <v>591795102.02497077</v>
      </c>
      <c r="S100" s="104">
        <f t="shared" si="59"/>
        <v>340753.65046131611</v>
      </c>
      <c r="T100" s="104">
        <f t="shared" si="60"/>
        <v>1255375.000000105</v>
      </c>
      <c r="U100" s="3">
        <v>0</v>
      </c>
      <c r="V100" s="142">
        <f t="shared" si="61"/>
        <v>1255375.000000105</v>
      </c>
      <c r="W100" s="97">
        <f>Y100*1000000/8</f>
        <v>1255375.0000000002</v>
      </c>
      <c r="X100" s="266">
        <f t="shared" si="62"/>
        <v>-1.0477378964424133E-7</v>
      </c>
      <c r="Y100" s="256">
        <f>1.1*AN100</f>
        <v>10.043000000000001</v>
      </c>
      <c r="Z100" s="189"/>
      <c r="AA100" s="189"/>
      <c r="AB100" s="229">
        <v>1259168</v>
      </c>
      <c r="AC100" s="229">
        <f t="shared" si="63"/>
        <v>3792.9999999997672</v>
      </c>
      <c r="AD100" s="229">
        <f t="shared" si="64"/>
        <v>3.0343999999998136E-2</v>
      </c>
      <c r="AE100" s="229"/>
      <c r="AF100" s="178" t="s">
        <v>1100</v>
      </c>
      <c r="AG100" s="554" t="s">
        <v>1098</v>
      </c>
      <c r="AH100" s="232">
        <f t="shared" si="65"/>
        <v>-8.3819031715393064E-13</v>
      </c>
      <c r="AI100" s="232">
        <f t="shared" si="66"/>
        <v>10.043000000000839</v>
      </c>
      <c r="AL100" s="567" t="s">
        <v>1101</v>
      </c>
      <c r="AM100" s="567" t="s">
        <v>1102</v>
      </c>
      <c r="AN100" s="567">
        <v>9.1300000000000008</v>
      </c>
      <c r="AO100" s="567">
        <v>9.1300000000000008</v>
      </c>
      <c r="AP100" s="567">
        <v>9.1300000000000008</v>
      </c>
      <c r="AQ100" s="227">
        <f>AQ99+AP100</f>
        <v>43.32</v>
      </c>
    </row>
    <row r="101" spans="1:43" ht="15.75">
      <c r="L101" s="226" t="s">
        <v>1097</v>
      </c>
      <c r="M101" s="226" t="s">
        <v>1103</v>
      </c>
      <c r="O101" s="554" t="s">
        <v>1104</v>
      </c>
      <c r="P101" s="179" t="s">
        <v>1105</v>
      </c>
      <c r="Q101" s="104">
        <f>R100-3</f>
        <v>591795099.02497077</v>
      </c>
      <c r="R101" s="104">
        <f t="shared" si="58"/>
        <v>592042173.41336656</v>
      </c>
      <c r="S101" s="104">
        <f t="shared" si="59"/>
        <v>247074.38839578629</v>
      </c>
      <c r="T101" s="104">
        <f t="shared" si="60"/>
        <v>910249.9999999213</v>
      </c>
      <c r="U101" s="3">
        <v>0</v>
      </c>
      <c r="V101" s="97">
        <f t="shared" si="61"/>
        <v>910249.9999999213</v>
      </c>
      <c r="W101" s="97">
        <f>Y101*1000000/8</f>
        <v>910250.00000000012</v>
      </c>
      <c r="X101" s="266">
        <f t="shared" si="62"/>
        <v>7.8813172876834869E-8</v>
      </c>
      <c r="Y101" s="256">
        <f>1.1*AN101</f>
        <v>7.2820000000000009</v>
      </c>
      <c r="Z101" s="189"/>
      <c r="AA101" s="189"/>
      <c r="AB101" s="229">
        <v>915898</v>
      </c>
      <c r="AC101" s="229">
        <f t="shared" si="63"/>
        <v>5647.9999999998836</v>
      </c>
      <c r="AD101" s="229">
        <f t="shared" si="64"/>
        <v>4.5183999999999072E-2</v>
      </c>
      <c r="AE101" s="229"/>
      <c r="AF101" s="178" t="s">
        <v>1106</v>
      </c>
      <c r="AG101" s="554" t="s">
        <v>1104</v>
      </c>
      <c r="AH101" s="232">
        <f t="shared" si="65"/>
        <v>6.3050538301467893E-13</v>
      </c>
      <c r="AI101" s="232">
        <f t="shared" si="66"/>
        <v>7.2819999999993703</v>
      </c>
      <c r="AL101" s="567" t="s">
        <v>1107</v>
      </c>
      <c r="AM101" s="567" t="s">
        <v>1108</v>
      </c>
      <c r="AN101" s="567">
        <v>6.62</v>
      </c>
      <c r="AO101" s="567">
        <v>6.62</v>
      </c>
      <c r="AP101" s="567">
        <v>6.62</v>
      </c>
      <c r="AQ101" s="227">
        <f>AQ100+AP101</f>
        <v>49.94</v>
      </c>
    </row>
    <row r="102" spans="1:43" ht="15.75">
      <c r="L102" s="226" t="s">
        <v>1103</v>
      </c>
      <c r="M102" s="226" t="s">
        <v>1109</v>
      </c>
      <c r="O102" s="554" t="s">
        <v>1110</v>
      </c>
      <c r="P102" s="179" t="s">
        <v>1111</v>
      </c>
      <c r="Q102" s="104">
        <f>R101-3</f>
        <v>592042170.41336656</v>
      </c>
      <c r="R102" s="104">
        <f t="shared" si="58"/>
        <v>592432562.87599802</v>
      </c>
      <c r="S102" s="104">
        <f t="shared" si="59"/>
        <v>390392.462631464</v>
      </c>
      <c r="T102" s="104">
        <f t="shared" si="60"/>
        <v>1438250.0000000799</v>
      </c>
      <c r="U102" s="3">
        <v>0</v>
      </c>
      <c r="V102" s="97">
        <f t="shared" si="61"/>
        <v>1438250.0000000799</v>
      </c>
      <c r="W102" s="97">
        <f>Y102*1000000/8</f>
        <v>1438250.0000000002</v>
      </c>
      <c r="X102" s="266">
        <f t="shared" si="62"/>
        <v>-7.9628080129623413E-8</v>
      </c>
      <c r="Y102" s="256">
        <f>1.1*AN102</f>
        <v>11.506000000000002</v>
      </c>
      <c r="Z102" s="275">
        <f>SUM(Y95:Y102)</f>
        <v>66.440000000000012</v>
      </c>
      <c r="AA102" s="229"/>
      <c r="AB102" s="229">
        <v>1436041</v>
      </c>
      <c r="AC102" s="229">
        <f t="shared" si="63"/>
        <v>-2209.0000000002328</v>
      </c>
      <c r="AD102" s="229">
        <f t="shared" si="64"/>
        <v>-1.7672000000001863E-2</v>
      </c>
      <c r="AE102" s="229"/>
      <c r="AF102" s="178" t="s">
        <v>1112</v>
      </c>
      <c r="AG102" s="554" t="s">
        <v>1110</v>
      </c>
      <c r="AH102" s="232">
        <f t="shared" si="65"/>
        <v>-6.3702464103698734E-13</v>
      </c>
      <c r="AI102" s="232">
        <f t="shared" si="66"/>
        <v>11.50600000000064</v>
      </c>
      <c r="AL102" s="567" t="s">
        <v>1113</v>
      </c>
      <c r="AM102" s="567" t="s">
        <v>1114</v>
      </c>
      <c r="AN102" s="567">
        <v>10.46</v>
      </c>
      <c r="AO102" s="567">
        <v>10.46</v>
      </c>
      <c r="AP102" s="567">
        <v>10.46</v>
      </c>
      <c r="AQ102" s="227">
        <f>AQ101+AP102</f>
        <v>60.4</v>
      </c>
    </row>
    <row r="103" spans="1:43">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104">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c r="AC105" s="3"/>
      <c r="AH105" s="232"/>
      <c r="AI105" s="232"/>
      <c r="AJ105" s="568"/>
      <c r="AK105" s="568"/>
      <c r="AL105" s="568"/>
      <c r="AM105" s="568"/>
      <c r="AN105" s="568"/>
    </row>
    <row r="106" spans="1:43">
      <c r="AC106" s="3"/>
      <c r="AI106" s="568"/>
      <c r="AJ106" s="568"/>
      <c r="AK106" s="568"/>
      <c r="AL106" s="568"/>
      <c r="AM106" s="568"/>
    </row>
    <row r="107" spans="1:43">
      <c r="AA107" s="239"/>
      <c r="AC107" s="3"/>
      <c r="AI107" s="568"/>
      <c r="AJ107" s="568"/>
      <c r="AK107" s="568"/>
      <c r="AL107" s="568"/>
      <c r="AM107" s="568"/>
    </row>
    <row r="108" spans="1:43">
      <c r="AG108" s="568"/>
      <c r="AH108" s="568"/>
      <c r="AI108" s="568"/>
      <c r="AJ108" s="568"/>
      <c r="AK108" s="568"/>
    </row>
    <row r="110" spans="1:43">
      <c r="AK110" s="555"/>
      <c r="AL110" s="555"/>
      <c r="AM110" s="555"/>
      <c r="AN110" s="555"/>
      <c r="AO110" s="555"/>
    </row>
    <row r="111" spans="1:43">
      <c r="AK111" s="555"/>
      <c r="AL111" s="555"/>
      <c r="AM111" s="555"/>
      <c r="AN111" s="555"/>
      <c r="AO111" s="555"/>
    </row>
    <row r="112" spans="1:43">
      <c r="AK112" s="555"/>
      <c r="AL112" s="555"/>
      <c r="AM112" s="555"/>
      <c r="AN112" s="555"/>
      <c r="AO112" s="555"/>
    </row>
    <row r="113" spans="2:48">
      <c r="AK113" s="555"/>
      <c r="AL113" s="555"/>
      <c r="AM113" s="555"/>
      <c r="AN113" s="555"/>
      <c r="AO113" s="555"/>
    </row>
    <row r="114" spans="2:48">
      <c r="P114" s="81" t="s">
        <v>1118</v>
      </c>
      <c r="Q114" s="81" t="s">
        <v>1119</v>
      </c>
      <c r="R114" s="81">
        <v>611744576</v>
      </c>
      <c r="S114" s="81">
        <v>7</v>
      </c>
      <c r="T114" s="81" t="s">
        <v>373</v>
      </c>
      <c r="U114" s="81" t="s">
        <v>1120</v>
      </c>
      <c r="V114" s="81" t="s">
        <v>866</v>
      </c>
      <c r="W114" s="81" t="s">
        <v>867</v>
      </c>
      <c r="X114" s="81" t="s">
        <v>1121</v>
      </c>
      <c r="Y114" s="239"/>
      <c r="Z114" s="239"/>
      <c r="AA114" s="239"/>
      <c r="AK114" s="555"/>
      <c r="AL114" s="555"/>
      <c r="AM114" s="555"/>
      <c r="AN114" s="555"/>
      <c r="AO114" s="555"/>
    </row>
    <row r="115" spans="2:48">
      <c r="P115" s="81" t="s">
        <v>1122</v>
      </c>
      <c r="Q115" s="81" t="s">
        <v>1123</v>
      </c>
      <c r="R115" s="81">
        <v>611746916</v>
      </c>
      <c r="S115" s="81">
        <v>0</v>
      </c>
      <c r="T115" s="81" t="s">
        <v>1124</v>
      </c>
      <c r="U115" s="81" t="s">
        <v>1125</v>
      </c>
      <c r="V115" s="81" t="s">
        <v>1126</v>
      </c>
      <c r="W115" s="81"/>
      <c r="X115" s="81" t="s">
        <v>1121</v>
      </c>
      <c r="Y115" s="239"/>
      <c r="Z115" s="239"/>
      <c r="AA115" s="239"/>
      <c r="AG115" s="568"/>
      <c r="AH115" s="568"/>
      <c r="AI115" s="568"/>
      <c r="AJ115" s="568"/>
      <c r="AK115" s="555"/>
      <c r="AL115" s="555"/>
      <c r="AM115" s="555"/>
      <c r="AN115" s="555"/>
      <c r="AO115" s="555"/>
    </row>
    <row r="116" spans="2:48">
      <c r="AK116" s="555"/>
      <c r="AL116" s="555"/>
      <c r="AM116" s="555"/>
      <c r="AN116" s="555"/>
      <c r="AO116" s="555"/>
    </row>
    <row r="117" spans="2:48">
      <c r="P117" s="81" t="s">
        <v>1127</v>
      </c>
      <c r="Q117" s="81" t="s">
        <v>1128</v>
      </c>
      <c r="R117" s="81">
        <v>611791076</v>
      </c>
      <c r="S117" s="81">
        <v>0</v>
      </c>
      <c r="T117" s="81" t="s">
        <v>1124</v>
      </c>
      <c r="U117" s="81" t="s">
        <v>1129</v>
      </c>
      <c r="V117" s="81" t="s">
        <v>1130</v>
      </c>
      <c r="W117" s="81"/>
      <c r="X117" s="81"/>
      <c r="AK117" s="555"/>
      <c r="AL117" s="555"/>
      <c r="AM117" s="555"/>
      <c r="AN117" s="555"/>
      <c r="AO117" s="555"/>
    </row>
    <row r="118" spans="2:48">
      <c r="P118" s="81" t="s">
        <v>1127</v>
      </c>
      <c r="Q118" s="81" t="s">
        <v>1128</v>
      </c>
      <c r="R118" s="81">
        <v>611791076</v>
      </c>
      <c r="S118" s="81">
        <v>0</v>
      </c>
      <c r="T118" s="81" t="s">
        <v>1124</v>
      </c>
      <c r="U118" s="81" t="s">
        <v>1129</v>
      </c>
      <c r="V118" s="81" t="s">
        <v>1131</v>
      </c>
      <c r="W118" s="81" t="s">
        <v>1132</v>
      </c>
      <c r="X118" s="81"/>
      <c r="AK118" s="555"/>
      <c r="AL118" s="555"/>
      <c r="AM118" s="555"/>
      <c r="AN118" s="555"/>
      <c r="AO118" s="555"/>
    </row>
    <row r="119" spans="2:48">
      <c r="P119" s="81" t="s">
        <v>1127</v>
      </c>
      <c r="Q119" s="81" t="s">
        <v>1128</v>
      </c>
      <c r="R119" s="81">
        <v>611791076</v>
      </c>
      <c r="S119" s="81">
        <v>0</v>
      </c>
      <c r="T119" s="81" t="s">
        <v>1124</v>
      </c>
      <c r="U119" s="81" t="s">
        <v>1129</v>
      </c>
      <c r="V119" s="81" t="s">
        <v>1133</v>
      </c>
      <c r="W119" s="81"/>
      <c r="X119" s="81"/>
      <c r="AB119" t="s">
        <v>1134</v>
      </c>
      <c r="AK119" s="555"/>
      <c r="AL119" s="555"/>
      <c r="AM119" s="555"/>
      <c r="AN119" s="555"/>
      <c r="AO119" s="555"/>
    </row>
    <row r="120" spans="2:48">
      <c r="X120" t="s">
        <v>913</v>
      </c>
      <c r="AK120" s="555"/>
      <c r="AL120" s="555"/>
      <c r="AM120" s="555"/>
      <c r="AN120" s="555"/>
      <c r="AO120" s="555"/>
    </row>
    <row r="121" spans="2:48">
      <c r="P121" s="59">
        <v>25159</v>
      </c>
      <c r="T121" s="3"/>
      <c r="V121" s="93"/>
      <c r="X121" t="s">
        <v>1010</v>
      </c>
      <c r="AK121" s="555"/>
      <c r="AL121" s="555"/>
      <c r="AM121" s="555"/>
      <c r="AN121" s="555"/>
      <c r="AO121" s="555"/>
    </row>
    <row r="122" spans="2:48">
      <c r="P122" s="73" t="s">
        <v>837</v>
      </c>
      <c r="Q122" s="72" t="s">
        <v>65</v>
      </c>
      <c r="R122" s="73" t="s">
        <v>66</v>
      </c>
      <c r="S122" s="73" t="s">
        <v>67</v>
      </c>
      <c r="T122" s="74" t="s">
        <v>68</v>
      </c>
      <c r="U122" s="3" t="s">
        <v>176</v>
      </c>
      <c r="V122" s="74" t="s">
        <v>265</v>
      </c>
      <c r="W122" s="73" t="s">
        <v>266</v>
      </c>
      <c r="X122" s="73" t="s">
        <v>70</v>
      </c>
      <c r="AC122" t="s">
        <v>862</v>
      </c>
      <c r="AK122" s="555"/>
      <c r="AL122" s="555"/>
      <c r="AM122" s="555"/>
      <c r="AN122" s="555"/>
      <c r="AO122" s="555"/>
    </row>
    <row r="123" spans="2:48">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555"/>
      <c r="AN123" s="555"/>
      <c r="AO123" s="555"/>
      <c r="AP123" s="555"/>
    </row>
    <row r="124" spans="2:48" ht="15.75">
      <c r="B124">
        <v>102</v>
      </c>
      <c r="C124">
        <v>101</v>
      </c>
      <c r="E124" t="s">
        <v>766</v>
      </c>
      <c r="F124" t="s">
        <v>764</v>
      </c>
      <c r="G124" t="s">
        <v>765</v>
      </c>
      <c r="L124" s="257" t="s">
        <v>1062</v>
      </c>
      <c r="M124" s="257" t="s">
        <v>1140</v>
      </c>
      <c r="N124" s="91"/>
      <c r="O124" s="564" t="str">
        <f>AG124</f>
        <v>160/16:16</v>
      </c>
      <c r="P124" s="179" t="s">
        <v>90</v>
      </c>
      <c r="Q124" s="143">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554" t="s">
        <v>1142</v>
      </c>
      <c r="AH124" s="232">
        <f>X124*8/1000000</f>
        <v>1.2276698865422662</v>
      </c>
      <c r="AI124" s="232">
        <f>V124*8/1000000</f>
        <v>8.6613301134577352</v>
      </c>
      <c r="AJ124" s="558" t="s">
        <v>1143</v>
      </c>
      <c r="AK124" s="555" t="s">
        <v>1144</v>
      </c>
      <c r="AL124" s="555">
        <v>8.99</v>
      </c>
      <c r="AM124" s="555">
        <v>8.99</v>
      </c>
      <c r="AN124" s="555">
        <v>8.99</v>
      </c>
      <c r="AP124" s="555"/>
      <c r="AQ124" s="555"/>
      <c r="AR124" s="555"/>
      <c r="AS124" s="555"/>
      <c r="AT124" s="555"/>
      <c r="AU124" s="555"/>
      <c r="AV124" s="555"/>
    </row>
    <row r="125" spans="2:48">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555"/>
      <c r="AL125" s="555"/>
      <c r="AM125" s="555"/>
      <c r="AO125" s="555"/>
      <c r="AP125" s="555"/>
    </row>
    <row r="126" spans="2:48">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558"/>
      <c r="AJ126" s="555"/>
      <c r="AK126" s="555"/>
      <c r="AL126" s="555"/>
      <c r="AM126" s="555"/>
      <c r="AP126" s="555"/>
      <c r="AQ126" s="555"/>
      <c r="AR126" s="555"/>
      <c r="AS126" s="555"/>
      <c r="AT126" s="555"/>
      <c r="AU126" s="555"/>
    </row>
    <row r="127" spans="2:48">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12">
        <f>R125-20</f>
        <v>609912696</v>
      </c>
      <c r="R131" s="143">
        <f t="shared" ref="R131:R138" si="67">((W131-U131*$V$33)/$V$13)+Q131</f>
        <v>609953286.37171972</v>
      </c>
      <c r="S131" s="104">
        <f t="shared" ref="S131:S138" si="68">R131-Q131</f>
        <v>40590.371719717979</v>
      </c>
      <c r="T131" s="104">
        <f t="shared" ref="T131:T138" si="69">S131*$V$13</f>
        <v>153458.73581774277</v>
      </c>
      <c r="U131" s="3">
        <v>0</v>
      </c>
      <c r="V131" s="142">
        <f>T131+U131*$V$33+$V$33</f>
        <v>350833.73581774277</v>
      </c>
      <c r="W131" s="385">
        <f>X124</f>
        <v>153458.73581778328</v>
      </c>
      <c r="X131" s="266">
        <f t="shared" ref="X131:X138" si="70">W131-V131</f>
        <v>-197374.99999995949</v>
      </c>
      <c r="AB131" s="229">
        <v>306124</v>
      </c>
      <c r="AC131" s="229">
        <f>AB131-W131</f>
        <v>152665.26418221672</v>
      </c>
      <c r="AD131" s="277">
        <f t="shared" ref="AD131:AD138" si="71">AC131*8/1000000</f>
        <v>1.2213221134577337</v>
      </c>
      <c r="AE131" s="241">
        <f t="shared" ref="AE131:AE137" si="72">AC131/AB131</f>
        <v>0.49870400289495997</v>
      </c>
      <c r="AF131" t="s">
        <v>1173</v>
      </c>
      <c r="AH131" t="s">
        <v>1174</v>
      </c>
      <c r="AI131" t="e">
        <f>V130*8/1000000</f>
        <v>#VALUE!</v>
      </c>
    </row>
    <row r="132" spans="1:40" ht="15.75">
      <c r="B132">
        <v>102</v>
      </c>
      <c r="C132">
        <v>101</v>
      </c>
      <c r="E132" t="s">
        <v>766</v>
      </c>
      <c r="F132" t="s">
        <v>764</v>
      </c>
      <c r="G132" t="s">
        <v>765</v>
      </c>
      <c r="L132" s="257" t="str">
        <f t="shared" ref="L132:L138" si="73">M131</f>
        <v>139/09:36</v>
      </c>
      <c r="M132" s="257" t="s">
        <v>1175</v>
      </c>
      <c r="O132" s="564" t="str">
        <f t="shared" ref="O132:O138" si="74">AG132</f>
        <v>161/15:11</v>
      </c>
      <c r="P132" s="179" t="s">
        <v>602</v>
      </c>
      <c r="Q132" s="143">
        <f t="shared" ref="Q132:Q138" si="75">R131-1</f>
        <v>609953285.37171972</v>
      </c>
      <c r="R132" s="143">
        <f t="shared" si="67"/>
        <v>610156754.68403363</v>
      </c>
      <c r="S132" s="104">
        <f t="shared" si="68"/>
        <v>203469.3123139143</v>
      </c>
      <c r="T132" s="104">
        <f t="shared" si="69"/>
        <v>769250.00000014075</v>
      </c>
      <c r="U132" s="3">
        <v>0</v>
      </c>
      <c r="V132" s="142">
        <f t="shared" ref="V132:V138" si="76">T132+U132*$V$33</f>
        <v>769250.00000014075</v>
      </c>
      <c r="W132" s="97">
        <f>Y132*1000000/8+X131</f>
        <v>769250.00000004063</v>
      </c>
      <c r="X132" s="266">
        <f t="shared" si="70"/>
        <v>-1.0011717677116394E-7</v>
      </c>
      <c r="Y132" s="256">
        <f t="shared" ref="Y132:Y138" si="77">1.1*AL132</f>
        <v>7.7330000000000005</v>
      </c>
      <c r="Z132" s="272">
        <f>Z124+Y132</f>
        <v>17.622</v>
      </c>
      <c r="AA132" s="229"/>
      <c r="AB132" s="229">
        <v>873308</v>
      </c>
      <c r="AC132" s="229">
        <f t="shared" ref="AC132:AC138" si="78">AB132-T132</f>
        <v>104057.99999985925</v>
      </c>
      <c r="AD132" s="277">
        <f t="shared" si="71"/>
        <v>0.83246399999887399</v>
      </c>
      <c r="AE132" s="241">
        <f t="shared" si="72"/>
        <v>0.11915383805010289</v>
      </c>
      <c r="AF132" s="178" t="s">
        <v>603</v>
      </c>
      <c r="AG132" s="554" t="s">
        <v>1176</v>
      </c>
      <c r="AH132" s="281">
        <f>X131*8/1000000</f>
        <v>-1.578999999999676</v>
      </c>
      <c r="AI132" s="232">
        <f>V131*8/1000000</f>
        <v>2.8066698865419419</v>
      </c>
      <c r="AJ132" s="558" t="s">
        <v>1177</v>
      </c>
      <c r="AK132" s="555" t="s">
        <v>1178</v>
      </c>
      <c r="AL132" s="555">
        <v>7.03</v>
      </c>
      <c r="AM132" s="555">
        <v>7.03</v>
      </c>
      <c r="AN132" s="555">
        <v>7.03</v>
      </c>
    </row>
    <row r="133" spans="1:40" ht="15.75">
      <c r="B133">
        <v>102</v>
      </c>
      <c r="C133">
        <v>101</v>
      </c>
      <c r="E133" t="s">
        <v>766</v>
      </c>
      <c r="F133" t="s">
        <v>764</v>
      </c>
      <c r="G133" t="s">
        <v>765</v>
      </c>
      <c r="L133" s="257" t="str">
        <f t="shared" si="73"/>
        <v>141/18:07</v>
      </c>
      <c r="M133" s="257" t="s">
        <v>1179</v>
      </c>
      <c r="O133" s="564" t="str">
        <f t="shared" si="74"/>
        <v>162/01:06</v>
      </c>
      <c r="P133" s="179" t="s">
        <v>91</v>
      </c>
      <c r="Q133" s="143">
        <f t="shared" si="75"/>
        <v>610156753.68403363</v>
      </c>
      <c r="R133" s="143">
        <f t="shared" si="67"/>
        <v>610410247.21954072</v>
      </c>
      <c r="S133" s="104">
        <f t="shared" si="68"/>
        <v>253493.53550708294</v>
      </c>
      <c r="T133" s="104">
        <f t="shared" si="69"/>
        <v>958375.00000005704</v>
      </c>
      <c r="U133" s="3">
        <v>0</v>
      </c>
      <c r="V133" s="142">
        <f t="shared" si="76"/>
        <v>958375.00000005704</v>
      </c>
      <c r="W133" s="97">
        <f t="shared" ref="W133:W138" si="79">Y133*1000000/8</f>
        <v>958375.00000000012</v>
      </c>
      <c r="X133" s="266">
        <f t="shared" si="70"/>
        <v>-5.6927092373371124E-8</v>
      </c>
      <c r="Y133" s="256">
        <f t="shared" si="77"/>
        <v>7.6670000000000007</v>
      </c>
      <c r="Z133" s="272">
        <f t="shared" ref="Z133:Z138" si="80">Y133+Z132</f>
        <v>25.289000000000001</v>
      </c>
      <c r="AA133" s="229"/>
      <c r="AB133" s="229">
        <v>1092116</v>
      </c>
      <c r="AC133" s="229">
        <f t="shared" si="78"/>
        <v>133740.99999994296</v>
      </c>
      <c r="AD133" s="277">
        <f t="shared" si="71"/>
        <v>1.0699279999995437</v>
      </c>
      <c r="AE133" s="241">
        <f t="shared" si="72"/>
        <v>0.1224604346057955</v>
      </c>
      <c r="AF133" s="178" t="s">
        <v>1180</v>
      </c>
      <c r="AG133" s="554" t="s">
        <v>1181</v>
      </c>
      <c r="AH133" s="232">
        <f>X132*8/1000000</f>
        <v>-8.009374141693115E-13</v>
      </c>
      <c r="AI133" s="232">
        <f>V132*8/1000000</f>
        <v>6.1540000000011261</v>
      </c>
      <c r="AJ133" s="555" t="s">
        <v>1182</v>
      </c>
      <c r="AK133" s="555" t="s">
        <v>1183</v>
      </c>
      <c r="AL133" s="555">
        <v>6.97</v>
      </c>
      <c r="AM133" s="555">
        <v>6.97</v>
      </c>
      <c r="AN133" s="555">
        <v>6.97</v>
      </c>
    </row>
    <row r="134" spans="1:40" ht="15.75">
      <c r="B134">
        <v>102</v>
      </c>
      <c r="C134">
        <v>101</v>
      </c>
      <c r="E134" t="s">
        <v>766</v>
      </c>
      <c r="F134" t="s">
        <v>764</v>
      </c>
      <c r="G134" t="s">
        <v>765</v>
      </c>
      <c r="L134" s="257" t="str">
        <f t="shared" si="73"/>
        <v>144/16:32</v>
      </c>
      <c r="M134" s="257" t="s">
        <v>1184</v>
      </c>
      <c r="O134" s="564" t="str">
        <f t="shared" si="74"/>
        <v>162/17:01</v>
      </c>
      <c r="P134" s="179" t="s">
        <v>1185</v>
      </c>
      <c r="Q134" s="143">
        <f t="shared" si="75"/>
        <v>610410246.21954072</v>
      </c>
      <c r="R134" s="143">
        <f t="shared" si="67"/>
        <v>610650283.13981998</v>
      </c>
      <c r="S134" s="104">
        <f t="shared" si="68"/>
        <v>240036.92027926445</v>
      </c>
      <c r="T134" s="104">
        <f t="shared" si="69"/>
        <v>907499.99999990535</v>
      </c>
      <c r="U134" s="3">
        <v>0</v>
      </c>
      <c r="V134" s="142">
        <f t="shared" si="76"/>
        <v>907499.99999990535</v>
      </c>
      <c r="W134" s="97">
        <f t="shared" si="79"/>
        <v>907500</v>
      </c>
      <c r="X134" s="266">
        <f t="shared" si="70"/>
        <v>9.4645656645298004E-8</v>
      </c>
      <c r="Y134" s="256">
        <f t="shared" si="77"/>
        <v>7.26</v>
      </c>
      <c r="Z134" s="272">
        <f t="shared" si="80"/>
        <v>32.548999999999999</v>
      </c>
      <c r="AA134" s="229"/>
      <c r="AB134" s="229">
        <v>1024638</v>
      </c>
      <c r="AC134" s="229">
        <f t="shared" si="78"/>
        <v>117138.00000009465</v>
      </c>
      <c r="AD134" s="277">
        <f t="shared" si="71"/>
        <v>0.93710400000075722</v>
      </c>
      <c r="AE134" s="241">
        <f t="shared" si="72"/>
        <v>0.1143213505648772</v>
      </c>
      <c r="AF134" s="178" t="s">
        <v>1186</v>
      </c>
      <c r="AG134" s="554" t="s">
        <v>1187</v>
      </c>
      <c r="AH134" s="232">
        <f>X133*8/1000000</f>
        <v>-4.5541673898696896E-13</v>
      </c>
      <c r="AI134" s="232">
        <f>V133*8/1000000</f>
        <v>7.6670000000004563</v>
      </c>
      <c r="AJ134" s="555" t="s">
        <v>1188</v>
      </c>
      <c r="AK134" s="555" t="s">
        <v>1189</v>
      </c>
      <c r="AL134" s="555">
        <v>6.6</v>
      </c>
      <c r="AM134" s="555">
        <v>6.6</v>
      </c>
      <c r="AN134" s="555">
        <v>6.6</v>
      </c>
    </row>
    <row r="135" spans="1:40" ht="15.75">
      <c r="B135">
        <v>102</v>
      </c>
      <c r="C135">
        <v>101</v>
      </c>
      <c r="E135" t="s">
        <v>766</v>
      </c>
      <c r="F135" t="s">
        <v>764</v>
      </c>
      <c r="G135" t="s">
        <v>765</v>
      </c>
      <c r="L135" s="257" t="str">
        <f t="shared" si="73"/>
        <v>147/11:13</v>
      </c>
      <c r="M135" s="257" t="s">
        <v>1190</v>
      </c>
      <c r="O135" s="564" t="str">
        <f t="shared" si="74"/>
        <v>164/00:56</v>
      </c>
      <c r="P135" s="179" t="s">
        <v>1191</v>
      </c>
      <c r="Q135" s="143">
        <f t="shared" si="75"/>
        <v>610650282.13981998</v>
      </c>
      <c r="R135" s="143">
        <f t="shared" si="67"/>
        <v>610784848.29209781</v>
      </c>
      <c r="S135" s="104">
        <f t="shared" si="68"/>
        <v>134566.15227782726</v>
      </c>
      <c r="T135" s="104">
        <f t="shared" si="69"/>
        <v>508750.00000016543</v>
      </c>
      <c r="U135" s="3">
        <v>0</v>
      </c>
      <c r="V135" s="142">
        <f t="shared" si="76"/>
        <v>508750.00000016543</v>
      </c>
      <c r="W135" s="97">
        <f t="shared" si="79"/>
        <v>508750.00000000006</v>
      </c>
      <c r="X135" s="266">
        <f t="shared" si="70"/>
        <v>-1.653679646551609E-7</v>
      </c>
      <c r="Y135" s="256">
        <f t="shared" si="77"/>
        <v>4.07</v>
      </c>
      <c r="Z135" s="272">
        <f t="shared" si="80"/>
        <v>36.619</v>
      </c>
      <c r="AA135" s="229"/>
      <c r="AB135" s="229">
        <v>574838</v>
      </c>
      <c r="AC135" s="229">
        <f t="shared" si="78"/>
        <v>66087.999999834574</v>
      </c>
      <c r="AD135" s="277">
        <f t="shared" si="71"/>
        <v>0.52870399999867657</v>
      </c>
      <c r="AE135" s="241">
        <f t="shared" si="72"/>
        <v>0.11496804317013588</v>
      </c>
      <c r="AF135" s="178" t="s">
        <v>1192</v>
      </c>
      <c r="AG135" s="554" t="s">
        <v>1193</v>
      </c>
      <c r="AH135" s="232">
        <f>X134*8/1000000</f>
        <v>7.5716525316238406E-13</v>
      </c>
      <c r="AI135" s="232">
        <f>V134*8/1000000</f>
        <v>7.2599999999992431</v>
      </c>
      <c r="AJ135" s="555" t="s">
        <v>1194</v>
      </c>
      <c r="AK135" s="555" t="s">
        <v>1195</v>
      </c>
      <c r="AL135" s="555">
        <v>3.7</v>
      </c>
      <c r="AM135" s="555">
        <v>3.7</v>
      </c>
      <c r="AN135" s="555">
        <v>3.7</v>
      </c>
    </row>
    <row r="136" spans="1:40" ht="15.75">
      <c r="B136">
        <v>102</v>
      </c>
      <c r="C136">
        <v>101</v>
      </c>
      <c r="E136" t="s">
        <v>766</v>
      </c>
      <c r="F136" t="s">
        <v>764</v>
      </c>
      <c r="G136" t="s">
        <v>765</v>
      </c>
      <c r="L136" s="257" t="str">
        <f t="shared" si="73"/>
        <v>149/00:35</v>
      </c>
      <c r="M136" s="257" t="s">
        <v>1196</v>
      </c>
      <c r="O136" s="564" t="str">
        <f t="shared" si="74"/>
        <v>166/15:41</v>
      </c>
      <c r="P136" s="179" t="s">
        <v>1197</v>
      </c>
      <c r="Q136" s="143">
        <f t="shared" si="75"/>
        <v>610784847.29209781</v>
      </c>
      <c r="R136" s="143">
        <f t="shared" si="67"/>
        <v>611216550.05629706</v>
      </c>
      <c r="S136" s="104">
        <f t="shared" si="68"/>
        <v>431702.7641992569</v>
      </c>
      <c r="T136" s="104">
        <f t="shared" si="69"/>
        <v>1632124.9999999595</v>
      </c>
      <c r="U136" s="3">
        <v>0</v>
      </c>
      <c r="V136" s="142">
        <f t="shared" si="76"/>
        <v>1632124.9999999595</v>
      </c>
      <c r="W136" s="97">
        <f t="shared" si="79"/>
        <v>1632125</v>
      </c>
      <c r="X136" s="266">
        <f t="shared" si="70"/>
        <v>4.0512531995773315E-8</v>
      </c>
      <c r="Y136" s="282">
        <f t="shared" si="77"/>
        <v>13.057</v>
      </c>
      <c r="Z136" s="272">
        <f t="shared" si="80"/>
        <v>49.676000000000002</v>
      </c>
      <c r="AA136" s="229"/>
      <c r="AB136" s="229">
        <v>1838628</v>
      </c>
      <c r="AC136" s="229">
        <f t="shared" si="78"/>
        <v>206503.00000004051</v>
      </c>
      <c r="AD136" s="277">
        <f t="shared" si="71"/>
        <v>1.6520240000003241</v>
      </c>
      <c r="AE136" s="241">
        <f t="shared" si="72"/>
        <v>0.11231363821286335</v>
      </c>
      <c r="AF136" s="178" t="s">
        <v>1198</v>
      </c>
      <c r="AG136" s="554" t="s">
        <v>1199</v>
      </c>
      <c r="AH136" s="232">
        <f>X136*8/1000000</f>
        <v>3.2410025596618653E-13</v>
      </c>
      <c r="AI136" s="232">
        <f>V136*8/1000000</f>
        <v>13.056999999999675</v>
      </c>
      <c r="AJ136" s="555" t="s">
        <v>1200</v>
      </c>
      <c r="AK136" s="555" t="s">
        <v>1201</v>
      </c>
      <c r="AL136" s="555">
        <v>11.87</v>
      </c>
      <c r="AM136" s="555">
        <v>11.87</v>
      </c>
      <c r="AN136" s="555">
        <v>11.87</v>
      </c>
    </row>
    <row r="137" spans="1:40" ht="15.75">
      <c r="B137">
        <v>102</v>
      </c>
      <c r="C137">
        <v>101</v>
      </c>
      <c r="E137" t="s">
        <v>766</v>
      </c>
      <c r="F137" t="s">
        <v>764</v>
      </c>
      <c r="G137" t="s">
        <v>765</v>
      </c>
      <c r="L137" s="257" t="str">
        <f t="shared" si="73"/>
        <v>154/00:30</v>
      </c>
      <c r="M137" s="257" t="s">
        <v>1202</v>
      </c>
      <c r="O137" s="564" t="str">
        <f t="shared" si="74"/>
        <v>167/15:51</v>
      </c>
      <c r="P137" s="179" t="s">
        <v>101</v>
      </c>
      <c r="Q137" s="143">
        <f t="shared" si="75"/>
        <v>611216549.05629706</v>
      </c>
      <c r="R137" s="143">
        <f t="shared" si="67"/>
        <v>611398758.90032721</v>
      </c>
      <c r="S137" s="104">
        <f t="shared" si="68"/>
        <v>182209.84403014183</v>
      </c>
      <c r="T137" s="104">
        <f t="shared" si="69"/>
        <v>688874.99999982573</v>
      </c>
      <c r="U137" s="3">
        <v>0</v>
      </c>
      <c r="V137" s="142">
        <f t="shared" si="76"/>
        <v>688874.99999982573</v>
      </c>
      <c r="W137" s="97">
        <f t="shared" si="79"/>
        <v>688875</v>
      </c>
      <c r="X137" s="266">
        <f t="shared" si="70"/>
        <v>1.7427373677492142E-7</v>
      </c>
      <c r="Y137" s="282">
        <f t="shared" si="77"/>
        <v>5.5110000000000001</v>
      </c>
      <c r="Z137" s="272">
        <f t="shared" si="80"/>
        <v>55.187000000000005</v>
      </c>
      <c r="AA137" s="229"/>
      <c r="AB137" s="229">
        <v>770314</v>
      </c>
      <c r="AC137" s="229">
        <f t="shared" si="78"/>
        <v>81439.000000174274</v>
      </c>
      <c r="AD137" s="277">
        <f t="shared" si="71"/>
        <v>0.6515120000013942</v>
      </c>
      <c r="AE137" s="241">
        <f t="shared" si="72"/>
        <v>0.10572182252974018</v>
      </c>
      <c r="AF137" s="178" t="s">
        <v>1203</v>
      </c>
      <c r="AG137" s="554" t="s">
        <v>1204</v>
      </c>
      <c r="AH137" s="232">
        <f>X137*8/1000000</f>
        <v>1.3941898941993714E-12</v>
      </c>
      <c r="AI137" s="232">
        <f>V137*8/1000000</f>
        <v>5.5109999999986057</v>
      </c>
      <c r="AJ137" s="555" t="s">
        <v>1205</v>
      </c>
      <c r="AK137" s="555" t="s">
        <v>1206</v>
      </c>
      <c r="AL137" s="555">
        <v>5.01</v>
      </c>
      <c r="AM137" s="555">
        <v>5.01</v>
      </c>
      <c r="AN137" s="555">
        <v>5.01</v>
      </c>
    </row>
    <row r="138" spans="1:40" ht="15.75">
      <c r="B138">
        <v>102</v>
      </c>
      <c r="C138">
        <v>101</v>
      </c>
      <c r="E138" t="s">
        <v>766</v>
      </c>
      <c r="F138" t="s">
        <v>764</v>
      </c>
      <c r="G138" t="s">
        <v>765</v>
      </c>
      <c r="L138" s="257" t="str">
        <f t="shared" si="73"/>
        <v>156/03:07</v>
      </c>
      <c r="M138" s="257" t="s">
        <v>1207</v>
      </c>
      <c r="O138" s="564" t="str">
        <f t="shared" si="74"/>
        <v>168/15:51</v>
      </c>
      <c r="P138" s="179" t="s">
        <v>1208</v>
      </c>
      <c r="Q138" s="143">
        <f t="shared" si="75"/>
        <v>611398757.90032721</v>
      </c>
      <c r="R138" s="143">
        <f t="shared" si="67"/>
        <v>611652251.43583429</v>
      </c>
      <c r="S138" s="104">
        <f t="shared" si="68"/>
        <v>253493.53550708294</v>
      </c>
      <c r="T138" s="104">
        <f t="shared" si="69"/>
        <v>958375.00000005704</v>
      </c>
      <c r="U138" s="3">
        <v>0</v>
      </c>
      <c r="V138" s="142">
        <f t="shared" si="76"/>
        <v>958375.00000005704</v>
      </c>
      <c r="W138" s="97">
        <f t="shared" si="79"/>
        <v>958375.00000000012</v>
      </c>
      <c r="X138" s="266">
        <f t="shared" si="70"/>
        <v>-5.6927092373371124E-8</v>
      </c>
      <c r="Y138" s="282">
        <f t="shared" si="77"/>
        <v>7.6670000000000007</v>
      </c>
      <c r="Z138" s="272">
        <f t="shared" si="80"/>
        <v>62.854000000000006</v>
      </c>
      <c r="AA138" s="229"/>
      <c r="AB138" s="229">
        <v>958375</v>
      </c>
      <c r="AC138" s="229">
        <f t="shared" si="78"/>
        <v>-5.7043507695198059E-8</v>
      </c>
      <c r="AD138" s="277">
        <f t="shared" si="71"/>
        <v>-4.5634806156158446E-13</v>
      </c>
      <c r="AE138" s="241"/>
      <c r="AF138" s="178" t="s">
        <v>1209</v>
      </c>
      <c r="AG138" s="554" t="s">
        <v>1210</v>
      </c>
      <c r="AH138" s="232">
        <f>X138*8/1000000</f>
        <v>-4.5541673898696896E-13</v>
      </c>
      <c r="AI138" s="232">
        <f>V138*8/1000000</f>
        <v>7.6670000000004563</v>
      </c>
      <c r="AJ138" s="555" t="s">
        <v>1211</v>
      </c>
      <c r="AK138" s="555" t="s">
        <v>1212</v>
      </c>
      <c r="AL138" s="555">
        <v>6.97</v>
      </c>
      <c r="AM138" s="555">
        <v>6.97</v>
      </c>
      <c r="AN138" s="555">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554"/>
      <c r="AH139" s="232"/>
      <c r="AI139" s="232"/>
      <c r="AJ139" s="555"/>
      <c r="AK139" s="555"/>
      <c r="AL139" s="555">
        <v>4.93</v>
      </c>
      <c r="AM139" s="555">
        <v>4.93</v>
      </c>
      <c r="AN139" s="555">
        <v>4.93</v>
      </c>
    </row>
    <row r="140" spans="1:40" ht="15.75">
      <c r="B140">
        <v>102</v>
      </c>
      <c r="C140">
        <v>101</v>
      </c>
      <c r="E140" t="s">
        <v>766</v>
      </c>
      <c r="F140" t="s">
        <v>764</v>
      </c>
      <c r="G140" t="s">
        <v>765</v>
      </c>
      <c r="L140" s="257" t="str">
        <f>M138</f>
        <v>159/01:32</v>
      </c>
      <c r="M140" s="287" t="s">
        <v>1218</v>
      </c>
      <c r="N140" t="s">
        <v>167</v>
      </c>
      <c r="O140" s="564" t="str">
        <f>AG140</f>
        <v>169/01:21</v>
      </c>
      <c r="P140" s="179" t="s">
        <v>104</v>
      </c>
      <c r="Q140" s="143">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554" t="s">
        <v>1219</v>
      </c>
      <c r="AH140" s="232">
        <f>X140*8/1000000</f>
        <v>2.646732269737162</v>
      </c>
      <c r="AI140" s="232">
        <f>V140*8/1000000</f>
        <v>2.776267730262838</v>
      </c>
      <c r="AJ140" s="555" t="s">
        <v>1220</v>
      </c>
      <c r="AK140" s="555" t="s">
        <v>1221</v>
      </c>
      <c r="AL140" s="555">
        <v>4.93</v>
      </c>
      <c r="AM140" s="555">
        <v>4.93</v>
      </c>
      <c r="AN140" s="555">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554"/>
      <c r="AH141" s="232"/>
      <c r="AI141" s="232"/>
      <c r="AJ141" s="555"/>
      <c r="AK141" s="555"/>
      <c r="AL141" s="555"/>
      <c r="AM141" s="555"/>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12">
        <f>R141-20</f>
        <v>611744556</v>
      </c>
      <c r="R142" s="143">
        <f>((W142-U142*$V$33)/$V$12)+Q142</f>
        <v>611851610.92407358</v>
      </c>
      <c r="S142" s="104">
        <f t="shared" ref="S142:S152" si="81">R142-Q142</f>
        <v>107054.92407357693</v>
      </c>
      <c r="T142" s="104">
        <f>S142*$V$12</f>
        <v>330841.53371706873</v>
      </c>
      <c r="U142" s="3">
        <v>0</v>
      </c>
      <c r="V142" s="142">
        <f t="shared" ref="V142:V152" si="82">T142+U142*$V$33</f>
        <v>330841.53371706873</v>
      </c>
      <c r="W142" s="97">
        <f>X140</f>
        <v>330841.53371714527</v>
      </c>
      <c r="X142" s="266">
        <f t="shared" ref="X142:X152" si="83">W142-V142</f>
        <v>7.6543074101209641E-8</v>
      </c>
      <c r="Y142" s="282"/>
      <c r="Z142" s="289"/>
      <c r="AA142" s="229"/>
      <c r="AB142" s="229"/>
      <c r="AC142" s="229">
        <f t="shared" ref="AC142:AC152" si="84">AB142-T142</f>
        <v>-330841.53371706873</v>
      </c>
      <c r="AD142" s="277">
        <f t="shared" ref="AD142:AD152" si="85">AC142*8/1000000</f>
        <v>-2.6467322697365496</v>
      </c>
      <c r="AE142" s="277"/>
      <c r="AF142" s="178"/>
      <c r="AG142" s="554"/>
      <c r="AH142" s="232">
        <f t="shared" ref="AH142:AH152" si="86">X142*8/1000000</f>
        <v>6.1234459280967711E-13</v>
      </c>
      <c r="AI142" s="232">
        <f t="shared" ref="AI142:AI152" si="87">V142*8/1000000</f>
        <v>2.6467322697365496</v>
      </c>
      <c r="AJ142" s="555"/>
      <c r="AK142" s="555"/>
      <c r="AL142" s="555"/>
      <c r="AM142" s="555"/>
    </row>
    <row r="143" spans="1:40" ht="15.75">
      <c r="B143">
        <v>102</v>
      </c>
      <c r="C143">
        <v>103</v>
      </c>
      <c r="D143">
        <v>110</v>
      </c>
      <c r="E143" t="s">
        <v>766</v>
      </c>
      <c r="F143" t="s">
        <v>764</v>
      </c>
      <c r="G143" t="s">
        <v>765</v>
      </c>
      <c r="L143" s="257" t="str">
        <f>M142</f>
        <v>161/08:55</v>
      </c>
      <c r="M143" s="257" t="s">
        <v>1225</v>
      </c>
      <c r="O143" s="564" t="str">
        <f>AG143</f>
        <v>169/22:11</v>
      </c>
      <c r="P143" s="179" t="s">
        <v>1226</v>
      </c>
      <c r="Q143" s="143">
        <f>R142-1</f>
        <v>611851609.92407358</v>
      </c>
      <c r="R143" s="143">
        <f>((W143-U143*$V$33)/$V$12)+Q143</f>
        <v>612349038.95054173</v>
      </c>
      <c r="S143" s="104">
        <f t="shared" si="81"/>
        <v>497429.02646815777</v>
      </c>
      <c r="T143" s="104">
        <f>S143*$V$12</f>
        <v>1537250.0000000705</v>
      </c>
      <c r="U143" s="3">
        <v>0</v>
      </c>
      <c r="V143" s="142">
        <f t="shared" si="82"/>
        <v>1537250.0000000705</v>
      </c>
      <c r="W143" s="97">
        <f>Y143*1000000/8</f>
        <v>1537250</v>
      </c>
      <c r="X143" s="266">
        <f t="shared" si="83"/>
        <v>-7.0547685027122498E-8</v>
      </c>
      <c r="Y143" s="282">
        <f>1.1*AL143</f>
        <v>12.298</v>
      </c>
      <c r="Z143" s="288">
        <f>Z140+Y143</f>
        <v>80.575000000000003</v>
      </c>
      <c r="AA143" s="229"/>
      <c r="AB143" s="229"/>
      <c r="AC143" s="229">
        <f t="shared" si="84"/>
        <v>-1537250.0000000705</v>
      </c>
      <c r="AD143" s="277">
        <f t="shared" si="85"/>
        <v>-12.298000000000565</v>
      </c>
      <c r="AE143" s="277"/>
      <c r="AF143" s="178" t="s">
        <v>1227</v>
      </c>
      <c r="AG143" s="554" t="s">
        <v>1228</v>
      </c>
      <c r="AH143" s="232">
        <f t="shared" si="86"/>
        <v>-5.6438148021697997E-13</v>
      </c>
      <c r="AI143" s="232">
        <f t="shared" si="87"/>
        <v>12.298000000000565</v>
      </c>
      <c r="AJ143" s="555" t="s">
        <v>1229</v>
      </c>
      <c r="AK143" s="555" t="s">
        <v>1230</v>
      </c>
      <c r="AL143" s="555">
        <v>11.18</v>
      </c>
      <c r="AM143" s="555">
        <v>11.18</v>
      </c>
      <c r="AN143" s="555">
        <v>11.18</v>
      </c>
    </row>
    <row r="144" spans="1:40" ht="15.75">
      <c r="B144">
        <v>102</v>
      </c>
      <c r="C144">
        <v>103</v>
      </c>
      <c r="D144">
        <v>110</v>
      </c>
      <c r="E144" t="s">
        <v>766</v>
      </c>
      <c r="F144" t="s">
        <v>764</v>
      </c>
      <c r="G144" t="s">
        <v>765</v>
      </c>
      <c r="L144" s="257" t="str">
        <f>M143</f>
        <v>167/03:05</v>
      </c>
      <c r="M144" s="257" t="s">
        <v>1231</v>
      </c>
      <c r="O144" s="564" t="str">
        <f>AG144</f>
        <v>170/16:06</v>
      </c>
      <c r="P144" s="179" t="s">
        <v>1232</v>
      </c>
      <c r="Q144" s="143">
        <f>R143-1</f>
        <v>612349037.95054173</v>
      </c>
      <c r="R144" s="212">
        <v>612647515</v>
      </c>
      <c r="S144" s="104">
        <f t="shared" si="81"/>
        <v>298477.0494582653</v>
      </c>
      <c r="T144" s="104">
        <f>S144*$V$12</f>
        <v>922410.67542348371</v>
      </c>
      <c r="U144" s="3">
        <v>0</v>
      </c>
      <c r="V144" s="142">
        <f t="shared" si="82"/>
        <v>922410.67542348371</v>
      </c>
      <c r="W144" s="97">
        <f>Y144*1000000/8</f>
        <v>2965875.0000000005</v>
      </c>
      <c r="X144" s="266">
        <f t="shared" si="83"/>
        <v>2043464.3245765166</v>
      </c>
      <c r="Y144" s="282">
        <f>1.1*AL144</f>
        <v>23.727000000000004</v>
      </c>
      <c r="Z144" s="288">
        <f>Z143+AA144</f>
        <v>87.954285403387871</v>
      </c>
      <c r="AA144" s="229">
        <f>AI144</f>
        <v>7.3792854033878701</v>
      </c>
      <c r="AB144" s="229"/>
      <c r="AC144" s="229">
        <f t="shared" si="84"/>
        <v>-922410.67542348371</v>
      </c>
      <c r="AD144" s="277">
        <f t="shared" si="85"/>
        <v>-7.3792854033878701</v>
      </c>
      <c r="AE144" s="277"/>
      <c r="AF144" t="s">
        <v>1233</v>
      </c>
      <c r="AG144" s="554" t="s">
        <v>1234</v>
      </c>
      <c r="AH144" s="232">
        <f t="shared" si="86"/>
        <v>16.347714596612132</v>
      </c>
      <c r="AI144" s="232">
        <f t="shared" si="87"/>
        <v>7.3792854033878701</v>
      </c>
      <c r="AJ144" s="555" t="s">
        <v>1235</v>
      </c>
      <c r="AK144" s="555" t="s">
        <v>1236</v>
      </c>
      <c r="AL144" s="555">
        <v>21.57</v>
      </c>
      <c r="AM144" s="555">
        <v>21.57</v>
      </c>
      <c r="AN144" s="555"/>
    </row>
    <row r="145" spans="1:57" ht="15.75">
      <c r="L145" s="226" t="s">
        <v>1109</v>
      </c>
      <c r="M145" s="226" t="s">
        <v>1237</v>
      </c>
      <c r="O145" s="554"/>
      <c r="P145" s="179" t="s">
        <v>1232</v>
      </c>
      <c r="Q145" s="104">
        <f>R102-3</f>
        <v>592432559.87599802</v>
      </c>
      <c r="R145" s="104">
        <f t="shared" ref="R145:R151" si="88">((W145)/$X$9)+Q145</f>
        <v>592985455.41489768</v>
      </c>
      <c r="S145" s="104">
        <f t="shared" si="81"/>
        <v>552895.53889966011</v>
      </c>
      <c r="T145" s="104">
        <f t="shared" ref="T145:T151" si="89">S145*$X$9</f>
        <v>2043464.3245764237</v>
      </c>
      <c r="U145" s="3">
        <v>0</v>
      </c>
      <c r="V145" s="97">
        <f t="shared" si="82"/>
        <v>2043464.3245764237</v>
      </c>
      <c r="W145" s="97">
        <f>X144</f>
        <v>2043464.3245765166</v>
      </c>
      <c r="X145" s="266">
        <f t="shared" si="83"/>
        <v>9.2899426817893982E-8</v>
      </c>
      <c r="Z145" s="290">
        <f>W145*8/1000000</f>
        <v>16.347714596612132</v>
      </c>
      <c r="AA145" s="290"/>
      <c r="AB145" s="229"/>
      <c r="AC145" s="229">
        <f t="shared" si="84"/>
        <v>-2043464.3245764237</v>
      </c>
      <c r="AD145" s="277">
        <f t="shared" si="85"/>
        <v>-16.347714596611389</v>
      </c>
      <c r="AE145" s="277"/>
      <c r="AH145" s="232">
        <f t="shared" si="86"/>
        <v>7.4319541454315185E-13</v>
      </c>
      <c r="AI145" s="232">
        <f t="shared" si="87"/>
        <v>16.347714596611389</v>
      </c>
    </row>
    <row r="146" spans="1:57" ht="15.75">
      <c r="L146" s="226" t="str">
        <f t="shared" ref="L146:L151" si="90">M145</f>
        <v>309/00:19</v>
      </c>
      <c r="M146" s="226" t="s">
        <v>1238</v>
      </c>
      <c r="O146" s="564" t="str">
        <f t="shared" ref="O146:O152" si="91">AG146</f>
        <v>173/15:36</v>
      </c>
      <c r="P146" s="179" t="s">
        <v>1239</v>
      </c>
      <c r="Q146" s="104">
        <f t="shared" ref="Q146:Q151" si="92">R145-3</f>
        <v>592985452.41489768</v>
      </c>
      <c r="R146" s="104">
        <f t="shared" si="88"/>
        <v>593579957.39755702</v>
      </c>
      <c r="S146" s="104">
        <f t="shared" si="81"/>
        <v>594504.9826593399</v>
      </c>
      <c r="T146" s="104">
        <f t="shared" si="89"/>
        <v>2197250.0000000154</v>
      </c>
      <c r="U146" s="3">
        <v>0</v>
      </c>
      <c r="V146" s="97">
        <f t="shared" si="82"/>
        <v>2197250.0000000154</v>
      </c>
      <c r="W146" s="97">
        <f t="shared" ref="W146:W152" si="93">Y146*1000000/8</f>
        <v>2197250.0000000005</v>
      </c>
      <c r="X146" s="266">
        <f t="shared" si="83"/>
        <v>-1.4901161193847656E-8</v>
      </c>
      <c r="Y146" s="282">
        <f t="shared" ref="Y146:Y151" si="94">1.1*AL146</f>
        <v>17.578000000000003</v>
      </c>
      <c r="Z146" s="290">
        <f>Z145+Y146</f>
        <v>33.925714596612139</v>
      </c>
      <c r="AA146" s="229"/>
      <c r="AB146" s="229"/>
      <c r="AC146" s="229">
        <f t="shared" si="84"/>
        <v>-2197250.0000000154</v>
      </c>
      <c r="AD146" s="277">
        <f t="shared" si="85"/>
        <v>-17.578000000000124</v>
      </c>
      <c r="AE146" s="277"/>
      <c r="AF146" s="178" t="s">
        <v>1240</v>
      </c>
      <c r="AG146" s="554" t="s">
        <v>1241</v>
      </c>
      <c r="AH146" s="232">
        <f t="shared" si="86"/>
        <v>-1.1920928955078124E-13</v>
      </c>
      <c r="AI146" s="232">
        <f t="shared" si="87"/>
        <v>17.578000000000124</v>
      </c>
      <c r="AJ146" s="555" t="s">
        <v>1242</v>
      </c>
      <c r="AK146" s="555" t="s">
        <v>1243</v>
      </c>
      <c r="AL146" s="555">
        <v>15.98</v>
      </c>
      <c r="AM146" s="555">
        <v>15.98</v>
      </c>
      <c r="AN146" s="555">
        <v>15.98</v>
      </c>
    </row>
    <row r="147" spans="1:57" ht="15.75">
      <c r="L147" s="226" t="str">
        <f t="shared" si="90"/>
        <v>315/21:27</v>
      </c>
      <c r="M147" s="226" t="s">
        <v>1244</v>
      </c>
      <c r="O147" s="564" t="str">
        <f t="shared" si="91"/>
        <v>174/15:46</v>
      </c>
      <c r="P147" s="179" t="s">
        <v>1245</v>
      </c>
      <c r="Q147" s="104">
        <f t="shared" si="92"/>
        <v>593579954.39755702</v>
      </c>
      <c r="R147" s="104">
        <f t="shared" si="88"/>
        <v>593841863.97690129</v>
      </c>
      <c r="S147" s="104">
        <f t="shared" si="81"/>
        <v>261909.57934427261</v>
      </c>
      <c r="T147" s="104">
        <f t="shared" si="89"/>
        <v>967999.99999994272</v>
      </c>
      <c r="U147" s="3">
        <v>0</v>
      </c>
      <c r="V147" s="97">
        <f t="shared" si="82"/>
        <v>967999.99999994272</v>
      </c>
      <c r="W147" s="97">
        <f t="shared" si="93"/>
        <v>968000.00000000012</v>
      </c>
      <c r="X147" s="266">
        <f t="shared" si="83"/>
        <v>5.7392753660678864E-8</v>
      </c>
      <c r="Y147" s="282">
        <f t="shared" si="94"/>
        <v>7.7440000000000007</v>
      </c>
      <c r="Z147" s="290">
        <f>Z146+Y147</f>
        <v>41.669714596612138</v>
      </c>
      <c r="AA147" s="229"/>
      <c r="AB147" s="229"/>
      <c r="AC147" s="229">
        <f t="shared" si="84"/>
        <v>-967999.99999994272</v>
      </c>
      <c r="AD147" s="277">
        <f t="shared" si="85"/>
        <v>-7.7439999999995415</v>
      </c>
      <c r="AE147" s="277"/>
      <c r="AF147" s="178" t="s">
        <v>1246</v>
      </c>
      <c r="AG147" s="554" t="s">
        <v>1247</v>
      </c>
      <c r="AH147" s="232">
        <f t="shared" si="86"/>
        <v>4.5914202928543086E-13</v>
      </c>
      <c r="AI147" s="232">
        <f t="shared" si="87"/>
        <v>7.7439999999995415</v>
      </c>
      <c r="AJ147" s="555" t="s">
        <v>1248</v>
      </c>
      <c r="AK147" s="555" t="s">
        <v>1249</v>
      </c>
      <c r="AL147" s="555">
        <v>7.04</v>
      </c>
      <c r="AM147" s="555">
        <v>7.04</v>
      </c>
      <c r="AN147" s="555">
        <v>7.04</v>
      </c>
    </row>
    <row r="148" spans="1:57" ht="15.75">
      <c r="A148" s="17"/>
      <c r="B148" s="17"/>
      <c r="C148" s="17"/>
      <c r="D148" s="17"/>
      <c r="E148" s="17"/>
      <c r="F148" s="17"/>
      <c r="G148" s="17"/>
      <c r="H148" s="17"/>
      <c r="I148" s="17"/>
      <c r="J148" s="17"/>
      <c r="K148" s="17"/>
      <c r="L148" s="226" t="str">
        <f t="shared" si="90"/>
        <v>318/22:12</v>
      </c>
      <c r="M148" s="226" t="s">
        <v>1250</v>
      </c>
      <c r="O148" s="564" t="str">
        <f t="shared" si="91"/>
        <v>175/23:26</v>
      </c>
      <c r="P148" s="179" t="s">
        <v>1251</v>
      </c>
      <c r="Q148" s="104">
        <f t="shared" si="92"/>
        <v>593841860.97690129</v>
      </c>
      <c r="R148" s="104">
        <f t="shared" si="88"/>
        <v>594108978.98538029</v>
      </c>
      <c r="S148" s="104">
        <f t="shared" si="81"/>
        <v>267118.00847899914</v>
      </c>
      <c r="T148" s="104">
        <f t="shared" si="89"/>
        <v>987250.00000008673</v>
      </c>
      <c r="U148" s="3">
        <v>0</v>
      </c>
      <c r="V148" s="97">
        <f t="shared" si="82"/>
        <v>987250.00000008673</v>
      </c>
      <c r="W148" s="97">
        <f t="shared" si="93"/>
        <v>987250.00000000012</v>
      </c>
      <c r="X148" s="266">
        <f t="shared" si="83"/>
        <v>-8.6612999439239502E-8</v>
      </c>
      <c r="Y148" s="282">
        <f t="shared" si="94"/>
        <v>7.8980000000000006</v>
      </c>
      <c r="Z148" s="290">
        <f>Z147+Y148</f>
        <v>49.567714596612142</v>
      </c>
      <c r="AA148" s="229"/>
      <c r="AB148" s="229"/>
      <c r="AC148" s="229">
        <f t="shared" si="84"/>
        <v>-987250.00000008673</v>
      </c>
      <c r="AD148" s="277">
        <f t="shared" si="85"/>
        <v>-7.8980000000006942</v>
      </c>
      <c r="AE148" s="277"/>
      <c r="AF148" s="178" t="s">
        <v>1252</v>
      </c>
      <c r="AG148" s="554" t="s">
        <v>1253</v>
      </c>
      <c r="AH148" s="232">
        <f t="shared" si="86"/>
        <v>-6.92903995513916E-13</v>
      </c>
      <c r="AI148" s="232">
        <f t="shared" si="87"/>
        <v>7.8980000000006942</v>
      </c>
      <c r="AJ148" s="555" t="s">
        <v>1254</v>
      </c>
      <c r="AK148" s="555" t="s">
        <v>1255</v>
      </c>
      <c r="AL148" s="555">
        <v>7.18</v>
      </c>
      <c r="AM148" s="555">
        <v>7.18</v>
      </c>
      <c r="AN148" s="555">
        <v>7.18</v>
      </c>
    </row>
    <row r="149" spans="1:57" ht="15.75">
      <c r="L149" s="226" t="str">
        <f t="shared" si="90"/>
        <v>322/00:24</v>
      </c>
      <c r="M149" s="226" t="s">
        <v>1256</v>
      </c>
      <c r="O149" s="564" t="str">
        <f t="shared" si="91"/>
        <v>177/00:06</v>
      </c>
      <c r="P149" s="179" t="s">
        <v>1257</v>
      </c>
      <c r="Q149" s="104">
        <f t="shared" si="92"/>
        <v>594108975.98538029</v>
      </c>
      <c r="R149" s="104">
        <f t="shared" si="88"/>
        <v>594325497.82512236</v>
      </c>
      <c r="S149" s="104">
        <f t="shared" si="81"/>
        <v>216521.83974206448</v>
      </c>
      <c r="T149" s="104">
        <f t="shared" si="89"/>
        <v>800250.00000019802</v>
      </c>
      <c r="U149" s="3">
        <v>0</v>
      </c>
      <c r="V149" s="97">
        <f t="shared" si="82"/>
        <v>800250.00000019802</v>
      </c>
      <c r="W149" s="97">
        <f t="shared" si="93"/>
        <v>800250.00000000012</v>
      </c>
      <c r="X149" s="266">
        <f t="shared" si="83"/>
        <v>-1.9790604710578918E-7</v>
      </c>
      <c r="Y149" s="282">
        <f t="shared" si="94"/>
        <v>6.402000000000001</v>
      </c>
      <c r="Z149" s="290">
        <f>Z148+Y149</f>
        <v>55.969714596612143</v>
      </c>
      <c r="AA149" s="229"/>
      <c r="AB149" s="229"/>
      <c r="AC149" s="229">
        <f t="shared" si="84"/>
        <v>-800250.00000019802</v>
      </c>
      <c r="AD149" s="277">
        <f t="shared" si="85"/>
        <v>-6.4020000000015838</v>
      </c>
      <c r="AE149" s="277"/>
      <c r="AF149" s="178" t="s">
        <v>1258</v>
      </c>
      <c r="AG149" s="554" t="s">
        <v>1259</v>
      </c>
      <c r="AH149" s="232">
        <f t="shared" si="86"/>
        <v>-1.5832483768463134E-12</v>
      </c>
      <c r="AI149" s="232">
        <f t="shared" si="87"/>
        <v>6.4020000000015838</v>
      </c>
      <c r="AJ149" s="555" t="s">
        <v>1260</v>
      </c>
      <c r="AK149" s="555" t="s">
        <v>1261</v>
      </c>
      <c r="AL149" s="555">
        <v>5.82</v>
      </c>
      <c r="AM149" s="555">
        <v>5.82</v>
      </c>
      <c r="AN149" s="555">
        <v>5.82</v>
      </c>
    </row>
    <row r="150" spans="1:57" ht="15.75">
      <c r="L150" s="226" t="str">
        <f t="shared" si="90"/>
        <v>324/12:33</v>
      </c>
      <c r="M150" s="226" t="s">
        <v>1262</v>
      </c>
      <c r="O150" s="564" t="str">
        <f t="shared" si="91"/>
        <v>177/17:16</v>
      </c>
      <c r="P150" s="179" t="s">
        <v>1263</v>
      </c>
      <c r="Q150" s="104">
        <f t="shared" si="92"/>
        <v>594325494.82512236</v>
      </c>
      <c r="R150" s="104">
        <f t="shared" si="88"/>
        <v>594930416.66605103</v>
      </c>
      <c r="S150" s="104">
        <f t="shared" si="81"/>
        <v>604921.84092867374</v>
      </c>
      <c r="T150" s="104">
        <f t="shared" si="89"/>
        <v>2235749.9999998626</v>
      </c>
      <c r="U150" s="3">
        <v>0</v>
      </c>
      <c r="V150" s="97">
        <f t="shared" si="82"/>
        <v>2235749.9999998626</v>
      </c>
      <c r="W150" s="97">
        <f t="shared" si="93"/>
        <v>2235750.0000000005</v>
      </c>
      <c r="X150" s="266">
        <f t="shared" si="83"/>
        <v>1.3783574104309082E-7</v>
      </c>
      <c r="Y150" s="282">
        <f t="shared" si="94"/>
        <v>17.886000000000003</v>
      </c>
      <c r="Z150" s="290">
        <f>Y150+Z149</f>
        <v>73.855714596612145</v>
      </c>
      <c r="AA150" s="290"/>
      <c r="AB150" s="229"/>
      <c r="AC150" s="229">
        <f t="shared" si="84"/>
        <v>-2235749.9999998626</v>
      </c>
      <c r="AD150" s="277">
        <f t="shared" si="85"/>
        <v>-17.885999999998901</v>
      </c>
      <c r="AE150" s="277"/>
      <c r="AF150" s="178" t="s">
        <v>1264</v>
      </c>
      <c r="AG150" s="554" t="s">
        <v>1265</v>
      </c>
      <c r="AH150" s="232">
        <f t="shared" si="86"/>
        <v>1.1026859283447265E-12</v>
      </c>
      <c r="AI150" s="232">
        <f t="shared" si="87"/>
        <v>17.885999999998901</v>
      </c>
      <c r="AJ150" s="555" t="s">
        <v>1266</v>
      </c>
      <c r="AK150" s="555" t="s">
        <v>1267</v>
      </c>
      <c r="AL150" s="555">
        <v>16.260000000000002</v>
      </c>
      <c r="AM150" s="555">
        <v>16.260000000000002</v>
      </c>
      <c r="AN150" s="555">
        <v>16.260000000000002</v>
      </c>
    </row>
    <row r="151" spans="1:57" ht="15.75">
      <c r="L151" s="226" t="str">
        <f t="shared" si="90"/>
        <v>331/12:35</v>
      </c>
      <c r="M151" s="226" t="s">
        <v>1268</v>
      </c>
      <c r="O151" s="564" t="str">
        <f t="shared" si="91"/>
        <v>179/13:51</v>
      </c>
      <c r="P151" s="179" t="s">
        <v>1269</v>
      </c>
      <c r="Q151" s="104">
        <f t="shared" si="92"/>
        <v>594930413.66605103</v>
      </c>
      <c r="R151" s="104">
        <f t="shared" si="88"/>
        <v>595490319.7980299</v>
      </c>
      <c r="S151" s="104">
        <f t="shared" si="81"/>
        <v>559906.13197886944</v>
      </c>
      <c r="T151" s="104">
        <f t="shared" si="89"/>
        <v>2069374.9999998449</v>
      </c>
      <c r="U151" s="3">
        <v>0</v>
      </c>
      <c r="V151" s="97">
        <f t="shared" si="82"/>
        <v>2069374.9999998449</v>
      </c>
      <c r="W151" s="97">
        <f t="shared" si="93"/>
        <v>2069375.0000000005</v>
      </c>
      <c r="X151" s="266">
        <f t="shared" si="83"/>
        <v>1.5553086996078491E-7</v>
      </c>
      <c r="Y151" s="282">
        <f t="shared" si="94"/>
        <v>16.555000000000003</v>
      </c>
      <c r="Z151" s="290">
        <f>Y151+Z150</f>
        <v>90.410714596612152</v>
      </c>
      <c r="AA151" s="290"/>
      <c r="AB151" s="229"/>
      <c r="AC151" s="229">
        <f t="shared" si="84"/>
        <v>-2069374.9999998449</v>
      </c>
      <c r="AD151" s="277">
        <f t="shared" si="85"/>
        <v>-16.55499999999876</v>
      </c>
      <c r="AE151" s="277"/>
      <c r="AF151" s="178" t="s">
        <v>1270</v>
      </c>
      <c r="AG151" s="554" t="s">
        <v>1271</v>
      </c>
      <c r="AH151" s="232">
        <f t="shared" si="86"/>
        <v>1.2442469596862792E-12</v>
      </c>
      <c r="AI151" s="232">
        <f t="shared" si="87"/>
        <v>16.55499999999876</v>
      </c>
      <c r="AJ151" s="555" t="s">
        <v>1272</v>
      </c>
      <c r="AK151" s="555" t="s">
        <v>1273</v>
      </c>
      <c r="AL151" s="555">
        <v>15.05</v>
      </c>
      <c r="AM151" s="555">
        <v>15.05</v>
      </c>
      <c r="AN151" s="555">
        <v>15.05</v>
      </c>
    </row>
    <row r="152" spans="1:57" ht="15.75">
      <c r="L152" s="257" t="s">
        <v>1231</v>
      </c>
      <c r="M152" s="257" t="s">
        <v>1274</v>
      </c>
      <c r="O152" s="564" t="str">
        <f t="shared" si="91"/>
        <v>180/16:16</v>
      </c>
      <c r="P152" s="179" t="s">
        <v>1275</v>
      </c>
      <c r="Q152" s="104">
        <f>R144-1</f>
        <v>612647514</v>
      </c>
      <c r="R152" s="104">
        <f>((W152-U152*$V$33)/$V$12)+Q152</f>
        <v>613358508.26144552</v>
      </c>
      <c r="S152" s="104">
        <f t="shared" si="81"/>
        <v>710994.26144552231</v>
      </c>
      <c r="T152" s="104">
        <f>S152*$V$12</f>
        <v>2197250.0000000396</v>
      </c>
      <c r="U152" s="3">
        <v>0</v>
      </c>
      <c r="V152" s="142">
        <f t="shared" si="82"/>
        <v>2197250.0000000396</v>
      </c>
      <c r="W152" s="97">
        <f t="shared" si="93"/>
        <v>2197250.0000000005</v>
      </c>
      <c r="X152" s="266">
        <f t="shared" si="83"/>
        <v>-3.9115548133850098E-8</v>
      </c>
      <c r="Y152" s="282">
        <f>1.1*AL146</f>
        <v>17.578000000000003</v>
      </c>
      <c r="Z152" s="272">
        <f>Z144+Y152</f>
        <v>105.53228540338787</v>
      </c>
      <c r="AA152" s="229">
        <f>Z152-Z140</f>
        <v>37.255285403387873</v>
      </c>
      <c r="AB152" s="229"/>
      <c r="AC152" s="229">
        <f t="shared" si="84"/>
        <v>-2197250.0000000396</v>
      </c>
      <c r="AD152" s="277">
        <f t="shared" si="85"/>
        <v>-17.578000000000316</v>
      </c>
      <c r="AE152" s="277"/>
      <c r="AF152" s="178" t="s">
        <v>1276</v>
      </c>
      <c r="AG152" s="554" t="s">
        <v>1277</v>
      </c>
      <c r="AH152" s="232">
        <f t="shared" si="86"/>
        <v>-3.1292438507080076E-13</v>
      </c>
      <c r="AI152" s="232">
        <f t="shared" si="87"/>
        <v>17.578000000000316</v>
      </c>
      <c r="AJ152" s="555" t="s">
        <v>1278</v>
      </c>
      <c r="AK152" s="555" t="s">
        <v>1279</v>
      </c>
      <c r="AL152" s="555">
        <v>16.260000000000002</v>
      </c>
      <c r="AM152" s="555">
        <v>16.260000000000002</v>
      </c>
      <c r="AN152" s="555">
        <v>16.260000000000002</v>
      </c>
    </row>
    <row r="153" spans="1:57">
      <c r="X153" s="232"/>
      <c r="Z153" s="3"/>
      <c r="AH153" s="232"/>
      <c r="AI153" s="232"/>
      <c r="AN153">
        <f>SUM(AM124:AM152)</f>
        <v>183.34</v>
      </c>
    </row>
    <row r="154" spans="1:57">
      <c r="L154" s="226" t="s">
        <v>1268</v>
      </c>
      <c r="M154" s="226" t="s">
        <v>1280</v>
      </c>
      <c r="P154" t="s">
        <v>1281</v>
      </c>
      <c r="Q154" s="104">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555"/>
    </row>
    <row r="155" spans="1:57" ht="15.75">
      <c r="L155" s="226" t="s">
        <v>1280</v>
      </c>
      <c r="M155" s="226" t="s">
        <v>1282</v>
      </c>
      <c r="O155" s="564" t="s">
        <v>1283</v>
      </c>
      <c r="P155" t="s">
        <v>1284</v>
      </c>
      <c r="Q155" s="104">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c r="AG156" s="232"/>
      <c r="AH156" s="232">
        <f>AI155+AI154</f>
        <v>23.120000000000349</v>
      </c>
      <c r="AV156" s="91"/>
      <c r="AW156" s="91"/>
    </row>
    <row r="157" spans="1:57">
      <c r="L157" t="s">
        <v>4048</v>
      </c>
      <c r="M157">
        <f>2000000/3600</f>
        <v>555.55555555555554</v>
      </c>
      <c r="N157" t="s">
        <v>4043</v>
      </c>
      <c r="O157">
        <v>27</v>
      </c>
      <c r="P157">
        <f>O157*3600*M157</f>
        <v>54000000</v>
      </c>
      <c r="Q157" t="s">
        <v>4046</v>
      </c>
      <c r="S157" t="s">
        <v>4047</v>
      </c>
      <c r="U157" s="3">
        <v>27</v>
      </c>
      <c r="AE157" s="232"/>
      <c r="AF157" s="232"/>
    </row>
    <row r="158" spans="1:57">
      <c r="M158" t="s">
        <v>4044</v>
      </c>
      <c r="N158" t="s">
        <v>4045</v>
      </c>
      <c r="S158">
        <f>190/30</f>
        <v>6.333333333333333</v>
      </c>
      <c r="T158">
        <f>40000/30</f>
        <v>1333.3333333333333</v>
      </c>
      <c r="U158">
        <f>190/8</f>
        <v>23.75</v>
      </c>
      <c r="X158" t="s">
        <v>913</v>
      </c>
    </row>
    <row r="159" spans="1:57">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569" t="s">
        <v>1541</v>
      </c>
      <c r="Z162" s="569" t="s">
        <v>1542</v>
      </c>
      <c r="AJ162" t="s">
        <v>1021</v>
      </c>
      <c r="AK162" t="s">
        <v>836</v>
      </c>
      <c r="AN162" s="555"/>
      <c r="AO162" s="555"/>
      <c r="AP162" s="555"/>
      <c r="AQ162" s="555"/>
      <c r="AR162" s="555"/>
      <c r="AS162" s="91"/>
    </row>
    <row r="163" spans="1:45" ht="15.75">
      <c r="A163" t="s">
        <v>204</v>
      </c>
      <c r="C163" s="3">
        <v>103</v>
      </c>
      <c r="D163" s="3">
        <v>110</v>
      </c>
      <c r="E163" s="3" t="s">
        <v>766</v>
      </c>
      <c r="F163" s="3" t="s">
        <v>764</v>
      </c>
      <c r="G163" s="3" t="s">
        <v>765</v>
      </c>
      <c r="H163" s="3"/>
      <c r="I163" s="3"/>
      <c r="J163" s="3"/>
      <c r="L163" s="257" t="s">
        <v>1274</v>
      </c>
      <c r="M163" s="295" t="s">
        <v>1296</v>
      </c>
      <c r="O163" s="564" t="str">
        <f>AI163</f>
        <v>182/15:36</v>
      </c>
      <c r="P163" s="179" t="str">
        <f>MID(AL163,11,5)</f>
        <v>182_1</v>
      </c>
      <c r="Q163" s="104">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7">
        <f>S163*$V$23+U163*$V$33</f>
        <v>646715.13301579049</v>
      </c>
      <c r="Z163" s="318">
        <f>(Y163/V163-1)</f>
        <v>6.3028597270323283E-2</v>
      </c>
      <c r="AA163" s="256">
        <f>1.1*AP163</f>
        <v>8.0080000000000009</v>
      </c>
      <c r="AB163" s="229"/>
      <c r="AC163" s="229"/>
      <c r="AD163" s="297">
        <f>AK163</f>
        <v>4.8669632006246681</v>
      </c>
      <c r="AE163" s="277"/>
      <c r="AF163" s="277"/>
      <c r="AG163" s="241"/>
      <c r="AH163" s="178" t="str">
        <f>MID(AL163,7,9)</f>
        <v>TRK_182_1</v>
      </c>
      <c r="AI163" s="554" t="s">
        <v>1297</v>
      </c>
      <c r="AJ163" s="232">
        <f>X163*8/1000000</f>
        <v>3.1410367993753328</v>
      </c>
      <c r="AK163" s="232">
        <f>V163*8/1000000</f>
        <v>4.8669632006246681</v>
      </c>
      <c r="AL163" s="568" t="s">
        <v>1298</v>
      </c>
      <c r="AM163" s="568" t="s">
        <v>1299</v>
      </c>
      <c r="AN163" s="568">
        <v>7.28</v>
      </c>
      <c r="AO163" s="568">
        <v>7.28</v>
      </c>
      <c r="AP163" s="568">
        <v>7.28</v>
      </c>
      <c r="AQ163" s="555"/>
      <c r="AR163" s="555">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570">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7">
        <f>S164*$V$24+U164*$V$33</f>
        <v>6784.445763888868</v>
      </c>
      <c r="Z164" s="318">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7">
        <f>Q142</f>
        <v>611744556</v>
      </c>
      <c r="R166" s="104">
        <f>((W166-U166*$V$33)/$V$14)+Q166</f>
        <v>612295255.66091263</v>
      </c>
      <c r="S166" s="104">
        <f t="shared" ref="S166:S192" si="95">R166-Q166</f>
        <v>550699.66091263294</v>
      </c>
      <c r="T166" s="104">
        <f>S166*$V$14</f>
        <v>188585.95158857069</v>
      </c>
      <c r="U166" s="3">
        <v>1</v>
      </c>
      <c r="V166" s="142">
        <f t="shared" ref="V166:V192" si="96">T166+U166*$V$33</f>
        <v>385960.95158857072</v>
      </c>
      <c r="W166" s="97">
        <f>X164</f>
        <v>385960.9515885833</v>
      </c>
      <c r="X166" s="304">
        <f t="shared" ref="X166:X192" si="97">W166-V166</f>
        <v>1.257285475730896E-8</v>
      </c>
      <c r="Y166" s="317">
        <f>S166*$V$25+U166*$V$33</f>
        <v>399585.03174135741</v>
      </c>
      <c r="Z166" s="318">
        <f>(Y166/V166-1)</f>
        <v>3.5299115355352795E-2</v>
      </c>
      <c r="AA166" s="256"/>
      <c r="AB166" s="229"/>
      <c r="AC166" s="229"/>
      <c r="AD166" s="297">
        <f>AD164+AK166</f>
        <v>8.0079999999999014</v>
      </c>
      <c r="AE166" s="277"/>
      <c r="AF166" s="277"/>
      <c r="AG166" s="241"/>
      <c r="AJ166" s="232">
        <f t="shared" ref="AJ166:AJ192" si="98">X166*8/1000000</f>
        <v>1.0058283805847168E-13</v>
      </c>
      <c r="AK166" s="232">
        <f t="shared" ref="AK166:AK192" si="99">V166*8/1000000</f>
        <v>3.087687612708566</v>
      </c>
    </row>
    <row r="167" spans="1:45" ht="15.75">
      <c r="A167" t="s">
        <v>1312</v>
      </c>
      <c r="C167" s="3"/>
      <c r="D167" s="3"/>
      <c r="E167" s="3"/>
      <c r="F167" s="3"/>
      <c r="H167" s="3"/>
      <c r="I167" s="3" t="s">
        <v>769</v>
      </c>
      <c r="J167" s="3"/>
      <c r="L167" s="257" t="s">
        <v>1310</v>
      </c>
      <c r="M167" s="257" t="s">
        <v>1301</v>
      </c>
      <c r="N167">
        <v>431523</v>
      </c>
      <c r="O167" s="564" t="str">
        <f>AI167</f>
        <v>183/14:46</v>
      </c>
      <c r="P167" s="179" t="str">
        <f>MID(AL167,11,5)</f>
        <v>183_1</v>
      </c>
      <c r="Q167" s="104">
        <f>R166-1</f>
        <v>612295254.66091263</v>
      </c>
      <c r="R167" s="305">
        <f>R165</f>
        <v>613559216</v>
      </c>
      <c r="S167" s="104">
        <f t="shared" si="95"/>
        <v>1263961.3390873671</v>
      </c>
      <c r="T167" s="104">
        <f>S167*$V$14</f>
        <v>432840.92731767852</v>
      </c>
      <c r="U167" s="3">
        <v>0</v>
      </c>
      <c r="V167" s="142">
        <f t="shared" si="96"/>
        <v>432840.92731767852</v>
      </c>
      <c r="W167" s="97">
        <f>AA167*1000000/8</f>
        <v>1197625.0000000002</v>
      </c>
      <c r="X167" s="266">
        <f t="shared" si="97"/>
        <v>764784.07268232177</v>
      </c>
      <c r="Y167" s="317">
        <f>S167*$V$25+U167*$V$33</f>
        <v>464110.80419614259</v>
      </c>
      <c r="Z167" s="318">
        <f>(Y167/V167-1)</f>
        <v>7.2243346007605957E-2</v>
      </c>
      <c r="AA167" s="256">
        <f>1.1*AP167</f>
        <v>9.5810000000000013</v>
      </c>
      <c r="AB167" s="229"/>
      <c r="AC167" s="229"/>
      <c r="AD167" s="297">
        <f>AD166+AK167</f>
        <v>11.47072741854133</v>
      </c>
      <c r="AE167" s="277"/>
      <c r="AF167" s="277"/>
      <c r="AG167" s="241"/>
      <c r="AH167" s="178" t="str">
        <f>MID(AL167,7,9)</f>
        <v>TRK_183_1</v>
      </c>
      <c r="AI167" s="554" t="s">
        <v>1313</v>
      </c>
      <c r="AJ167" s="232">
        <f t="shared" si="98"/>
        <v>6.1182725814585739</v>
      </c>
      <c r="AK167" s="232">
        <f t="shared" si="99"/>
        <v>3.4627274185414283</v>
      </c>
      <c r="AL167" s="568" t="s">
        <v>1314</v>
      </c>
      <c r="AM167" s="568" t="s">
        <v>1315</v>
      </c>
      <c r="AN167" s="568">
        <v>8.7100000000000009</v>
      </c>
      <c r="AO167" s="568">
        <v>8.7100000000000009</v>
      </c>
      <c r="AP167" s="568">
        <v>8.7100000000000009</v>
      </c>
    </row>
    <row r="168" spans="1:45" ht="15.75">
      <c r="A168" t="s">
        <v>1316</v>
      </c>
      <c r="D168" s="3"/>
      <c r="E168" s="3" t="s">
        <v>766</v>
      </c>
      <c r="F168" s="3" t="s">
        <v>764</v>
      </c>
      <c r="G168" s="3"/>
      <c r="H168" s="3" t="s">
        <v>768</v>
      </c>
      <c r="I168" s="3" t="s">
        <v>769</v>
      </c>
      <c r="J168" s="3"/>
      <c r="L168" s="257" t="s">
        <v>1301</v>
      </c>
      <c r="M168" s="257" t="s">
        <v>1317</v>
      </c>
      <c r="O168" s="564" t="s">
        <v>4385</v>
      </c>
      <c r="P168" s="179" t="str">
        <f>MID(AL168,11,5)</f>
        <v/>
      </c>
      <c r="Q168" s="400">
        <f>R167-1</f>
        <v>613559215</v>
      </c>
      <c r="R168" s="307">
        <v>613766276</v>
      </c>
      <c r="S168" s="104">
        <f t="shared" si="95"/>
        <v>207061</v>
      </c>
      <c r="T168" s="104">
        <f>S168*$V$17</f>
        <v>439979.46133680444</v>
      </c>
      <c r="U168" s="3">
        <v>0</v>
      </c>
      <c r="V168" s="142">
        <f t="shared" si="96"/>
        <v>439979.46133680444</v>
      </c>
      <c r="W168" s="280">
        <f>X167</f>
        <v>764784.07268232177</v>
      </c>
      <c r="X168" s="266">
        <f t="shared" si="97"/>
        <v>324804.61134551733</v>
      </c>
      <c r="Y168" s="317">
        <f>S168*$V$26+U168*$V$33</f>
        <v>448936.52716435055</v>
      </c>
      <c r="Z168" s="318">
        <f>(Y168/V168-1)</f>
        <v>2.03579180726563E-2</v>
      </c>
      <c r="AA168" s="256"/>
      <c r="AB168" s="229"/>
      <c r="AC168" s="229"/>
      <c r="AD168" s="297">
        <f>AD167+AK168</f>
        <v>14.990563109235765</v>
      </c>
      <c r="AE168" s="277"/>
      <c r="AF168" s="277"/>
      <c r="AG168" s="241"/>
      <c r="AH168" s="178"/>
      <c r="AI168" s="554"/>
      <c r="AJ168" s="232">
        <f t="shared" si="98"/>
        <v>2.5984368907641389</v>
      </c>
      <c r="AK168" s="232">
        <f t="shared" si="99"/>
        <v>3.5198356906944355</v>
      </c>
      <c r="AL168" s="568"/>
      <c r="AM168" s="568"/>
      <c r="AN168" s="568"/>
      <c r="AO168" s="568"/>
      <c r="AP168" s="568"/>
    </row>
    <row r="169" spans="1:45" ht="15.75">
      <c r="A169" t="s">
        <v>1318</v>
      </c>
      <c r="D169" s="3"/>
      <c r="E169" s="3"/>
      <c r="F169" s="3"/>
      <c r="G169" s="3"/>
      <c r="H169" s="3"/>
      <c r="I169" s="3"/>
      <c r="J169" s="3" t="s">
        <v>943</v>
      </c>
      <c r="K169" s="3" t="s">
        <v>1540</v>
      </c>
      <c r="L169" s="226" t="s">
        <v>1282</v>
      </c>
      <c r="M169" s="226" t="s">
        <v>1319</v>
      </c>
      <c r="O169" s="564" t="s">
        <v>4385</v>
      </c>
      <c r="P169" s="179"/>
      <c r="Q169" s="104">
        <f>R155-3</f>
        <v>596272251.58760118</v>
      </c>
      <c r="R169" s="104">
        <f t="shared" ref="R169:R186" si="100">((W169)/$X$9)+Q169</f>
        <v>596360133.23959148</v>
      </c>
      <c r="S169" s="104">
        <f t="shared" si="95"/>
        <v>87881.651990294456</v>
      </c>
      <c r="T169" s="104">
        <f t="shared" ref="T169:T186" si="101">S169*$X$9</f>
        <v>324804.61134557688</v>
      </c>
      <c r="U169" s="3">
        <v>0</v>
      </c>
      <c r="V169" s="97">
        <f t="shared" si="96"/>
        <v>324804.61134557688</v>
      </c>
      <c r="W169" s="280">
        <f>X168</f>
        <v>324804.61134551733</v>
      </c>
      <c r="X169" s="266">
        <f t="shared" si="97"/>
        <v>-5.9546437114477158E-8</v>
      </c>
      <c r="Y169" s="266"/>
      <c r="Z169" s="266"/>
      <c r="AA169" s="256"/>
      <c r="AB169" s="229"/>
      <c r="AC169" s="308">
        <f>AK169</f>
        <v>2.5984368907646149</v>
      </c>
      <c r="AD169" s="277"/>
      <c r="AE169" s="277"/>
      <c r="AF169" s="277"/>
      <c r="AG169" s="277"/>
      <c r="AH169" s="178"/>
      <c r="AI169" s="554"/>
      <c r="AJ169" s="232">
        <f t="shared" si="98"/>
        <v>-4.7637149691581728E-13</v>
      </c>
      <c r="AK169" s="232">
        <f t="shared" si="99"/>
        <v>2.5984368907646149</v>
      </c>
      <c r="AL169" s="568"/>
      <c r="AM169" s="568"/>
      <c r="AN169" s="568"/>
      <c r="AO169" s="568"/>
      <c r="AP169" s="568"/>
    </row>
    <row r="170" spans="1:45" ht="15.75">
      <c r="C170" s="3"/>
      <c r="D170" s="3"/>
      <c r="E170" s="3"/>
      <c r="F170" s="3"/>
      <c r="G170" s="3"/>
      <c r="H170" s="3"/>
      <c r="I170" s="3"/>
      <c r="J170" s="3" t="s">
        <v>943</v>
      </c>
      <c r="K170" s="3" t="s">
        <v>1540</v>
      </c>
      <c r="L170" s="226" t="s">
        <v>1319</v>
      </c>
      <c r="M170" s="226" t="s">
        <v>1320</v>
      </c>
      <c r="O170" s="564" t="str">
        <f t="shared" ref="O170:O191" si="102">AI170</f>
        <v>183/23:16</v>
      </c>
      <c r="P170" s="179" t="str">
        <f t="shared" ref="P170:P192" si="103">MID(AL170,11,5)</f>
        <v>183_2</v>
      </c>
      <c r="Q170" s="104">
        <f t="shared" ref="Q170:Q186" si="104">R169-3</f>
        <v>596360130.23959148</v>
      </c>
      <c r="R170" s="104">
        <f t="shared" si="100"/>
        <v>596666311.46658063</v>
      </c>
      <c r="S170" s="104">
        <f t="shared" si="95"/>
        <v>306181.22698915005</v>
      </c>
      <c r="T170" s="104">
        <f t="shared" si="101"/>
        <v>1131625.0000000657</v>
      </c>
      <c r="U170" s="3">
        <v>0</v>
      </c>
      <c r="V170" s="97">
        <f t="shared" si="96"/>
        <v>1131625.0000000657</v>
      </c>
      <c r="W170" s="97">
        <f t="shared" ref="W170:W191" si="105">AA170*1000000/8</f>
        <v>1131625</v>
      </c>
      <c r="X170" s="266">
        <f t="shared" si="97"/>
        <v>-6.5658241510391235E-8</v>
      </c>
      <c r="Y170" s="266"/>
      <c r="Z170" s="266"/>
      <c r="AA170" s="256">
        <f t="shared" ref="AA170:AA191" si="106">1.1*AP170</f>
        <v>9.0530000000000008</v>
      </c>
      <c r="AB170" s="229"/>
      <c r="AC170" s="308">
        <f t="shared" ref="AC170:AC186" si="107">AC169+AK170</f>
        <v>11.65143689076514</v>
      </c>
      <c r="AD170" s="277"/>
      <c r="AE170" s="277"/>
      <c r="AF170" s="277"/>
      <c r="AG170" s="277"/>
      <c r="AH170" s="178" t="str">
        <f t="shared" ref="AH170:AH191" si="108">MID(AL170,7,9)</f>
        <v>TRK_183_2</v>
      </c>
      <c r="AI170" s="554" t="s">
        <v>1321</v>
      </c>
      <c r="AJ170" s="232">
        <f t="shared" si="98"/>
        <v>-5.2526593208312993E-13</v>
      </c>
      <c r="AK170" s="232">
        <f t="shared" si="99"/>
        <v>9.0530000000005248</v>
      </c>
      <c r="AL170" s="568" t="s">
        <v>1322</v>
      </c>
      <c r="AM170" s="568" t="s">
        <v>1323</v>
      </c>
      <c r="AN170" s="568">
        <v>8.23</v>
      </c>
      <c r="AO170" s="568">
        <v>8.23</v>
      </c>
      <c r="AP170" s="568">
        <v>8.23</v>
      </c>
    </row>
    <row r="171" spans="1:45" ht="15.75">
      <c r="C171" s="3"/>
      <c r="D171" s="3"/>
      <c r="E171" s="3"/>
      <c r="F171" s="3"/>
      <c r="G171" s="3"/>
      <c r="H171" s="3"/>
      <c r="I171" s="3"/>
      <c r="J171" s="3" t="s">
        <v>943</v>
      </c>
      <c r="K171" s="3" t="s">
        <v>1540</v>
      </c>
      <c r="L171" s="226" t="s">
        <v>1320</v>
      </c>
      <c r="M171" s="226" t="s">
        <v>1324</v>
      </c>
      <c r="O171" s="564" t="str">
        <f t="shared" si="102"/>
        <v>184/21:41</v>
      </c>
      <c r="P171" s="179" t="str">
        <f t="shared" si="103"/>
        <v>184_2</v>
      </c>
      <c r="Q171" s="104">
        <f t="shared" si="104"/>
        <v>596666308.46658063</v>
      </c>
      <c r="R171" s="104">
        <f t="shared" si="100"/>
        <v>597034618.8125335</v>
      </c>
      <c r="S171" s="104">
        <f t="shared" si="95"/>
        <v>368310.34595286846</v>
      </c>
      <c r="T171" s="104">
        <f t="shared" si="101"/>
        <v>1361249.9999998643</v>
      </c>
      <c r="U171" s="3">
        <v>0</v>
      </c>
      <c r="V171" s="97">
        <f t="shared" si="96"/>
        <v>1361249.9999998643</v>
      </c>
      <c r="W171" s="97">
        <f t="shared" si="105"/>
        <v>1361250</v>
      </c>
      <c r="X171" s="266">
        <f t="shared" si="97"/>
        <v>1.3574026525020599E-7</v>
      </c>
      <c r="Y171" s="266"/>
      <c r="Z171" s="266"/>
      <c r="AA171" s="256">
        <f t="shared" si="106"/>
        <v>10.89</v>
      </c>
      <c r="AB171" s="229"/>
      <c r="AC171" s="308">
        <f t="shared" si="107"/>
        <v>22.541436890764054</v>
      </c>
      <c r="AD171" s="277"/>
      <c r="AE171" s="277"/>
      <c r="AF171" s="277"/>
      <c r="AG171" s="277"/>
      <c r="AH171" s="178" t="str">
        <f t="shared" si="108"/>
        <v>TRK_184_2</v>
      </c>
      <c r="AI171" s="554" t="s">
        <v>1325</v>
      </c>
      <c r="AJ171" s="232">
        <f t="shared" si="98"/>
        <v>1.0859221220016479E-12</v>
      </c>
      <c r="AK171" s="232">
        <f t="shared" si="99"/>
        <v>10.889999999998913</v>
      </c>
      <c r="AL171" s="568" t="s">
        <v>1326</v>
      </c>
      <c r="AM171" s="568" t="s">
        <v>1327</v>
      </c>
      <c r="AN171" s="568">
        <v>9.9</v>
      </c>
      <c r="AO171" s="568">
        <v>9.9</v>
      </c>
      <c r="AP171" s="568">
        <v>9.9</v>
      </c>
    </row>
    <row r="172" spans="1:45" ht="15.75">
      <c r="C172" s="3"/>
      <c r="D172" s="3"/>
      <c r="E172" s="3"/>
      <c r="F172" s="3"/>
      <c r="G172" s="3"/>
      <c r="H172" s="3"/>
      <c r="I172" s="3"/>
      <c r="J172" s="3" t="s">
        <v>943</v>
      </c>
      <c r="K172" s="3" t="s">
        <v>1540</v>
      </c>
      <c r="L172" s="226" t="s">
        <v>1324</v>
      </c>
      <c r="M172" s="226" t="s">
        <v>1328</v>
      </c>
      <c r="O172" s="564" t="str">
        <f t="shared" si="102"/>
        <v>185/16:36</v>
      </c>
      <c r="P172" s="179" t="str">
        <f t="shared" si="103"/>
        <v>185_1</v>
      </c>
      <c r="Q172" s="104">
        <f t="shared" si="104"/>
        <v>597034615.8125335</v>
      </c>
      <c r="R172" s="104">
        <f t="shared" si="100"/>
        <v>597147341.10023427</v>
      </c>
      <c r="S172" s="104">
        <f t="shared" si="95"/>
        <v>112725.28770077229</v>
      </c>
      <c r="T172" s="104">
        <f t="shared" si="101"/>
        <v>416625.00000012806</v>
      </c>
      <c r="U172" s="3">
        <v>0</v>
      </c>
      <c r="V172" s="97">
        <f t="shared" si="96"/>
        <v>416625.00000012806</v>
      </c>
      <c r="W172" s="97">
        <f t="shared" si="105"/>
        <v>416625</v>
      </c>
      <c r="X172" s="266">
        <f t="shared" si="97"/>
        <v>-1.280568540096283E-7</v>
      </c>
      <c r="Y172" s="266"/>
      <c r="Z172" s="266"/>
      <c r="AA172" s="256">
        <f t="shared" si="106"/>
        <v>3.3330000000000002</v>
      </c>
      <c r="AB172" s="229"/>
      <c r="AC172" s="308">
        <f t="shared" si="107"/>
        <v>25.874436890765079</v>
      </c>
      <c r="AD172" s="277"/>
      <c r="AE172" s="277"/>
      <c r="AF172" s="277"/>
      <c r="AG172" s="277"/>
      <c r="AH172" s="178" t="str">
        <f t="shared" si="108"/>
        <v>TRK_185_1</v>
      </c>
      <c r="AI172" s="554" t="s">
        <v>1329</v>
      </c>
      <c r="AJ172" s="232">
        <f t="shared" si="98"/>
        <v>-1.0244548320770264E-12</v>
      </c>
      <c r="AK172" s="232">
        <f t="shared" si="99"/>
        <v>3.3330000000010243</v>
      </c>
      <c r="AL172" s="568" t="s">
        <v>1330</v>
      </c>
      <c r="AM172" s="568" t="s">
        <v>1331</v>
      </c>
      <c r="AN172" s="568">
        <v>3.03</v>
      </c>
      <c r="AO172" s="568">
        <v>3.03</v>
      </c>
      <c r="AP172" s="568">
        <v>3.03</v>
      </c>
    </row>
    <row r="173" spans="1:45" ht="15.75">
      <c r="C173" s="3"/>
      <c r="D173" s="3"/>
      <c r="E173" s="3"/>
      <c r="F173" s="3"/>
      <c r="G173" s="3"/>
      <c r="H173" s="3"/>
      <c r="I173" s="3"/>
      <c r="J173" s="3" t="s">
        <v>943</v>
      </c>
      <c r="K173" s="3" t="s">
        <v>1540</v>
      </c>
      <c r="L173" s="226" t="s">
        <v>1328</v>
      </c>
      <c r="M173" s="226" t="s">
        <v>1332</v>
      </c>
      <c r="O173" s="564" t="str">
        <f t="shared" si="102"/>
        <v>186/16:36</v>
      </c>
      <c r="P173" s="179" t="str">
        <f t="shared" si="103"/>
        <v>186_1</v>
      </c>
      <c r="Q173" s="104">
        <f t="shared" si="104"/>
        <v>597147338.10023427</v>
      </c>
      <c r="R173" s="104">
        <f t="shared" si="100"/>
        <v>597267131.97033203</v>
      </c>
      <c r="S173" s="104">
        <f t="shared" si="95"/>
        <v>119793.87009775639</v>
      </c>
      <c r="T173" s="104">
        <f t="shared" si="101"/>
        <v>442749.99999978853</v>
      </c>
      <c r="U173" s="3">
        <v>0</v>
      </c>
      <c r="V173" s="97">
        <f t="shared" si="96"/>
        <v>442749.99999978853</v>
      </c>
      <c r="W173" s="97">
        <f t="shared" si="105"/>
        <v>442750.00000000012</v>
      </c>
      <c r="X173" s="266">
        <f t="shared" si="97"/>
        <v>2.1158484742045403E-7</v>
      </c>
      <c r="Y173" s="266"/>
      <c r="Z173" s="266"/>
      <c r="AA173" s="256">
        <f t="shared" si="106"/>
        <v>3.5420000000000007</v>
      </c>
      <c r="AB173" s="229"/>
      <c r="AC173" s="308">
        <f t="shared" si="107"/>
        <v>29.416436890763386</v>
      </c>
      <c r="AD173" s="277"/>
      <c r="AE173" s="277"/>
      <c r="AF173" s="277"/>
      <c r="AG173" s="277"/>
      <c r="AH173" s="178" t="str">
        <f t="shared" si="108"/>
        <v>TRK_186_1</v>
      </c>
      <c r="AI173" s="554" t="s">
        <v>1333</v>
      </c>
      <c r="AJ173" s="232">
        <f t="shared" si="98"/>
        <v>1.6926787793636323E-12</v>
      </c>
      <c r="AK173" s="232">
        <f t="shared" si="99"/>
        <v>3.5419999999983083</v>
      </c>
      <c r="AL173" s="568" t="s">
        <v>1334</v>
      </c>
      <c r="AM173" s="568" t="s">
        <v>1335</v>
      </c>
      <c r="AN173" s="568">
        <v>3.22</v>
      </c>
      <c r="AO173" s="568">
        <v>3.22</v>
      </c>
      <c r="AP173" s="568">
        <v>3.22</v>
      </c>
    </row>
    <row r="174" spans="1:45" ht="15.75">
      <c r="C174" s="3"/>
      <c r="D174" s="3"/>
      <c r="E174" s="3"/>
      <c r="F174" s="3"/>
      <c r="G174" s="3"/>
      <c r="H174" s="3"/>
      <c r="I174" s="3"/>
      <c r="J174" s="3" t="s">
        <v>943</v>
      </c>
      <c r="K174" s="3" t="s">
        <v>1540</v>
      </c>
      <c r="L174" s="226" t="s">
        <v>1332</v>
      </c>
      <c r="M174" s="226" t="s">
        <v>1336</v>
      </c>
      <c r="O174" s="564" t="str">
        <f t="shared" si="102"/>
        <v>186/22:56</v>
      </c>
      <c r="P174" s="179" t="str">
        <f t="shared" si="103"/>
        <v>186_2</v>
      </c>
      <c r="Q174" s="104">
        <f t="shared" si="104"/>
        <v>597267128.97033203</v>
      </c>
      <c r="R174" s="104">
        <f t="shared" si="100"/>
        <v>597572938.16666865</v>
      </c>
      <c r="S174" s="104">
        <f t="shared" si="95"/>
        <v>305809.19633662701</v>
      </c>
      <c r="T174" s="104">
        <f t="shared" si="101"/>
        <v>1130249.999999898</v>
      </c>
      <c r="U174" s="3">
        <v>0</v>
      </c>
      <c r="V174" s="97">
        <f t="shared" si="96"/>
        <v>1130249.999999898</v>
      </c>
      <c r="W174" s="97">
        <f t="shared" si="105"/>
        <v>1130250.0000000002</v>
      </c>
      <c r="X174" s="266">
        <f t="shared" si="97"/>
        <v>1.0221265256404877E-7</v>
      </c>
      <c r="Y174" s="266"/>
      <c r="Z174" s="266"/>
      <c r="AA174" s="256">
        <f t="shared" si="106"/>
        <v>9.0420000000000016</v>
      </c>
      <c r="AB174" s="229"/>
      <c r="AC174" s="308">
        <f t="shared" si="107"/>
        <v>38.45843689076257</v>
      </c>
      <c r="AD174" s="277"/>
      <c r="AE174" s="277"/>
      <c r="AF174" s="277"/>
      <c r="AG174" s="277"/>
      <c r="AH174" s="178" t="str">
        <f t="shared" si="108"/>
        <v>TRK_186_2</v>
      </c>
      <c r="AI174" s="554" t="s">
        <v>1337</v>
      </c>
      <c r="AJ174" s="232">
        <f t="shared" si="98"/>
        <v>8.1770122051239012E-13</v>
      </c>
      <c r="AK174" s="232">
        <f t="shared" si="99"/>
        <v>9.0419999999991845</v>
      </c>
      <c r="AL174" s="568" t="s">
        <v>1338</v>
      </c>
      <c r="AM174" s="568" t="s">
        <v>1339</v>
      </c>
      <c r="AN174" s="568">
        <v>8.2200000000000006</v>
      </c>
      <c r="AO174" s="568">
        <v>8.2200000000000006</v>
      </c>
      <c r="AP174" s="568">
        <v>8.2200000000000006</v>
      </c>
    </row>
    <row r="175" spans="1:45" ht="15.75">
      <c r="C175" s="3"/>
      <c r="D175" s="3"/>
      <c r="E175" s="3"/>
      <c r="F175" s="3"/>
      <c r="G175" s="3"/>
      <c r="H175" s="3"/>
      <c r="I175" s="3"/>
      <c r="J175" s="3" t="s">
        <v>943</v>
      </c>
      <c r="K175" s="3" t="s">
        <v>1540</v>
      </c>
      <c r="L175" s="226" t="s">
        <v>1336</v>
      </c>
      <c r="M175" s="226" t="s">
        <v>1340</v>
      </c>
      <c r="O175" s="564" t="str">
        <f t="shared" si="102"/>
        <v>187/13:21</v>
      </c>
      <c r="P175" s="179" t="str">
        <f t="shared" si="103"/>
        <v>187_1</v>
      </c>
      <c r="Q175" s="104">
        <f t="shared" si="104"/>
        <v>597572935.16666865</v>
      </c>
      <c r="R175" s="104">
        <f t="shared" si="100"/>
        <v>597943849.72718894</v>
      </c>
      <c r="S175" s="104">
        <f t="shared" si="95"/>
        <v>370914.56052029133</v>
      </c>
      <c r="T175" s="104">
        <f t="shared" si="101"/>
        <v>1370875.0000001567</v>
      </c>
      <c r="U175" s="3">
        <v>0</v>
      </c>
      <c r="V175" s="97">
        <f t="shared" si="96"/>
        <v>1370875.0000001567</v>
      </c>
      <c r="W175" s="97">
        <f t="shared" si="105"/>
        <v>1370875.0000000002</v>
      </c>
      <c r="X175" s="266">
        <f t="shared" si="97"/>
        <v>-1.5646219253540039E-7</v>
      </c>
      <c r="Y175" s="266"/>
      <c r="Z175" s="266"/>
      <c r="AA175" s="256">
        <f t="shared" si="106"/>
        <v>10.967000000000002</v>
      </c>
      <c r="AB175" s="229"/>
      <c r="AC175" s="308">
        <f t="shared" si="107"/>
        <v>49.42543689076382</v>
      </c>
      <c r="AD175" s="277"/>
      <c r="AE175" s="277"/>
      <c r="AF175" s="277"/>
      <c r="AG175" s="277"/>
      <c r="AH175" s="178" t="str">
        <f t="shared" si="108"/>
        <v>TRK_187_1</v>
      </c>
      <c r="AI175" s="554" t="s">
        <v>1341</v>
      </c>
      <c r="AJ175" s="232">
        <f t="shared" si="98"/>
        <v>-1.2516975402832031E-12</v>
      </c>
      <c r="AK175" s="232">
        <f t="shared" si="99"/>
        <v>10.967000000001253</v>
      </c>
      <c r="AL175" s="568" t="s">
        <v>1342</v>
      </c>
      <c r="AM175" s="568" t="s">
        <v>1343</v>
      </c>
      <c r="AN175" s="568">
        <v>9.9700000000000006</v>
      </c>
      <c r="AO175" s="568">
        <v>9.9700000000000006</v>
      </c>
      <c r="AP175" s="568">
        <v>9.9700000000000006</v>
      </c>
    </row>
    <row r="176" spans="1:45" ht="15.75">
      <c r="C176" s="3"/>
      <c r="D176" s="3"/>
      <c r="E176" s="3"/>
      <c r="F176" s="3"/>
      <c r="G176" s="3"/>
      <c r="H176" s="3"/>
      <c r="I176" s="3"/>
      <c r="J176" s="3" t="s">
        <v>943</v>
      </c>
      <c r="K176" s="3" t="s">
        <v>1540</v>
      </c>
      <c r="L176" s="226" t="s">
        <v>1340</v>
      </c>
      <c r="M176" s="226" t="s">
        <v>1344</v>
      </c>
      <c r="O176" s="564" t="str">
        <f t="shared" si="102"/>
        <v>189/12:16</v>
      </c>
      <c r="P176" s="179" t="str">
        <f t="shared" si="103"/>
        <v>189_1</v>
      </c>
      <c r="Q176" s="104">
        <f t="shared" si="104"/>
        <v>597943846.72718894</v>
      </c>
      <c r="R176" s="104">
        <f t="shared" si="100"/>
        <v>598228822.2069869</v>
      </c>
      <c r="S176" s="104">
        <f t="shared" si="95"/>
        <v>284975.47979795933</v>
      </c>
      <c r="T176" s="104">
        <f t="shared" si="101"/>
        <v>1053250.000000203</v>
      </c>
      <c r="U176" s="3">
        <v>0</v>
      </c>
      <c r="V176" s="97">
        <f t="shared" si="96"/>
        <v>1053250.000000203</v>
      </c>
      <c r="W176" s="97">
        <f t="shared" si="105"/>
        <v>1053250</v>
      </c>
      <c r="X176" s="266">
        <f t="shared" si="97"/>
        <v>-2.0302832126617432E-7</v>
      </c>
      <c r="Y176" s="266"/>
      <c r="Z176" s="266"/>
      <c r="AA176" s="256">
        <f t="shared" si="106"/>
        <v>8.4260000000000002</v>
      </c>
      <c r="AB176" s="229"/>
      <c r="AC176" s="308">
        <f t="shared" si="107"/>
        <v>57.851436890765441</v>
      </c>
      <c r="AD176" s="277"/>
      <c r="AE176" s="277"/>
      <c r="AF176" s="277"/>
      <c r="AG176" s="277"/>
      <c r="AH176" s="178" t="str">
        <f t="shared" si="108"/>
        <v>TRK_189_1</v>
      </c>
      <c r="AI176" s="554" t="s">
        <v>1345</v>
      </c>
      <c r="AJ176" s="232">
        <f t="shared" si="98"/>
        <v>-1.6242265701293946E-12</v>
      </c>
      <c r="AK176" s="232">
        <f t="shared" si="99"/>
        <v>8.4260000000016237</v>
      </c>
      <c r="AL176" s="568" t="s">
        <v>1346</v>
      </c>
      <c r="AM176" s="568" t="s">
        <v>1347</v>
      </c>
      <c r="AN176" s="568">
        <v>7.66</v>
      </c>
      <c r="AO176" s="568">
        <v>7.66</v>
      </c>
      <c r="AP176" s="568">
        <v>7.66</v>
      </c>
    </row>
    <row r="177" spans="1:42" ht="15.75">
      <c r="C177" s="3"/>
      <c r="D177" s="3"/>
      <c r="E177" s="3"/>
      <c r="F177" s="3"/>
      <c r="G177" s="3"/>
      <c r="H177" s="3"/>
      <c r="I177" s="3"/>
      <c r="J177" s="3" t="s">
        <v>943</v>
      </c>
      <c r="K177" s="3" t="s">
        <v>1540</v>
      </c>
      <c r="L177" s="226" t="s">
        <v>4374</v>
      </c>
      <c r="M177" s="226" t="s">
        <v>1348</v>
      </c>
      <c r="O177" s="564" t="str">
        <f t="shared" si="102"/>
        <v>190/20:06</v>
      </c>
      <c r="P177" s="179" t="str">
        <f t="shared" si="103"/>
        <v>190_1</v>
      </c>
      <c r="Q177" s="104">
        <f t="shared" si="104"/>
        <v>598228819.2069869</v>
      </c>
      <c r="R177" s="104">
        <f t="shared" si="100"/>
        <v>598699065.95171869</v>
      </c>
      <c r="S177" s="104">
        <f t="shared" si="95"/>
        <v>470246.74473178387</v>
      </c>
      <c r="T177" s="104">
        <f t="shared" si="101"/>
        <v>1737999.9999999772</v>
      </c>
      <c r="U177" s="3">
        <v>0</v>
      </c>
      <c r="V177" s="97">
        <f t="shared" si="96"/>
        <v>1737999.9999999772</v>
      </c>
      <c r="W177" s="97">
        <f t="shared" si="105"/>
        <v>1738000.0000000002</v>
      </c>
      <c r="X177" s="266">
        <f t="shared" si="97"/>
        <v>2.3050233721733093E-8</v>
      </c>
      <c r="Y177" s="266"/>
      <c r="Z177" s="266"/>
      <c r="AA177" s="256">
        <f t="shared" si="106"/>
        <v>13.904000000000002</v>
      </c>
      <c r="AB177" s="229"/>
      <c r="AC177" s="308">
        <f t="shared" si="107"/>
        <v>71.755436890765253</v>
      </c>
      <c r="AD177" s="277"/>
      <c r="AE177" s="277"/>
      <c r="AF177" s="277"/>
      <c r="AG177" s="277"/>
      <c r="AH177" s="178" t="str">
        <f t="shared" si="108"/>
        <v>TRK_190_1</v>
      </c>
      <c r="AI177" s="554" t="s">
        <v>1349</v>
      </c>
      <c r="AJ177" s="232">
        <f t="shared" si="98"/>
        <v>1.8440186977386473E-13</v>
      </c>
      <c r="AK177" s="232">
        <f t="shared" si="99"/>
        <v>13.903999999999817</v>
      </c>
      <c r="AL177" s="568" t="s">
        <v>1350</v>
      </c>
      <c r="AM177" s="568" t="s">
        <v>1351</v>
      </c>
      <c r="AN177" s="568">
        <v>12.64</v>
      </c>
      <c r="AO177" s="568">
        <v>12.64</v>
      </c>
      <c r="AP177" s="568">
        <v>12.64</v>
      </c>
    </row>
    <row r="178" spans="1:42" ht="15.75">
      <c r="C178" s="3"/>
      <c r="D178" s="3"/>
      <c r="E178" s="3"/>
      <c r="F178" s="3"/>
      <c r="G178" s="3"/>
      <c r="H178" s="3"/>
      <c r="I178" s="3"/>
      <c r="J178" s="3" t="s">
        <v>943</v>
      </c>
      <c r="K178" s="3" t="s">
        <v>1540</v>
      </c>
      <c r="L178" s="226" t="s">
        <v>1348</v>
      </c>
      <c r="M178" s="226" t="s">
        <v>1352</v>
      </c>
      <c r="O178" s="564" t="str">
        <f t="shared" si="102"/>
        <v>191/12:11</v>
      </c>
      <c r="P178" s="179" t="str">
        <f t="shared" si="103"/>
        <v>191_1</v>
      </c>
      <c r="Q178" s="104">
        <f t="shared" si="104"/>
        <v>598699062.95171869</v>
      </c>
      <c r="R178" s="104">
        <f t="shared" si="100"/>
        <v>599169681.72710299</v>
      </c>
      <c r="S178" s="104">
        <f t="shared" si="95"/>
        <v>470618.77538430691</v>
      </c>
      <c r="T178" s="104">
        <f t="shared" si="101"/>
        <v>1739375.0000001448</v>
      </c>
      <c r="U178" s="3">
        <v>0</v>
      </c>
      <c r="V178" s="97">
        <f t="shared" si="96"/>
        <v>1739375.0000001448</v>
      </c>
      <c r="W178" s="97">
        <f t="shared" si="105"/>
        <v>1739375</v>
      </c>
      <c r="X178" s="266">
        <f t="shared" si="97"/>
        <v>-1.4482066035270691E-7</v>
      </c>
      <c r="Y178" s="266"/>
      <c r="Z178" s="266"/>
      <c r="AA178" s="256">
        <f t="shared" si="106"/>
        <v>13.915000000000001</v>
      </c>
      <c r="AB178" s="229"/>
      <c r="AC178" s="308">
        <f t="shared" si="107"/>
        <v>85.67043689076641</v>
      </c>
      <c r="AD178" s="277"/>
      <c r="AE178" s="277"/>
      <c r="AF178" s="277"/>
      <c r="AG178" s="277"/>
      <c r="AH178" s="178" t="str">
        <f t="shared" si="108"/>
        <v>TRK_191_1</v>
      </c>
      <c r="AI178" s="554" t="s">
        <v>1353</v>
      </c>
      <c r="AJ178" s="232">
        <f t="shared" si="98"/>
        <v>-1.1585652828216554E-12</v>
      </c>
      <c r="AK178" s="232">
        <f t="shared" si="99"/>
        <v>13.915000000001159</v>
      </c>
      <c r="AL178" s="568" t="s">
        <v>1354</v>
      </c>
      <c r="AM178" s="568" t="s">
        <v>1355</v>
      </c>
      <c r="AN178" s="568">
        <v>12.65</v>
      </c>
      <c r="AO178" s="568">
        <v>12.65</v>
      </c>
      <c r="AP178" s="568">
        <v>12.65</v>
      </c>
    </row>
    <row r="179" spans="1:42" ht="15.75">
      <c r="C179" s="3"/>
      <c r="D179" s="3"/>
      <c r="E179" s="3"/>
      <c r="F179" s="3"/>
      <c r="G179" s="3"/>
      <c r="H179" s="3"/>
      <c r="I179" s="3"/>
      <c r="J179" s="3" t="s">
        <v>943</v>
      </c>
      <c r="K179" s="3" t="s">
        <v>1540</v>
      </c>
      <c r="L179" s="226" t="s">
        <v>1352</v>
      </c>
      <c r="M179" s="226" t="s">
        <v>1356</v>
      </c>
      <c r="O179" s="564" t="str">
        <f t="shared" si="102"/>
        <v>192/12:06</v>
      </c>
      <c r="P179" s="179" t="str">
        <f t="shared" si="103"/>
        <v>192_2</v>
      </c>
      <c r="Q179" s="104">
        <f t="shared" si="104"/>
        <v>599169678.72710299</v>
      </c>
      <c r="R179" s="104">
        <f t="shared" si="100"/>
        <v>599478464.16865945</v>
      </c>
      <c r="S179" s="104">
        <f t="shared" si="95"/>
        <v>308785.4415564537</v>
      </c>
      <c r="T179" s="104">
        <f t="shared" si="101"/>
        <v>1141249.9999999173</v>
      </c>
      <c r="U179" s="3">
        <v>0</v>
      </c>
      <c r="V179" s="97">
        <f t="shared" si="96"/>
        <v>1141249.9999999173</v>
      </c>
      <c r="W179" s="97">
        <f t="shared" si="105"/>
        <v>1141250</v>
      </c>
      <c r="X179" s="266">
        <f t="shared" si="97"/>
        <v>8.2654878497123718E-8</v>
      </c>
      <c r="Y179" s="266"/>
      <c r="Z179" s="266"/>
      <c r="AA179" s="256">
        <f t="shared" si="106"/>
        <v>9.1300000000000008</v>
      </c>
      <c r="AB179" s="229"/>
      <c r="AC179" s="308">
        <f t="shared" si="107"/>
        <v>94.800436890765752</v>
      </c>
      <c r="AD179" s="277"/>
      <c r="AE179" s="277"/>
      <c r="AF179" s="277"/>
      <c r="AG179" s="277"/>
      <c r="AH179" s="178" t="str">
        <f t="shared" si="108"/>
        <v>TRK_192_2</v>
      </c>
      <c r="AI179" s="554" t="s">
        <v>1357</v>
      </c>
      <c r="AJ179" s="232">
        <f t="shared" si="98"/>
        <v>6.6123902797698976E-13</v>
      </c>
      <c r="AK179" s="232">
        <f t="shared" si="99"/>
        <v>9.1299999999993382</v>
      </c>
      <c r="AL179" s="568" t="s">
        <v>1358</v>
      </c>
      <c r="AM179" s="568" t="s">
        <v>1359</v>
      </c>
      <c r="AN179" s="568">
        <v>8.3000000000000007</v>
      </c>
      <c r="AO179" s="568">
        <v>8.3000000000000007</v>
      </c>
      <c r="AP179" s="568">
        <v>8.3000000000000007</v>
      </c>
    </row>
    <row r="180" spans="1:42" ht="15.75">
      <c r="C180" s="3"/>
      <c r="D180" s="3"/>
      <c r="E180" s="3"/>
      <c r="F180" s="3"/>
      <c r="G180" s="3"/>
      <c r="H180" s="3"/>
      <c r="I180" s="3"/>
      <c r="J180" s="3" t="s">
        <v>943</v>
      </c>
      <c r="K180" s="3" t="s">
        <v>1540</v>
      </c>
      <c r="L180" s="226" t="s">
        <v>1356</v>
      </c>
      <c r="M180" s="226" t="s">
        <v>1360</v>
      </c>
      <c r="O180" s="564" t="str">
        <f t="shared" si="102"/>
        <v>193/13:50</v>
      </c>
      <c r="P180" s="179" t="str">
        <f t="shared" si="103"/>
        <v>193_1</v>
      </c>
      <c r="Q180" s="104">
        <f t="shared" si="104"/>
        <v>599478461.16865945</v>
      </c>
      <c r="R180" s="104">
        <f t="shared" si="100"/>
        <v>600150720.55768657</v>
      </c>
      <c r="S180" s="104">
        <f t="shared" si="95"/>
        <v>672259.38902711868</v>
      </c>
      <c r="T180" s="104">
        <f t="shared" si="101"/>
        <v>2484624.9999998054</v>
      </c>
      <c r="U180" s="3">
        <v>0</v>
      </c>
      <c r="V180" s="97">
        <f t="shared" si="96"/>
        <v>2484624.9999998054</v>
      </c>
      <c r="W180" s="97">
        <f t="shared" si="105"/>
        <v>2484625.0000000005</v>
      </c>
      <c r="X180" s="266">
        <f t="shared" si="97"/>
        <v>1.9511207938194275E-7</v>
      </c>
      <c r="Y180" s="266"/>
      <c r="Z180" s="266"/>
      <c r="AA180" s="256">
        <f t="shared" si="106"/>
        <v>19.877000000000002</v>
      </c>
      <c r="AB180" s="229"/>
      <c r="AC180" s="308">
        <f t="shared" si="107"/>
        <v>114.6774368907642</v>
      </c>
      <c r="AD180" s="277"/>
      <c r="AE180" s="277"/>
      <c r="AF180" s="277"/>
      <c r="AG180" s="277"/>
      <c r="AH180" s="178" t="str">
        <f t="shared" si="108"/>
        <v>TRK_193_1</v>
      </c>
      <c r="AI180" s="554" t="s">
        <v>1361</v>
      </c>
      <c r="AJ180" s="232">
        <f t="shared" si="98"/>
        <v>1.560896635055542E-12</v>
      </c>
      <c r="AK180" s="232">
        <f t="shared" si="99"/>
        <v>19.876999999998443</v>
      </c>
      <c r="AL180" s="568" t="s">
        <v>1362</v>
      </c>
      <c r="AM180" s="568" t="s">
        <v>1363</v>
      </c>
      <c r="AN180" s="568">
        <v>18.07</v>
      </c>
      <c r="AO180" s="568">
        <v>18.07</v>
      </c>
      <c r="AP180" s="568">
        <v>18.07</v>
      </c>
    </row>
    <row r="181" spans="1:42" ht="15.75">
      <c r="C181" s="3"/>
      <c r="D181" s="3"/>
      <c r="E181" s="3"/>
      <c r="F181" s="3"/>
      <c r="G181" s="3"/>
      <c r="H181" s="3"/>
      <c r="I181" s="3"/>
      <c r="J181" s="3" t="s">
        <v>943</v>
      </c>
      <c r="K181" s="3" t="s">
        <v>1540</v>
      </c>
      <c r="L181" s="226" t="s">
        <v>1360</v>
      </c>
      <c r="M181" s="226" t="s">
        <v>1364</v>
      </c>
      <c r="O181" s="564" t="str">
        <f t="shared" si="102"/>
        <v>194/16:20</v>
      </c>
      <c r="P181" s="179" t="str">
        <f t="shared" si="103"/>
        <v>194_2</v>
      </c>
      <c r="Q181" s="104">
        <f t="shared" si="104"/>
        <v>600150717.55768657</v>
      </c>
      <c r="R181" s="104">
        <f t="shared" si="100"/>
        <v>600221403.38165736</v>
      </c>
      <c r="S181" s="104">
        <f t="shared" si="95"/>
        <v>70685.823970794678</v>
      </c>
      <c r="T181" s="104">
        <f t="shared" si="101"/>
        <v>261250.00000012974</v>
      </c>
      <c r="U181" s="3">
        <v>0</v>
      </c>
      <c r="V181" s="97">
        <f t="shared" si="96"/>
        <v>261250.00000012974</v>
      </c>
      <c r="W181" s="97">
        <f t="shared" si="105"/>
        <v>261249.99999999997</v>
      </c>
      <c r="X181" s="266">
        <f t="shared" si="97"/>
        <v>-1.2977398000657558E-7</v>
      </c>
      <c r="Y181" s="266"/>
      <c r="Z181" s="266"/>
      <c r="AA181" s="256">
        <f t="shared" si="106"/>
        <v>2.09</v>
      </c>
      <c r="AB181" s="229"/>
      <c r="AC181" s="308">
        <f t="shared" si="107"/>
        <v>116.76743689076524</v>
      </c>
      <c r="AD181" s="277"/>
      <c r="AE181" s="277"/>
      <c r="AF181" s="277"/>
      <c r="AG181" s="277"/>
      <c r="AH181" s="178" t="str">
        <f t="shared" si="108"/>
        <v>TRK_194_2</v>
      </c>
      <c r="AI181" s="554" t="s">
        <v>1365</v>
      </c>
      <c r="AJ181" s="232">
        <f t="shared" si="98"/>
        <v>-1.0381918400526047E-12</v>
      </c>
      <c r="AK181" s="232">
        <f t="shared" si="99"/>
        <v>2.0900000000010381</v>
      </c>
      <c r="AL181" s="568" t="s">
        <v>1366</v>
      </c>
      <c r="AM181" s="568" t="s">
        <v>1367</v>
      </c>
      <c r="AN181" s="568">
        <v>1.9</v>
      </c>
      <c r="AO181" s="568">
        <v>1.9</v>
      </c>
      <c r="AP181" s="568">
        <v>1.9</v>
      </c>
    </row>
    <row r="182" spans="1:42" ht="15.75">
      <c r="C182" s="3"/>
      <c r="D182" s="3"/>
      <c r="E182" s="3"/>
      <c r="F182" s="3"/>
      <c r="G182" s="3"/>
      <c r="H182" s="3"/>
      <c r="I182" s="3"/>
      <c r="J182" s="3" t="s">
        <v>943</v>
      </c>
      <c r="K182" s="3" t="s">
        <v>1540</v>
      </c>
      <c r="L182" s="226" t="s">
        <v>1364</v>
      </c>
      <c r="M182" s="226" t="s">
        <v>1368</v>
      </c>
      <c r="O182" s="564" t="str">
        <f t="shared" si="102"/>
        <v>194/22:50</v>
      </c>
      <c r="P182" s="179" t="str">
        <f t="shared" si="103"/>
        <v>194_3</v>
      </c>
      <c r="Q182" s="104">
        <f t="shared" si="104"/>
        <v>600221400.38165736</v>
      </c>
      <c r="R182" s="104">
        <f t="shared" si="100"/>
        <v>600487402.29817891</v>
      </c>
      <c r="S182" s="104">
        <f t="shared" si="95"/>
        <v>266001.91652154922</v>
      </c>
      <c r="T182" s="104">
        <f t="shared" si="101"/>
        <v>983125.00000002445</v>
      </c>
      <c r="U182" s="3">
        <v>0</v>
      </c>
      <c r="V182" s="97">
        <f t="shared" si="96"/>
        <v>983125.00000002445</v>
      </c>
      <c r="W182" s="97">
        <f t="shared" si="105"/>
        <v>983125.00000000012</v>
      </c>
      <c r="X182" s="266">
        <f t="shared" si="97"/>
        <v>-2.4330802261829376E-8</v>
      </c>
      <c r="Y182" s="266"/>
      <c r="Z182" s="266"/>
      <c r="AA182" s="256">
        <f t="shared" si="106"/>
        <v>7.8650000000000011</v>
      </c>
      <c r="AB182" s="229"/>
      <c r="AC182" s="308">
        <f t="shared" si="107"/>
        <v>124.63243689076543</v>
      </c>
      <c r="AD182" s="277"/>
      <c r="AE182" s="277"/>
      <c r="AF182" s="277"/>
      <c r="AG182" s="277"/>
      <c r="AH182" s="178" t="str">
        <f t="shared" si="108"/>
        <v>TRK_194_3</v>
      </c>
      <c r="AI182" s="554" t="s">
        <v>1369</v>
      </c>
      <c r="AJ182" s="232">
        <f t="shared" si="98"/>
        <v>-1.9464641809463502E-13</v>
      </c>
      <c r="AK182" s="232">
        <f t="shared" si="99"/>
        <v>7.8650000000001956</v>
      </c>
      <c r="AL182" s="568" t="s">
        <v>1370</v>
      </c>
      <c r="AM182" s="568" t="s">
        <v>1371</v>
      </c>
      <c r="AN182" s="568">
        <v>7.15</v>
      </c>
      <c r="AO182" s="568">
        <v>7.15</v>
      </c>
      <c r="AP182" s="568">
        <v>7.15</v>
      </c>
    </row>
    <row r="183" spans="1:42" ht="15.75">
      <c r="C183" s="3"/>
      <c r="D183" s="3"/>
      <c r="E183" s="3"/>
      <c r="F183" s="3"/>
      <c r="G183" s="3"/>
      <c r="H183" s="3"/>
      <c r="I183" s="3"/>
      <c r="J183" s="3" t="s">
        <v>943</v>
      </c>
      <c r="K183" s="3" t="s">
        <v>1540</v>
      </c>
      <c r="L183" s="226" t="s">
        <v>1368</v>
      </c>
      <c r="M183" s="226" t="s">
        <v>1372</v>
      </c>
      <c r="O183" s="564" t="str">
        <f t="shared" si="102"/>
        <v>195/15:30</v>
      </c>
      <c r="P183" s="179" t="str">
        <f t="shared" si="103"/>
        <v>195_1</v>
      </c>
      <c r="Q183" s="104">
        <f t="shared" si="104"/>
        <v>600487399.29817891</v>
      </c>
      <c r="R183" s="104">
        <f t="shared" si="100"/>
        <v>600627654.85416305</v>
      </c>
      <c r="S183" s="104">
        <f t="shared" si="95"/>
        <v>140255.55598413944</v>
      </c>
      <c r="T183" s="104">
        <f t="shared" si="101"/>
        <v>518375.00000019715</v>
      </c>
      <c r="U183" s="3">
        <v>0</v>
      </c>
      <c r="V183" s="97">
        <f t="shared" si="96"/>
        <v>518375.00000019715</v>
      </c>
      <c r="W183" s="97">
        <f t="shared" si="105"/>
        <v>518375.00000000006</v>
      </c>
      <c r="X183" s="266">
        <f t="shared" si="97"/>
        <v>-1.9709113985300064E-7</v>
      </c>
      <c r="Y183" s="266"/>
      <c r="Z183" s="266"/>
      <c r="AA183" s="256">
        <f t="shared" si="106"/>
        <v>4.1470000000000002</v>
      </c>
      <c r="AB183" s="229"/>
      <c r="AC183" s="308">
        <f t="shared" si="107"/>
        <v>128.77943689076702</v>
      </c>
      <c r="AD183" s="277"/>
      <c r="AE183" s="277"/>
      <c r="AF183" s="277"/>
      <c r="AG183" s="277"/>
      <c r="AH183" s="178" t="str">
        <f t="shared" si="108"/>
        <v>TRK_195_1</v>
      </c>
      <c r="AI183" s="554" t="s">
        <v>1373</v>
      </c>
      <c r="AJ183" s="232">
        <f t="shared" si="98"/>
        <v>-1.5767291188240052E-12</v>
      </c>
      <c r="AK183" s="232">
        <f t="shared" si="99"/>
        <v>4.1470000000015768</v>
      </c>
      <c r="AL183" s="568" t="s">
        <v>1374</v>
      </c>
      <c r="AM183" s="568" t="s">
        <v>1375</v>
      </c>
      <c r="AN183" s="568">
        <v>3.77</v>
      </c>
      <c r="AO183" s="568">
        <v>3.77</v>
      </c>
      <c r="AP183" s="568">
        <v>3.77</v>
      </c>
    </row>
    <row r="184" spans="1:42" ht="15.75">
      <c r="C184" s="3"/>
      <c r="D184" s="3"/>
      <c r="E184" s="3"/>
      <c r="F184" s="3"/>
      <c r="G184" s="3"/>
      <c r="H184" s="3"/>
      <c r="I184" s="3"/>
      <c r="J184" s="3" t="s">
        <v>943</v>
      </c>
      <c r="K184" s="3" t="s">
        <v>1540</v>
      </c>
      <c r="L184" s="226" t="s">
        <v>1372</v>
      </c>
      <c r="M184" s="226" t="s">
        <v>1376</v>
      </c>
      <c r="O184" s="564" t="str">
        <f t="shared" si="102"/>
        <v>195/22:50</v>
      </c>
      <c r="P184" s="179" t="str">
        <f t="shared" si="103"/>
        <v>195_2</v>
      </c>
      <c r="Q184" s="104">
        <f t="shared" si="104"/>
        <v>600627651.85416305</v>
      </c>
      <c r="R184" s="104">
        <f t="shared" si="100"/>
        <v>600889189.40285492</v>
      </c>
      <c r="S184" s="104">
        <f t="shared" si="95"/>
        <v>261537.54869186878</v>
      </c>
      <c r="T184" s="104">
        <f t="shared" si="101"/>
        <v>966625.0000002156</v>
      </c>
      <c r="U184" s="3">
        <v>0</v>
      </c>
      <c r="V184" s="97">
        <f t="shared" si="96"/>
        <v>966625.0000002156</v>
      </c>
      <c r="W184" s="97">
        <f t="shared" si="105"/>
        <v>966625.00000000012</v>
      </c>
      <c r="X184" s="266">
        <f t="shared" si="97"/>
        <v>-2.1548476070165634E-7</v>
      </c>
      <c r="Y184" s="266"/>
      <c r="Z184" s="266"/>
      <c r="AA184" s="256">
        <f t="shared" si="106"/>
        <v>7.7330000000000005</v>
      </c>
      <c r="AB184" s="229"/>
      <c r="AC184" s="308">
        <f t="shared" si="107"/>
        <v>136.51243689076875</v>
      </c>
      <c r="AD184" s="277"/>
      <c r="AE184" s="277"/>
      <c r="AF184" s="277"/>
      <c r="AG184" s="277"/>
      <c r="AH184" s="178" t="str">
        <f t="shared" si="108"/>
        <v>TRK_195_2</v>
      </c>
      <c r="AI184" s="554" t="s">
        <v>1377</v>
      </c>
      <c r="AJ184" s="232">
        <f t="shared" si="98"/>
        <v>-1.7238780856132507E-12</v>
      </c>
      <c r="AK184" s="232">
        <f t="shared" si="99"/>
        <v>7.7330000000017245</v>
      </c>
      <c r="AL184" s="568" t="s">
        <v>1378</v>
      </c>
      <c r="AM184" s="568" t="s">
        <v>1379</v>
      </c>
      <c r="AN184" s="568">
        <v>7.03</v>
      </c>
      <c r="AO184" s="568">
        <v>7.03</v>
      </c>
      <c r="AP184" s="568">
        <v>7.03</v>
      </c>
    </row>
    <row r="185" spans="1:42" ht="15.75">
      <c r="C185" s="3"/>
      <c r="D185" s="3"/>
      <c r="E185" s="3"/>
      <c r="F185" s="3"/>
      <c r="G185" s="3"/>
      <c r="H185" s="3"/>
      <c r="I185" s="3"/>
      <c r="J185" s="3" t="s">
        <v>943</v>
      </c>
      <c r="K185" s="3" t="s">
        <v>1540</v>
      </c>
      <c r="L185" s="226" t="s">
        <v>1376</v>
      </c>
      <c r="M185" s="226" t="s">
        <v>1380</v>
      </c>
      <c r="O185" s="564" t="str">
        <f t="shared" si="102"/>
        <v>197/15:45</v>
      </c>
      <c r="P185" s="179" t="str">
        <f t="shared" si="103"/>
        <v>197_2</v>
      </c>
      <c r="Q185" s="104">
        <f t="shared" si="104"/>
        <v>600889186.40285492</v>
      </c>
      <c r="R185" s="104">
        <f t="shared" si="100"/>
        <v>600955779.88964844</v>
      </c>
      <c r="S185" s="104">
        <f t="shared" si="95"/>
        <v>66593.486793518066</v>
      </c>
      <c r="T185" s="104">
        <f t="shared" si="101"/>
        <v>246125.00000004802</v>
      </c>
      <c r="U185" s="3">
        <v>0</v>
      </c>
      <c r="V185" s="97">
        <f t="shared" si="96"/>
        <v>246125.00000004802</v>
      </c>
      <c r="W185" s="97">
        <f t="shared" si="105"/>
        <v>246125.00000000003</v>
      </c>
      <c r="X185" s="266">
        <f t="shared" si="97"/>
        <v>-4.7992216423153877E-8</v>
      </c>
      <c r="Y185" s="266"/>
      <c r="Z185" s="266"/>
      <c r="AA185" s="256">
        <f t="shared" si="106"/>
        <v>1.9690000000000003</v>
      </c>
      <c r="AB185" s="229"/>
      <c r="AC185" s="308">
        <f t="shared" si="107"/>
        <v>138.48143689076915</v>
      </c>
      <c r="AD185" s="277"/>
      <c r="AE185" s="277"/>
      <c r="AF185" s="277"/>
      <c r="AG185" s="277"/>
      <c r="AH185" s="178" t="str">
        <f t="shared" si="108"/>
        <v>TRK_197_2</v>
      </c>
      <c r="AI185" s="554" t="s">
        <v>1381</v>
      </c>
      <c r="AJ185" s="232">
        <f t="shared" si="98"/>
        <v>-3.8393773138523104E-13</v>
      </c>
      <c r="AK185" s="232">
        <f t="shared" si="99"/>
        <v>1.9690000000003842</v>
      </c>
      <c r="AL185" s="568" t="s">
        <v>1382</v>
      </c>
      <c r="AM185" s="568" t="s">
        <v>1383</v>
      </c>
      <c r="AN185" s="568">
        <v>1.79</v>
      </c>
      <c r="AO185" s="568">
        <v>1.79</v>
      </c>
      <c r="AP185" s="568">
        <v>1.79</v>
      </c>
    </row>
    <row r="186" spans="1:42" ht="15.75">
      <c r="C186" s="3"/>
      <c r="D186" s="3"/>
      <c r="E186" s="3"/>
      <c r="F186" s="3"/>
      <c r="G186" s="3"/>
      <c r="H186" s="3"/>
      <c r="I186" s="3"/>
      <c r="J186" s="3" t="s">
        <v>943</v>
      </c>
      <c r="K186" s="3" t="s">
        <v>1540</v>
      </c>
      <c r="L186" s="226" t="s">
        <v>1380</v>
      </c>
      <c r="M186" s="226" t="s">
        <v>1384</v>
      </c>
      <c r="O186" s="564" t="str">
        <f t="shared" si="102"/>
        <v>197/22:00</v>
      </c>
      <c r="P186" s="179" t="str">
        <f t="shared" si="103"/>
        <v>197_3</v>
      </c>
      <c r="Q186" s="104">
        <f t="shared" si="104"/>
        <v>600955776.88964844</v>
      </c>
      <c r="R186" s="104">
        <f t="shared" si="100"/>
        <v>601328551.60343111</v>
      </c>
      <c r="S186" s="104">
        <f t="shared" si="95"/>
        <v>372774.71378266811</v>
      </c>
      <c r="T186" s="104">
        <f t="shared" si="101"/>
        <v>1377750.0000001136</v>
      </c>
      <c r="U186" s="3">
        <v>0</v>
      </c>
      <c r="V186" s="97">
        <f t="shared" si="96"/>
        <v>1377750.0000001136</v>
      </c>
      <c r="W186" s="97">
        <f t="shared" si="105"/>
        <v>1377750</v>
      </c>
      <c r="X186" s="266">
        <f t="shared" si="97"/>
        <v>-1.1362135410308838E-7</v>
      </c>
      <c r="Y186" s="266"/>
      <c r="Z186" s="266"/>
      <c r="AA186" s="256">
        <f t="shared" si="106"/>
        <v>11.022</v>
      </c>
      <c r="AB186" s="229"/>
      <c r="AC186" s="308">
        <f t="shared" si="107"/>
        <v>149.50343689077005</v>
      </c>
      <c r="AD186" s="277"/>
      <c r="AE186" s="277"/>
      <c r="AF186" s="277"/>
      <c r="AG186" s="277"/>
      <c r="AH186" s="178" t="str">
        <f t="shared" si="108"/>
        <v>TRK_197_3</v>
      </c>
      <c r="AI186" s="554" t="s">
        <v>1385</v>
      </c>
      <c r="AJ186" s="232">
        <f t="shared" si="98"/>
        <v>-9.0897083282470701E-13</v>
      </c>
      <c r="AK186" s="232">
        <f t="shared" si="99"/>
        <v>11.02200000000091</v>
      </c>
      <c r="AL186" s="568" t="s">
        <v>1386</v>
      </c>
      <c r="AM186" s="568" t="s">
        <v>1387</v>
      </c>
      <c r="AN186" s="568">
        <v>10.02</v>
      </c>
      <c r="AO186" s="568">
        <v>10.02</v>
      </c>
      <c r="AP186" s="568">
        <v>10.02</v>
      </c>
    </row>
    <row r="187" spans="1:42" ht="15.75">
      <c r="A187" t="s">
        <v>1388</v>
      </c>
      <c r="C187" s="3"/>
      <c r="D187" s="3"/>
      <c r="E187" s="3"/>
      <c r="F187" s="3"/>
      <c r="G187" s="3"/>
      <c r="H187" s="3" t="s">
        <v>768</v>
      </c>
      <c r="I187" s="3"/>
      <c r="J187" s="3"/>
      <c r="L187" s="257" t="s">
        <v>1389</v>
      </c>
      <c r="M187" s="257" t="s">
        <v>1390</v>
      </c>
      <c r="O187" s="564" t="str">
        <f t="shared" si="102"/>
        <v>198/14:30</v>
      </c>
      <c r="P187" s="179" t="str">
        <f t="shared" si="103"/>
        <v>198_1</v>
      </c>
      <c r="Q187" s="143">
        <v>612597116</v>
      </c>
      <c r="R187" s="143">
        <f>((W187-U187*$V$33)/$V$20)+Q187</f>
        <v>612615336.37914693</v>
      </c>
      <c r="S187" s="104">
        <f t="shared" si="95"/>
        <v>18220.379146933556</v>
      </c>
      <c r="T187" s="104">
        <f>S187*$V$20</f>
        <v>961125.00000074506</v>
      </c>
      <c r="U187" s="3">
        <v>0</v>
      </c>
      <c r="V187" s="97">
        <f t="shared" si="96"/>
        <v>961125.00000074506</v>
      </c>
      <c r="W187" s="97">
        <f t="shared" si="105"/>
        <v>961125.00000000012</v>
      </c>
      <c r="X187" s="266">
        <f t="shared" si="97"/>
        <v>-7.4494164437055588E-7</v>
      </c>
      <c r="Y187" s="317">
        <f>S187*$V$27+U187*$V$33</f>
        <v>1009712.6777259004</v>
      </c>
      <c r="Z187" s="318">
        <f t="shared" ref="Z187:Z192" si="109">(Y187/V187-1)</f>
        <v>5.0552922590836546E-2</v>
      </c>
      <c r="AA187" s="256">
        <f t="shared" si="106"/>
        <v>7.6890000000000009</v>
      </c>
      <c r="AB187" s="229"/>
      <c r="AC187" s="229"/>
      <c r="AD187" s="297">
        <f>AD168+AK187</f>
        <v>22.679563109241727</v>
      </c>
      <c r="AE187" s="297"/>
      <c r="AF187" s="297"/>
      <c r="AG187" s="297"/>
      <c r="AH187" s="178" t="str">
        <f t="shared" si="108"/>
        <v>TRK_198_1</v>
      </c>
      <c r="AI187" s="554" t="s">
        <v>1391</v>
      </c>
      <c r="AJ187" s="232">
        <f t="shared" si="98"/>
        <v>-5.9595331549644472E-12</v>
      </c>
      <c r="AK187" s="232">
        <f t="shared" si="99"/>
        <v>7.6890000000059606</v>
      </c>
      <c r="AL187" s="568" t="s">
        <v>1392</v>
      </c>
      <c r="AM187" s="568" t="s">
        <v>1393</v>
      </c>
      <c r="AN187" s="568">
        <v>6.99</v>
      </c>
      <c r="AO187" s="568">
        <v>6.99</v>
      </c>
      <c r="AP187" s="568">
        <v>6.99</v>
      </c>
    </row>
    <row r="188" spans="1:42" ht="15.75">
      <c r="A188" t="s">
        <v>1388</v>
      </c>
      <c r="C188" s="3"/>
      <c r="D188" s="3"/>
      <c r="E188" s="3"/>
      <c r="F188" s="3"/>
      <c r="G188" s="3"/>
      <c r="H188" s="3" t="s">
        <v>768</v>
      </c>
      <c r="I188" s="3"/>
      <c r="J188" s="3"/>
      <c r="L188" s="257" t="s">
        <v>1390</v>
      </c>
      <c r="M188" s="257" t="s">
        <v>1394</v>
      </c>
      <c r="O188" s="564" t="str">
        <f t="shared" si="102"/>
        <v>198/22:25</v>
      </c>
      <c r="P188" s="179" t="str">
        <f t="shared" si="103"/>
        <v>198_2</v>
      </c>
      <c r="Q188" s="143">
        <f>R187-3</f>
        <v>612615333.37914693</v>
      </c>
      <c r="R188" s="143">
        <f>((W188-U188*$V$33)/$V$20)+Q188</f>
        <v>612634987.407583</v>
      </c>
      <c r="S188" s="104">
        <f t="shared" si="95"/>
        <v>19654.02843606472</v>
      </c>
      <c r="T188" s="104">
        <f>S188*$V$20</f>
        <v>1036750.000002414</v>
      </c>
      <c r="U188" s="3">
        <v>0</v>
      </c>
      <c r="V188" s="97">
        <f t="shared" si="96"/>
        <v>1036750.000002414</v>
      </c>
      <c r="W188" s="97">
        <f t="shared" si="105"/>
        <v>1036750.0000000001</v>
      </c>
      <c r="X188" s="266">
        <f t="shared" si="97"/>
        <v>-2.4138716980814934E-6</v>
      </c>
      <c r="Y188" s="317">
        <f>S188*$V$27+U188*$V$33</f>
        <v>1089160.7424985857</v>
      </c>
      <c r="Z188" s="318">
        <f t="shared" si="109"/>
        <v>5.0552922590836546E-2</v>
      </c>
      <c r="AA188" s="256">
        <f t="shared" si="106"/>
        <v>8.2940000000000005</v>
      </c>
      <c r="AB188" s="229"/>
      <c r="AC188" s="229"/>
      <c r="AD188" s="297">
        <f>AD187+AK188</f>
        <v>30.973563109261036</v>
      </c>
      <c r="AE188" s="297"/>
      <c r="AF188" s="297"/>
      <c r="AG188" s="297"/>
      <c r="AH188" s="178" t="str">
        <f t="shared" si="108"/>
        <v>TRK_198_2</v>
      </c>
      <c r="AI188" s="554" t="s">
        <v>1395</v>
      </c>
      <c r="AJ188" s="232">
        <f t="shared" si="98"/>
        <v>-1.9310973584651947E-11</v>
      </c>
      <c r="AK188" s="309">
        <f t="shared" si="99"/>
        <v>8.2940000000193113</v>
      </c>
      <c r="AL188" s="568" t="s">
        <v>1396</v>
      </c>
      <c r="AM188" s="568" t="s">
        <v>1397</v>
      </c>
      <c r="AN188" s="568">
        <v>7.54</v>
      </c>
      <c r="AO188" s="568">
        <v>7.54</v>
      </c>
      <c r="AP188" s="568">
        <v>7.54</v>
      </c>
    </row>
    <row r="189" spans="1:42" ht="15.75">
      <c r="A189" t="s">
        <v>1398</v>
      </c>
      <c r="C189" s="3"/>
      <c r="D189" s="3"/>
      <c r="E189" s="3" t="s">
        <v>766</v>
      </c>
      <c r="F189" s="3" t="s">
        <v>764</v>
      </c>
      <c r="G189" s="3"/>
      <c r="H189" s="3" t="s">
        <v>768</v>
      </c>
      <c r="I189" s="3" t="s">
        <v>769</v>
      </c>
      <c r="J189" s="3"/>
      <c r="L189" s="257" t="s">
        <v>1317</v>
      </c>
      <c r="M189" s="257" t="s">
        <v>1399</v>
      </c>
      <c r="O189" s="564" t="str">
        <f t="shared" si="102"/>
        <v>199/14:45</v>
      </c>
      <c r="P189" s="179" t="str">
        <f t="shared" si="103"/>
        <v>199_1</v>
      </c>
      <c r="Q189" s="104">
        <f>R168-1</f>
        <v>613766275</v>
      </c>
      <c r="R189" s="104">
        <f>((W189-U189*$V$33)/$V$17)+Q189</f>
        <v>614172004.08581376</v>
      </c>
      <c r="S189" s="104">
        <f t="shared" si="95"/>
        <v>405729.08581376076</v>
      </c>
      <c r="T189" s="104">
        <f>S189*$V$17</f>
        <v>862125.00000006065</v>
      </c>
      <c r="U189" s="3">
        <v>0</v>
      </c>
      <c r="V189" s="142">
        <f t="shared" si="96"/>
        <v>862125.00000006065</v>
      </c>
      <c r="W189" s="97">
        <f t="shared" si="105"/>
        <v>862125</v>
      </c>
      <c r="X189" s="266">
        <f t="shared" si="97"/>
        <v>-6.0652382671833038E-8</v>
      </c>
      <c r="Y189" s="317">
        <f>S189*$V$26+U189*$V$33</f>
        <v>879676.07011845079</v>
      </c>
      <c r="Z189" s="318">
        <f t="shared" si="109"/>
        <v>2.03579180726563E-2</v>
      </c>
      <c r="AA189" s="256">
        <f t="shared" si="106"/>
        <v>6.8970000000000002</v>
      </c>
      <c r="AB189" s="229"/>
      <c r="AC189" s="229"/>
      <c r="AD189" s="297">
        <f>AD188+AK189</f>
        <v>37.870563109261525</v>
      </c>
      <c r="AE189" s="297"/>
      <c r="AF189" s="297"/>
      <c r="AG189" s="297"/>
      <c r="AH189" s="178" t="str">
        <f t="shared" si="108"/>
        <v>TRK_199_1</v>
      </c>
      <c r="AI189" s="554" t="s">
        <v>1400</v>
      </c>
      <c r="AJ189" s="232">
        <f t="shared" si="98"/>
        <v>-4.8521906137466429E-13</v>
      </c>
      <c r="AK189" s="309">
        <f t="shared" si="99"/>
        <v>6.8970000000004852</v>
      </c>
      <c r="AL189" s="568" t="s">
        <v>1401</v>
      </c>
      <c r="AM189" s="568" t="s">
        <v>1402</v>
      </c>
      <c r="AN189" s="568">
        <v>6.27</v>
      </c>
      <c r="AO189" s="568">
        <v>6.27</v>
      </c>
      <c r="AP189" s="568">
        <v>6.27</v>
      </c>
    </row>
    <row r="190" spans="1:42" ht="15.75">
      <c r="A190" t="s">
        <v>1398</v>
      </c>
      <c r="C190" s="3"/>
      <c r="D190" s="3"/>
      <c r="E190" s="3" t="s">
        <v>766</v>
      </c>
      <c r="F190" s="3" t="s">
        <v>764</v>
      </c>
      <c r="G190" s="3"/>
      <c r="H190" s="3" t="s">
        <v>768</v>
      </c>
      <c r="I190" s="3" t="s">
        <v>769</v>
      </c>
      <c r="J190" s="3"/>
      <c r="L190" s="257" t="s">
        <v>1399</v>
      </c>
      <c r="M190" s="257" t="s">
        <v>1403</v>
      </c>
      <c r="O190" s="564" t="str">
        <f t="shared" si="102"/>
        <v>200/14:40</v>
      </c>
      <c r="P190" s="179" t="str">
        <f t="shared" si="103"/>
        <v>200_1</v>
      </c>
      <c r="Q190" s="104">
        <f>R189-1</f>
        <v>614172003.08581376</v>
      </c>
      <c r="R190" s="104">
        <f>((W190-U190*$V$33)/$V$17)+Q190</f>
        <v>615002874.13236058</v>
      </c>
      <c r="S190" s="104">
        <f t="shared" si="95"/>
        <v>830871.04654681683</v>
      </c>
      <c r="T190" s="104">
        <f>S190*$V$17</f>
        <v>1765500.0000000745</v>
      </c>
      <c r="U190" s="3">
        <v>0</v>
      </c>
      <c r="V190" s="142">
        <f t="shared" si="96"/>
        <v>1765500.0000000745</v>
      </c>
      <c r="W190" s="97">
        <f t="shared" si="105"/>
        <v>1765500</v>
      </c>
      <c r="X190" s="266">
        <f t="shared" si="97"/>
        <v>-7.4505805969238281E-8</v>
      </c>
      <c r="Y190" s="317">
        <f>S190*$V$26+U190*$V$33</f>
        <v>1801441.9043573509</v>
      </c>
      <c r="Z190" s="318">
        <f t="shared" si="109"/>
        <v>2.03579180726563E-2</v>
      </c>
      <c r="AA190" s="256">
        <f t="shared" si="106"/>
        <v>14.124000000000001</v>
      </c>
      <c r="AB190" s="229"/>
      <c r="AC190" s="229"/>
      <c r="AD190" s="297">
        <f>AD189+AK190</f>
        <v>51.994563109262117</v>
      </c>
      <c r="AE190" s="297"/>
      <c r="AF190" s="297"/>
      <c r="AG190" s="297"/>
      <c r="AH190" s="178" t="str">
        <f t="shared" si="108"/>
        <v>TRK_200_1</v>
      </c>
      <c r="AI190" s="554" t="s">
        <v>1404</v>
      </c>
      <c r="AJ190" s="232">
        <f t="shared" si="98"/>
        <v>-5.960464477539063E-13</v>
      </c>
      <c r="AK190" s="232">
        <f t="shared" si="99"/>
        <v>14.124000000000596</v>
      </c>
      <c r="AL190" s="568" t="s">
        <v>1405</v>
      </c>
      <c r="AM190" s="568" t="s">
        <v>1406</v>
      </c>
      <c r="AN190" s="568">
        <v>12.84</v>
      </c>
      <c r="AO190" s="568">
        <v>12.84</v>
      </c>
      <c r="AP190" s="568">
        <v>12.84</v>
      </c>
    </row>
    <row r="191" spans="1:42" ht="15.75">
      <c r="A191" t="s">
        <v>1398</v>
      </c>
      <c r="C191" s="3"/>
      <c r="D191" s="3"/>
      <c r="E191" s="3" t="s">
        <v>766</v>
      </c>
      <c r="F191" s="3" t="s">
        <v>764</v>
      </c>
      <c r="G191" s="3"/>
      <c r="H191" s="3" t="s">
        <v>768</v>
      </c>
      <c r="I191" s="3" t="s">
        <v>769</v>
      </c>
      <c r="J191" s="3"/>
      <c r="L191" s="257" t="s">
        <v>1403</v>
      </c>
      <c r="M191" s="257" t="s">
        <v>1407</v>
      </c>
      <c r="O191" s="564" t="str">
        <f t="shared" si="102"/>
        <v>201/18:40</v>
      </c>
      <c r="P191" s="179" t="str">
        <f t="shared" si="103"/>
        <v>201_1</v>
      </c>
      <c r="Q191" s="104">
        <f>R190-1</f>
        <v>615002873.13236058</v>
      </c>
      <c r="R191" s="307">
        <v>615335513</v>
      </c>
      <c r="S191" s="104">
        <f t="shared" si="95"/>
        <v>332639.86763942242</v>
      </c>
      <c r="T191" s="104">
        <f>S191*$V$17</f>
        <v>706819.2937498563</v>
      </c>
      <c r="U191" s="3">
        <v>0</v>
      </c>
      <c r="V191" s="142">
        <f t="shared" si="96"/>
        <v>706819.2937498563</v>
      </c>
      <c r="W191" s="97">
        <f t="shared" si="105"/>
        <v>1962125.0000000002</v>
      </c>
      <c r="X191" s="266">
        <f t="shared" si="97"/>
        <v>1255305.7062501439</v>
      </c>
      <c r="Y191" s="317">
        <f>S191*$V$26+U191*$V$33</f>
        <v>721208.66302418872</v>
      </c>
      <c r="Z191" s="318">
        <f t="shared" si="109"/>
        <v>2.03579180726563E-2</v>
      </c>
      <c r="AA191" s="256">
        <f t="shared" si="106"/>
        <v>15.697000000000001</v>
      </c>
      <c r="AB191" s="229"/>
      <c r="AC191" s="229"/>
      <c r="AD191" s="297">
        <f>AD190+AK191</f>
        <v>57.649117459260964</v>
      </c>
      <c r="AE191" s="297"/>
      <c r="AF191" s="297"/>
      <c r="AG191" s="297"/>
      <c r="AH191" s="178" t="str">
        <f t="shared" si="108"/>
        <v>TRK_201_1</v>
      </c>
      <c r="AI191" s="554" t="s">
        <v>1408</v>
      </c>
      <c r="AJ191" s="232">
        <f t="shared" si="98"/>
        <v>10.042445650001152</v>
      </c>
      <c r="AK191" s="232">
        <f t="shared" si="99"/>
        <v>5.6545543499988504</v>
      </c>
      <c r="AL191" s="568" t="s">
        <v>1409</v>
      </c>
      <c r="AM191" s="568" t="s">
        <v>1410</v>
      </c>
      <c r="AN191" s="568">
        <v>14.27</v>
      </c>
      <c r="AO191" s="568">
        <v>14.27</v>
      </c>
      <c r="AP191" s="568">
        <v>14.27</v>
      </c>
    </row>
    <row r="192" spans="1:42" ht="15.75">
      <c r="A192" t="s">
        <v>1411</v>
      </c>
      <c r="C192" s="3"/>
      <c r="D192" s="3"/>
      <c r="E192" s="3"/>
      <c r="F192" s="3"/>
      <c r="G192" s="3" t="s">
        <v>765</v>
      </c>
      <c r="H192" s="3"/>
      <c r="I192" s="3"/>
      <c r="J192" s="3"/>
      <c r="L192" s="257" t="s">
        <v>1301</v>
      </c>
      <c r="M192" s="257" t="s">
        <v>1412</v>
      </c>
      <c r="O192" s="564"/>
      <c r="P192" s="179" t="str">
        <f t="shared" si="103"/>
        <v/>
      </c>
      <c r="Q192" s="571">
        <f>Q168</f>
        <v>613559215</v>
      </c>
      <c r="R192" s="104">
        <f>((W192-U192*$V$33)/$V$18)+Q192</f>
        <v>614308973.7444849</v>
      </c>
      <c r="S192" s="104">
        <f t="shared" si="95"/>
        <v>749758.74448490143</v>
      </c>
      <c r="T192" s="104">
        <f>S192*$V$18</f>
        <v>1255305.7062501269</v>
      </c>
      <c r="U192" s="3">
        <v>0</v>
      </c>
      <c r="V192" s="142">
        <f t="shared" si="96"/>
        <v>1255305.7062501269</v>
      </c>
      <c r="W192" s="142">
        <f>X191</f>
        <v>1255305.7062501439</v>
      </c>
      <c r="X192" s="266">
        <f t="shared" si="97"/>
        <v>1.6996636986732483E-8</v>
      </c>
      <c r="Y192" s="317">
        <f>S192*$V$28+U192*$V$33</f>
        <v>1401345.9533638111</v>
      </c>
      <c r="Z192" s="318">
        <f t="shared" si="109"/>
        <v>0.11633839182483952</v>
      </c>
      <c r="AD192" s="297">
        <f>AD191+AK192</f>
        <v>67.691563109261978</v>
      </c>
      <c r="AE192" s="297"/>
      <c r="AF192" s="297"/>
      <c r="AG192" s="297"/>
      <c r="AJ192" s="232">
        <f t="shared" si="98"/>
        <v>1.3597309589385986E-13</v>
      </c>
      <c r="AK192" s="232">
        <f t="shared" si="99"/>
        <v>10.042445650001016</v>
      </c>
    </row>
    <row r="193" spans="1:44">
      <c r="C193" s="3"/>
      <c r="D193" s="3"/>
      <c r="E193" s="3"/>
      <c r="F193" s="3"/>
      <c r="G193" s="3"/>
      <c r="H193" s="3"/>
      <c r="I193" s="3"/>
      <c r="J193" s="3"/>
      <c r="Y193" s="569">
        <f>SUM(Y163:Y192)-SUM(V163:V168)-SUM(V187:V192)</f>
        <v>407232.56431206875</v>
      </c>
      <c r="AA193" s="569">
        <f>Y193*8/1000000</f>
        <v>3.2578605144965498</v>
      </c>
      <c r="AB193" s="572"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554" t="s">
        <v>1419</v>
      </c>
      <c r="AJ194" s="232"/>
      <c r="AK194" s="232"/>
      <c r="AL194" s="568" t="s">
        <v>1420</v>
      </c>
      <c r="AM194" s="568" t="s">
        <v>1421</v>
      </c>
      <c r="AN194" s="573">
        <v>30.53</v>
      </c>
      <c r="AO194" s="573">
        <v>-3.95</v>
      </c>
      <c r="AP194" s="573">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554" t="s">
        <v>1423</v>
      </c>
      <c r="AJ195" s="232">
        <f>X195*8/1000000</f>
        <v>0</v>
      </c>
      <c r="AK195" s="232">
        <f>V195*8/1000000</f>
        <v>0</v>
      </c>
      <c r="AL195" s="568" t="s">
        <v>1424</v>
      </c>
      <c r="AM195" s="568" t="s">
        <v>1425</v>
      </c>
      <c r="AN195" s="573">
        <v>12.81</v>
      </c>
      <c r="AO195" s="573">
        <v>-8.3699999999999992</v>
      </c>
      <c r="AP195" s="573">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564" t="str">
        <f>AI196</f>
        <v>204/12:55</v>
      </c>
      <c r="P196" s="179" t="str">
        <f>MID(AL196,11,5)</f>
        <v>204_1</v>
      </c>
      <c r="Q196" s="104">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554" t="s">
        <v>1427</v>
      </c>
      <c r="AJ196" s="232">
        <f>X196*8/1000000</f>
        <v>-1.6577541828155517E-13</v>
      </c>
      <c r="AK196" s="232">
        <f>V196*8/1000000</f>
        <v>14.157000000000165</v>
      </c>
      <c r="AL196" s="568" t="s">
        <v>1428</v>
      </c>
      <c r="AM196" s="568" t="s">
        <v>1429</v>
      </c>
      <c r="AN196" s="573">
        <v>49.55</v>
      </c>
      <c r="AO196" s="573">
        <v>25.2</v>
      </c>
      <c r="AP196" s="573">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564" t="str">
        <f>AI197</f>
        <v>206/11:24</v>
      </c>
      <c r="P197" s="179" t="str">
        <f>MID(AL197,11,5)</f>
        <v>206_1</v>
      </c>
      <c r="Q197" s="104">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554" t="s">
        <v>1431</v>
      </c>
      <c r="AJ197" s="232">
        <f>X197*8/1000000</f>
        <v>-6.2026083469390872E-13</v>
      </c>
      <c r="AK197" s="232">
        <f>V197*8/1000000</f>
        <v>11.85800000000062</v>
      </c>
      <c r="AL197" s="568" t="s">
        <v>1432</v>
      </c>
      <c r="AM197" s="568" t="s">
        <v>1433</v>
      </c>
      <c r="AN197" s="568">
        <v>10.78</v>
      </c>
      <c r="AO197" s="568">
        <v>10.78</v>
      </c>
      <c r="AP197" s="568">
        <v>10.78</v>
      </c>
    </row>
    <row r="198" spans="1:44" ht="15.75">
      <c r="A198" t="s">
        <v>1318</v>
      </c>
      <c r="C198" s="3"/>
      <c r="D198" s="3"/>
      <c r="E198" s="3"/>
      <c r="F198" s="3"/>
      <c r="G198" s="3"/>
      <c r="H198" s="3"/>
      <c r="I198" s="3"/>
      <c r="J198" s="3" t="s">
        <v>943</v>
      </c>
      <c r="K198" s="3" t="s">
        <v>1540</v>
      </c>
      <c r="L198" s="226" t="s">
        <v>1430</v>
      </c>
      <c r="M198" s="226" t="s">
        <v>1434</v>
      </c>
      <c r="O198" s="564" t="str">
        <f>AI198</f>
        <v>207/15:24</v>
      </c>
      <c r="P198" s="179" t="str">
        <f>MID(AL198,11,5)</f>
        <v>207_1</v>
      </c>
      <c r="Q198" s="104">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554" t="s">
        <v>1435</v>
      </c>
      <c r="AJ198" s="232">
        <f>X198*8/1000000</f>
        <v>-4.7171488404273987E-13</v>
      </c>
      <c r="AK198" s="232">
        <f>V198*8/1000000</f>
        <v>2.5190000000004718</v>
      </c>
      <c r="AL198" s="568" t="s">
        <v>1436</v>
      </c>
      <c r="AM198" s="568" t="s">
        <v>1437</v>
      </c>
      <c r="AN198" s="568">
        <v>2.29</v>
      </c>
      <c r="AO198" s="568">
        <v>2.29</v>
      </c>
      <c r="AP198" s="568">
        <v>2.29</v>
      </c>
    </row>
    <row r="199" spans="1:44">
      <c r="C199" s="3"/>
      <c r="D199" s="3"/>
      <c r="E199" s="3"/>
      <c r="F199" s="3"/>
      <c r="G199" s="3"/>
      <c r="H199" s="3"/>
      <c r="I199" s="3"/>
      <c r="J199" s="3"/>
      <c r="AB199">
        <f>36+42+56+105+AD196</f>
        <v>320.84856310926216</v>
      </c>
      <c r="AC199">
        <f>37+82</f>
        <v>119</v>
      </c>
    </row>
    <row r="200" spans="1:44">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c r="P204" s="81" t="s">
        <v>1451</v>
      </c>
      <c r="Q204" s="81" t="s">
        <v>1452</v>
      </c>
      <c r="R204" s="81">
        <v>615782115</v>
      </c>
      <c r="S204" s="81">
        <v>0</v>
      </c>
      <c r="T204" s="81" t="s">
        <v>1124</v>
      </c>
      <c r="U204" s="81" t="s">
        <v>1450</v>
      </c>
      <c r="V204" s="81" t="s">
        <v>1164</v>
      </c>
      <c r="W204" s="81"/>
      <c r="Z204" s="81" t="s">
        <v>1441</v>
      </c>
    </row>
    <row r="205" spans="1:44">
      <c r="AJ205" t="s">
        <v>1453</v>
      </c>
      <c r="AK205" t="s">
        <v>1454</v>
      </c>
      <c r="AL205" t="s">
        <v>1455</v>
      </c>
      <c r="AM205" t="s">
        <v>1456</v>
      </c>
      <c r="AN205" t="s">
        <v>1457</v>
      </c>
      <c r="AO205" t="s">
        <v>1458</v>
      </c>
      <c r="AP205" s="313" t="s">
        <v>1459</v>
      </c>
      <c r="AQ205" t="s">
        <v>1460</v>
      </c>
    </row>
    <row r="206" spans="1:44">
      <c r="P206" s="59">
        <v>25207</v>
      </c>
      <c r="T206" s="3"/>
      <c r="V206" s="93"/>
      <c r="X206" t="s">
        <v>1010</v>
      </c>
      <c r="AP206" s="313"/>
    </row>
    <row r="207" spans="1:44">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c r="P209" s="224" t="s">
        <v>1469</v>
      </c>
      <c r="Q209" s="224" t="s">
        <v>1470</v>
      </c>
      <c r="R209" s="224">
        <v>615312896</v>
      </c>
      <c r="S209" s="224">
        <v>0</v>
      </c>
      <c r="T209" s="224" t="s">
        <v>826</v>
      </c>
      <c r="U209" s="224" t="s">
        <v>1465</v>
      </c>
      <c r="V209" s="224" t="s">
        <v>1471</v>
      </c>
      <c r="W209" s="224"/>
      <c r="X209" s="224" t="s">
        <v>1472</v>
      </c>
      <c r="AP209" s="313"/>
    </row>
    <row r="210" spans="1:46">
      <c r="P210" s="224" t="s">
        <v>1473</v>
      </c>
      <c r="Q210" s="224" t="s">
        <v>1474</v>
      </c>
      <c r="R210" s="224">
        <v>615338560</v>
      </c>
      <c r="S210" s="224">
        <v>0</v>
      </c>
      <c r="T210" s="224" t="s">
        <v>826</v>
      </c>
      <c r="U210" s="224" t="s">
        <v>1475</v>
      </c>
      <c r="V210" s="224" t="s">
        <v>828</v>
      </c>
      <c r="W210" s="224"/>
      <c r="X210" s="224" t="s">
        <v>1476</v>
      </c>
      <c r="AP210" s="313"/>
    </row>
    <row r="211" spans="1:46">
      <c r="P211" s="224" t="s">
        <v>1477</v>
      </c>
      <c r="Q211" s="224" t="s">
        <v>1478</v>
      </c>
      <c r="R211" s="224">
        <v>615339001</v>
      </c>
      <c r="S211" s="224">
        <v>1</v>
      </c>
      <c r="T211" s="224" t="s">
        <v>373</v>
      </c>
      <c r="U211" s="224" t="s">
        <v>1475</v>
      </c>
      <c r="V211" s="224" t="s">
        <v>833</v>
      </c>
      <c r="W211" s="224"/>
      <c r="X211" s="224" t="s">
        <v>1476</v>
      </c>
      <c r="AP211" s="313"/>
    </row>
    <row r="212" spans="1:46">
      <c r="AP212" s="313"/>
    </row>
    <row r="213" spans="1:46" ht="15.75">
      <c r="A213" t="s">
        <v>1318</v>
      </c>
      <c r="C213" s="3"/>
      <c r="D213" s="3"/>
      <c r="E213" s="3"/>
      <c r="F213" s="3"/>
      <c r="G213" s="3"/>
      <c r="H213" s="3"/>
      <c r="I213" s="3"/>
      <c r="J213" s="3" t="s">
        <v>943</v>
      </c>
      <c r="K213" s="3" t="s">
        <v>1540</v>
      </c>
      <c r="L213" s="226" t="s">
        <v>1434</v>
      </c>
      <c r="M213" s="226" t="s">
        <v>1479</v>
      </c>
      <c r="O213" s="564" t="str">
        <f>AI213</f>
        <v>209/22:54</v>
      </c>
      <c r="P213" s="179" t="str">
        <f>MID(AL213,5,5)</f>
        <v>209_2</v>
      </c>
      <c r="Q213" s="104">
        <f>R198-3</f>
        <v>601814786.66621947</v>
      </c>
      <c r="R213" s="104">
        <f>((W213)/$X$9)+Q213</f>
        <v>601824016.27321386</v>
      </c>
      <c r="S213" s="104">
        <f t="shared" ref="S213:S220" si="110">R213-Q213</f>
        <v>9229.6069943904877</v>
      </c>
      <c r="T213" s="104">
        <f>S213*$X$9</f>
        <v>34111.999999914609</v>
      </c>
      <c r="U213" s="3">
        <v>0</v>
      </c>
      <c r="V213" s="97">
        <f t="shared" ref="V213:V220" si="111">T213+U213*$V$33</f>
        <v>34111.999999914609</v>
      </c>
      <c r="W213" s="97">
        <f>AA213*1000000/8</f>
        <v>34112</v>
      </c>
      <c r="X213" s="266">
        <f t="shared" ref="X213:X220" si="112">W213-V213</f>
        <v>8.5390638560056686E-8</v>
      </c>
      <c r="Y213" s="266"/>
      <c r="Z213" s="266"/>
      <c r="AA213" s="256">
        <f>AR213</f>
        <v>0.27289600000000003</v>
      </c>
      <c r="AB213" s="229"/>
      <c r="AC213" s="308">
        <f>AA208+AK213</f>
        <v>0.27289599999931685</v>
      </c>
      <c r="AH213" s="178" t="str">
        <f>AL213</f>
        <v>TRK_209_2</v>
      </c>
      <c r="AI213" s="554" t="s">
        <v>1480</v>
      </c>
      <c r="AJ213" s="232">
        <f t="shared" ref="AJ213:AJ220" si="113">X213*8/1000000</f>
        <v>6.8312510848045349E-13</v>
      </c>
      <c r="AK213" s="232">
        <f t="shared" ref="AK213:AK220" si="114">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564" t="str">
        <f>AI214</f>
        <v>210/20:49</v>
      </c>
      <c r="P214" s="179" t="str">
        <f>MID(AL214,5,5)</f>
        <v>210_2</v>
      </c>
      <c r="Q214" s="104">
        <f>R208-20</f>
        <v>615306096</v>
      </c>
      <c r="R214" s="104">
        <f>R211+20</f>
        <v>615339021</v>
      </c>
      <c r="S214" s="104">
        <f t="shared" si="110"/>
        <v>32925</v>
      </c>
      <c r="T214" s="104">
        <f>W214</f>
        <v>845631</v>
      </c>
      <c r="U214" s="3">
        <v>0</v>
      </c>
      <c r="V214" s="97">
        <f t="shared" si="111"/>
        <v>845631</v>
      </c>
      <c r="W214" s="97">
        <f>AA214*1000000/8</f>
        <v>845631</v>
      </c>
      <c r="X214" s="266">
        <f t="shared" si="112"/>
        <v>0</v>
      </c>
      <c r="Y214" s="266"/>
      <c r="Z214" s="266"/>
      <c r="AA214" s="256">
        <f>AR214</f>
        <v>6.7650480000000002</v>
      </c>
      <c r="AB214" s="229"/>
      <c r="AC214" s="308">
        <f>AC213+AK214</f>
        <v>7.0379439999993174</v>
      </c>
      <c r="AH214" s="178" t="str">
        <f>AL214</f>
        <v>TRK_210_2</v>
      </c>
      <c r="AI214" s="554" t="s">
        <v>1486</v>
      </c>
      <c r="AJ214" s="232">
        <f t="shared" si="113"/>
        <v>0</v>
      </c>
      <c r="AK214" s="232">
        <f t="shared" si="114"/>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564" t="str">
        <f>AI215</f>
        <v>211/13:39</v>
      </c>
      <c r="P215" s="179" t="str">
        <f>MID(AL215,5,5)</f>
        <v>211_1</v>
      </c>
      <c r="Q215" s="104">
        <f>R213-3</f>
        <v>601824013.27321386</v>
      </c>
      <c r="R215" s="104">
        <f>((W215)/$X$9)+Q215</f>
        <v>602046790.36870468</v>
      </c>
      <c r="S215" s="104">
        <f t="shared" si="110"/>
        <v>222777.09549081326</v>
      </c>
      <c r="T215" s="104">
        <f>S215*$X$9</f>
        <v>823368.99999992386</v>
      </c>
      <c r="U215" s="3">
        <v>0</v>
      </c>
      <c r="V215" s="97">
        <f t="shared" si="111"/>
        <v>823368.99999992386</v>
      </c>
      <c r="W215" s="97">
        <f>AA215*1000000/8</f>
        <v>823369</v>
      </c>
      <c r="X215" s="266">
        <f t="shared" si="112"/>
        <v>7.6135620474815369E-8</v>
      </c>
      <c r="Y215" s="266"/>
      <c r="Z215" s="266"/>
      <c r="AA215" s="256">
        <f>AR215</f>
        <v>6.5869520000000001</v>
      </c>
      <c r="AB215" s="229"/>
      <c r="AC215" s="308">
        <f>AC214+AK215</f>
        <v>13.624895999998708</v>
      </c>
      <c r="AH215" s="178" t="str">
        <f>AL215</f>
        <v>TRK_211_1</v>
      </c>
      <c r="AI215" s="554" t="s">
        <v>1490</v>
      </c>
      <c r="AJ215" s="232">
        <f t="shared" si="113"/>
        <v>6.0908496379852291E-13</v>
      </c>
      <c r="AK215" s="232">
        <f t="shared" si="114"/>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564" t="str">
        <f>AI216</f>
        <v>212/08:19</v>
      </c>
      <c r="P216" s="179" t="str">
        <f>MID(AL216,5,5)</f>
        <v>212_1</v>
      </c>
      <c r="Q216" s="104">
        <f>R215-3</f>
        <v>602046787.36870468</v>
      </c>
      <c r="R216" s="104">
        <f>((W216)/$X$9)+Q216</f>
        <v>602076916.71076822</v>
      </c>
      <c r="S216" s="104">
        <f t="shared" si="110"/>
        <v>30129.342063546181</v>
      </c>
      <c r="T216" s="104">
        <f>S216*$X$9</f>
        <v>111356.0000001915</v>
      </c>
      <c r="U216" s="3">
        <v>0</v>
      </c>
      <c r="V216" s="97">
        <f t="shared" si="111"/>
        <v>111356.0000001915</v>
      </c>
      <c r="W216" s="97">
        <f>AA216*1000000/8</f>
        <v>111356</v>
      </c>
      <c r="X216" s="266">
        <f t="shared" si="112"/>
        <v>-1.9150320440530777E-7</v>
      </c>
      <c r="Y216" s="266"/>
      <c r="Z216" s="266"/>
      <c r="AA216" s="256">
        <f>AR216</f>
        <v>0.89084799999999997</v>
      </c>
      <c r="AB216" s="229"/>
      <c r="AC216" s="308">
        <f>AC215+AK216</f>
        <v>14.51574400000024</v>
      </c>
      <c r="AH216" s="178" t="str">
        <f>AL216</f>
        <v>TRK_212_1</v>
      </c>
      <c r="AI216" s="554" t="s">
        <v>1493</v>
      </c>
      <c r="AJ216" s="232">
        <f t="shared" si="113"/>
        <v>-1.5320256352424621E-12</v>
      </c>
      <c r="AK216" s="232">
        <f t="shared" si="114"/>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564" t="str">
        <f>AI217</f>
        <v>212/20:54</v>
      </c>
      <c r="P217" s="179" t="str">
        <f>MID(AL217,5,5)</f>
        <v>212_2</v>
      </c>
      <c r="Q217" s="104">
        <f>R191-1</f>
        <v>615335512</v>
      </c>
      <c r="R217" s="307">
        <f>R194+20</f>
        <v>615338942</v>
      </c>
      <c r="S217" s="104">
        <f t="shared" si="110"/>
        <v>3430</v>
      </c>
      <c r="T217" s="104">
        <f>S217*$V$17</f>
        <v>7288.3331597222032</v>
      </c>
      <c r="U217" s="3">
        <v>0</v>
      </c>
      <c r="V217" s="142">
        <f t="shared" si="111"/>
        <v>7288.3331597222032</v>
      </c>
      <c r="W217" s="97">
        <f>AA217*1000000/8</f>
        <v>1095433</v>
      </c>
      <c r="X217" s="266">
        <f t="shared" si="112"/>
        <v>1088144.6668402778</v>
      </c>
      <c r="Y217" s="317">
        <f>S217*$V$28+U217*$V$33</f>
        <v>6410.8843750000005</v>
      </c>
      <c r="Z217" s="318">
        <f>Y217/V217</f>
        <v>0.87960912797300739</v>
      </c>
      <c r="AA217" s="256">
        <f>AR217</f>
        <v>8.7634640000000008</v>
      </c>
      <c r="AB217" s="229"/>
      <c r="AC217" s="229"/>
      <c r="AD217" s="297">
        <f>AK217</f>
        <v>5.8306665277777628E-2</v>
      </c>
      <c r="AE217" s="297"/>
      <c r="AF217" s="297"/>
      <c r="AG217" s="297"/>
      <c r="AH217" s="178" t="str">
        <f>AL217</f>
        <v>TRK_212_2</v>
      </c>
      <c r="AI217" s="554" t="s">
        <v>1497</v>
      </c>
      <c r="AJ217" s="232">
        <f t="shared" si="113"/>
        <v>8.7051573347222231</v>
      </c>
      <c r="AK217" s="232">
        <f t="shared" si="114"/>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545" t="s">
        <v>1501</v>
      </c>
      <c r="L218" s="257" t="s">
        <v>1502</v>
      </c>
      <c r="M218" s="257" t="s">
        <v>1503</v>
      </c>
      <c r="O218" s="564"/>
      <c r="P218" s="179"/>
      <c r="Q218" s="307">
        <f>R200-20</f>
        <v>615780396</v>
      </c>
      <c r="R218" s="307">
        <f>R223</f>
        <v>615857156</v>
      </c>
      <c r="S218" s="104">
        <f t="shared" si="110"/>
        <v>76760</v>
      </c>
      <c r="T218" s="104">
        <f>S218*$V$15</f>
        <v>132922.73333333287</v>
      </c>
      <c r="U218" s="3">
        <v>1</v>
      </c>
      <c r="V218" s="142">
        <f t="shared" si="111"/>
        <v>330297.73333333287</v>
      </c>
      <c r="W218" s="142">
        <f>X217</f>
        <v>1088144.6668402778</v>
      </c>
      <c r="X218" s="266">
        <f t="shared" si="112"/>
        <v>757846.93350694492</v>
      </c>
      <c r="Y218" s="317">
        <f>S218*$V$28+U218*$V$33</f>
        <v>340844.23750000005</v>
      </c>
      <c r="Z218" s="318">
        <f>Y218/V218</f>
        <v>1.0319302953133613</v>
      </c>
      <c r="AA218" s="256"/>
      <c r="AB218" s="229"/>
      <c r="AC218" s="229"/>
      <c r="AD218" s="297">
        <f>AK218+AD217</f>
        <v>2.7006885319444409</v>
      </c>
      <c r="AE218" s="297"/>
      <c r="AF218" s="297"/>
      <c r="AG218" s="297"/>
      <c r="AH218" s="178"/>
      <c r="AI218" s="554"/>
      <c r="AJ218" s="232">
        <f t="shared" si="113"/>
        <v>6.062775468055559</v>
      </c>
      <c r="AK218" s="232">
        <f t="shared" si="114"/>
        <v>2.6423818666666632</v>
      </c>
    </row>
    <row r="219" spans="1:46" ht="15.75">
      <c r="A219" t="s">
        <v>1504</v>
      </c>
      <c r="C219" s="3">
        <v>104</v>
      </c>
      <c r="D219" s="3">
        <v>105</v>
      </c>
      <c r="E219" s="3" t="s">
        <v>766</v>
      </c>
      <c r="F219" s="3" t="s">
        <v>764</v>
      </c>
      <c r="G219" s="3"/>
      <c r="H219" s="3" t="s">
        <v>768</v>
      </c>
      <c r="I219" s="3" t="s">
        <v>769</v>
      </c>
      <c r="J219" s="3"/>
      <c r="L219" s="257" t="s">
        <v>1503</v>
      </c>
      <c r="M219" s="257" t="s">
        <v>1505</v>
      </c>
      <c r="O219" s="564"/>
      <c r="P219" s="179" t="str">
        <f>MID(AL219,5,5)</f>
        <v/>
      </c>
      <c r="Q219" s="104">
        <f>R218-1</f>
        <v>615857155</v>
      </c>
      <c r="R219" s="104">
        <f>((W219-U219*$V$33)/$V$21)+Q219</f>
        <v>616280773.53132844</v>
      </c>
      <c r="S219" s="104">
        <f t="shared" si="110"/>
        <v>423618.53132843971</v>
      </c>
      <c r="T219" s="104">
        <f>S219*$V$21</f>
        <v>757846.93350702629</v>
      </c>
      <c r="U219" s="3">
        <v>0</v>
      </c>
      <c r="V219" s="142">
        <f t="shared" si="111"/>
        <v>757846.93350702629</v>
      </c>
      <c r="W219" s="314">
        <f>X218</f>
        <v>757846.93350694492</v>
      </c>
      <c r="X219" s="266">
        <f t="shared" si="112"/>
        <v>-8.1374309957027435E-8</v>
      </c>
      <c r="Y219" s="317">
        <f>S219*$V$28+U219*$V$33</f>
        <v>791769.51121106185</v>
      </c>
      <c r="Z219" s="318">
        <f>Y219/V219</f>
        <v>1.044761779990393</v>
      </c>
      <c r="AA219" s="256"/>
      <c r="AB219" s="229"/>
      <c r="AC219" s="229"/>
      <c r="AD219" s="297">
        <f>AK219+AD218</f>
        <v>8.763464000000651</v>
      </c>
      <c r="AE219" s="297"/>
      <c r="AF219" s="297"/>
      <c r="AG219" s="297"/>
      <c r="AJ219" s="232">
        <f t="shared" si="113"/>
        <v>-6.5099447965621945E-13</v>
      </c>
      <c r="AK219" s="232">
        <f t="shared" si="114"/>
        <v>6.06277546805621</v>
      </c>
    </row>
    <row r="220" spans="1:46" ht="15.75">
      <c r="J220" s="3" t="s">
        <v>943</v>
      </c>
      <c r="K220" s="3" t="s">
        <v>1540</v>
      </c>
      <c r="L220" s="226" t="str">
        <f>M216</f>
        <v>048/05:43</v>
      </c>
      <c r="M220" s="226" t="s">
        <v>1507</v>
      </c>
      <c r="O220" s="564" t="str">
        <f>AI220</f>
        <v>213/11:49</v>
      </c>
      <c r="P220" s="179" t="str">
        <f>MID(AL220,5,5)</f>
        <v>213_1</v>
      </c>
      <c r="Q220" s="104">
        <f>R216-3</f>
        <v>602076913.71076822</v>
      </c>
      <c r="R220" s="104">
        <f>((W220)/$X$9)+Q220</f>
        <v>602366037.53526711</v>
      </c>
      <c r="S220" s="104">
        <f t="shared" si="110"/>
        <v>289123.82449889183</v>
      </c>
      <c r="T220" s="104">
        <f>S220*$X$9</f>
        <v>1068582.0000001879</v>
      </c>
      <c r="U220" s="3">
        <v>0</v>
      </c>
      <c r="V220" s="97">
        <f t="shared" si="111"/>
        <v>1068582.0000001879</v>
      </c>
      <c r="W220" s="97">
        <f>AA220*1000000/8</f>
        <v>1068582</v>
      </c>
      <c r="X220" s="266">
        <f t="shared" si="112"/>
        <v>-1.8789432942867279E-7</v>
      </c>
      <c r="Y220" s="266"/>
      <c r="Z220" s="266"/>
      <c r="AA220" s="256">
        <f>AR220</f>
        <v>8.5486559999999994</v>
      </c>
      <c r="AB220" s="229"/>
      <c r="AC220" s="308">
        <f>AA220+AC216</f>
        <v>23.064400000000241</v>
      </c>
      <c r="AD220" s="239">
        <f>AD219+AD218+AD217</f>
        <v>11.52245919722287</v>
      </c>
      <c r="AH220" s="178" t="str">
        <f>AL220</f>
        <v>TRK_213_1</v>
      </c>
      <c r="AI220" s="554" t="s">
        <v>1508</v>
      </c>
      <c r="AJ220" s="232">
        <f t="shared" si="113"/>
        <v>-1.5031546354293823E-12</v>
      </c>
      <c r="AK220" s="232">
        <f t="shared" si="114"/>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c r="AB221">
        <f>AD220+119</f>
        <v>130.52245919722287</v>
      </c>
      <c r="AC221" s="3" t="s">
        <v>1545</v>
      </c>
      <c r="AD221" s="3">
        <v>12</v>
      </c>
      <c r="AE221">
        <f>38-AD221</f>
        <v>26</v>
      </c>
    </row>
    <row r="222" spans="1:46">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c r="A227" s="574"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5.75">
      <c r="A229" t="s">
        <v>1318</v>
      </c>
      <c r="C229" s="3"/>
      <c r="D229" s="3"/>
      <c r="E229" s="3"/>
      <c r="F229" s="3"/>
      <c r="G229" s="3"/>
      <c r="H229" s="3"/>
      <c r="I229" s="3"/>
      <c r="J229" s="3" t="s">
        <v>943</v>
      </c>
      <c r="K229" s="3" t="s">
        <v>1540</v>
      </c>
      <c r="L229" s="226" t="str">
        <f>M220</f>
        <v>051/14:02</v>
      </c>
      <c r="M229" s="226" t="s">
        <v>1551</v>
      </c>
      <c r="O229" s="564" t="s">
        <v>1116</v>
      </c>
      <c r="P229" s="319"/>
      <c r="Q229" s="143">
        <f>R220-3</f>
        <v>602366034.53526711</v>
      </c>
      <c r="R229" s="143">
        <f t="shared" ref="R229:R240" si="115">((W229)/$X$9)+Q229</f>
        <v>602501318.40889537</v>
      </c>
      <c r="S229" s="104">
        <f t="shared" ref="S229:S240" si="116">R229-Q229</f>
        <v>135283.87362825871</v>
      </c>
      <c r="T229" s="104">
        <f t="shared" ref="T229:T240" si="117">S229*$X$9</f>
        <v>500000.00000003958</v>
      </c>
      <c r="U229" s="3">
        <v>0</v>
      </c>
      <c r="V229" s="97">
        <f t="shared" ref="V229:V240" si="118">T229+U229*$V$33</f>
        <v>500000.00000003958</v>
      </c>
      <c r="W229" s="97">
        <f t="shared" ref="W229:W240" si="119">AA229*1000000/8</f>
        <v>500000</v>
      </c>
      <c r="X229" s="266">
        <f t="shared" ref="X229:X240" si="120">W229-V229</f>
        <v>-3.9581209421157837E-8</v>
      </c>
      <c r="Y229" s="266"/>
      <c r="Z229" s="266"/>
      <c r="AA229" s="256">
        <v>4</v>
      </c>
      <c r="AB229" s="229"/>
      <c r="AC229" s="308">
        <f t="shared" ref="AC229:AC240" si="121">AC228+AK229</f>
        <v>4.0000000000003171</v>
      </c>
      <c r="AH229" s="178"/>
      <c r="AI229" s="554"/>
      <c r="AJ229" s="232">
        <f t="shared" ref="AJ229:AJ236" si="122">X229*8/1000000</f>
        <v>-3.1664967536926272E-13</v>
      </c>
      <c r="AK229" s="232">
        <f t="shared" ref="AK229:AK236" si="123">V229*8/1000000</f>
        <v>4.0000000000003171</v>
      </c>
    </row>
    <row r="230" spans="1:45" ht="15.75">
      <c r="A230" t="s">
        <v>1318</v>
      </c>
      <c r="C230" s="3"/>
      <c r="D230" s="3"/>
      <c r="E230" s="3"/>
      <c r="F230" s="3"/>
      <c r="G230" s="3"/>
      <c r="H230" s="3"/>
      <c r="I230" s="3"/>
      <c r="J230" s="3" t="s">
        <v>943</v>
      </c>
      <c r="K230" s="3" t="s">
        <v>1540</v>
      </c>
      <c r="L230" s="226" t="str">
        <f t="shared" ref="L230:L240" si="124">M229</f>
        <v>053/03:37</v>
      </c>
      <c r="M230" s="226" t="s">
        <v>1552</v>
      </c>
      <c r="O230" s="564" t="s">
        <v>1116</v>
      </c>
      <c r="P230" s="319"/>
      <c r="Q230" s="143">
        <f t="shared" ref="Q230:Q240" si="125">R229-3</f>
        <v>602501315.40889537</v>
      </c>
      <c r="R230" s="143">
        <f t="shared" si="115"/>
        <v>602636599.28252363</v>
      </c>
      <c r="S230" s="104">
        <f t="shared" si="116"/>
        <v>135283.87362825871</v>
      </c>
      <c r="T230" s="104">
        <f t="shared" si="117"/>
        <v>500000.00000003958</v>
      </c>
      <c r="U230" s="3">
        <v>0</v>
      </c>
      <c r="V230" s="97">
        <f t="shared" si="118"/>
        <v>500000.00000003958</v>
      </c>
      <c r="W230" s="97">
        <f t="shared" si="119"/>
        <v>500000</v>
      </c>
      <c r="X230" s="266">
        <f t="shared" si="120"/>
        <v>-3.9581209421157837E-8</v>
      </c>
      <c r="Y230" s="266"/>
      <c r="Z230" s="266"/>
      <c r="AA230" s="256">
        <v>4</v>
      </c>
      <c r="AB230" s="229"/>
      <c r="AC230" s="308">
        <f t="shared" si="121"/>
        <v>8.0000000000006342</v>
      </c>
      <c r="AH230" s="178"/>
      <c r="AI230" s="554"/>
      <c r="AJ230" s="232">
        <f t="shared" si="122"/>
        <v>-3.1664967536926272E-13</v>
      </c>
      <c r="AK230" s="232">
        <f t="shared" si="123"/>
        <v>4.0000000000003171</v>
      </c>
    </row>
    <row r="231" spans="1:45" ht="15.75">
      <c r="A231" t="s">
        <v>1318</v>
      </c>
      <c r="C231" s="3"/>
      <c r="D231" s="3"/>
      <c r="E231" s="3"/>
      <c r="F231" s="3"/>
      <c r="G231" s="3"/>
      <c r="H231" s="3"/>
      <c r="I231" s="3"/>
      <c r="J231" s="3" t="s">
        <v>943</v>
      </c>
      <c r="K231" s="3" t="s">
        <v>1540</v>
      </c>
      <c r="L231" s="226" t="str">
        <f t="shared" si="124"/>
        <v>054/17:11</v>
      </c>
      <c r="M231" s="226" t="s">
        <v>1553</v>
      </c>
      <c r="O231" s="564" t="s">
        <v>1116</v>
      </c>
      <c r="P231" s="319"/>
      <c r="Q231" s="143">
        <f t="shared" si="125"/>
        <v>602636596.28252363</v>
      </c>
      <c r="R231" s="143">
        <f t="shared" si="115"/>
        <v>602771880.15615189</v>
      </c>
      <c r="S231" s="104">
        <f t="shared" si="116"/>
        <v>135283.87362825871</v>
      </c>
      <c r="T231" s="104">
        <f t="shared" si="117"/>
        <v>500000.00000003958</v>
      </c>
      <c r="U231" s="3">
        <v>0</v>
      </c>
      <c r="V231" s="97">
        <f t="shared" si="118"/>
        <v>500000.00000003958</v>
      </c>
      <c r="W231" s="97">
        <f t="shared" si="119"/>
        <v>500000</v>
      </c>
      <c r="X231" s="266">
        <f t="shared" si="120"/>
        <v>-3.9581209421157837E-8</v>
      </c>
      <c r="Y231" s="266"/>
      <c r="Z231" s="266"/>
      <c r="AA231" s="256">
        <v>4</v>
      </c>
      <c r="AB231" s="229"/>
      <c r="AC231" s="308">
        <f t="shared" si="121"/>
        <v>12.000000000000952</v>
      </c>
      <c r="AH231" s="178"/>
      <c r="AI231" s="554"/>
      <c r="AJ231" s="232">
        <f t="shared" si="122"/>
        <v>-3.1664967536926272E-13</v>
      </c>
      <c r="AK231" s="232">
        <f t="shared" si="123"/>
        <v>4.0000000000003171</v>
      </c>
    </row>
    <row r="232" spans="1:45" ht="15.75">
      <c r="A232" t="s">
        <v>1318</v>
      </c>
      <c r="C232" s="3"/>
      <c r="D232" s="3"/>
      <c r="E232" s="3"/>
      <c r="F232" s="3"/>
      <c r="G232" s="3"/>
      <c r="H232" s="3"/>
      <c r="I232" s="3"/>
      <c r="J232" s="3" t="s">
        <v>943</v>
      </c>
      <c r="K232" s="3" t="s">
        <v>1540</v>
      </c>
      <c r="L232" s="226" t="str">
        <f t="shared" si="124"/>
        <v>056/05:46</v>
      </c>
      <c r="M232" s="226" t="s">
        <v>1554</v>
      </c>
      <c r="O232" s="564" t="s">
        <v>1116</v>
      </c>
      <c r="P232" s="319"/>
      <c r="Q232" s="143">
        <f t="shared" si="125"/>
        <v>602771877.15615189</v>
      </c>
      <c r="R232" s="143">
        <f t="shared" si="115"/>
        <v>602907161.02978015</v>
      </c>
      <c r="S232" s="104">
        <f t="shared" si="116"/>
        <v>135283.87362825871</v>
      </c>
      <c r="T232" s="104">
        <f t="shared" si="117"/>
        <v>500000.00000003958</v>
      </c>
      <c r="U232" s="3">
        <v>0</v>
      </c>
      <c r="V232" s="97">
        <f t="shared" si="118"/>
        <v>500000.00000003958</v>
      </c>
      <c r="W232" s="97">
        <f t="shared" si="119"/>
        <v>500000</v>
      </c>
      <c r="X232" s="266">
        <f t="shared" si="120"/>
        <v>-3.9581209421157837E-8</v>
      </c>
      <c r="Y232" s="266"/>
      <c r="Z232" s="266"/>
      <c r="AA232" s="256">
        <v>4</v>
      </c>
      <c r="AB232" s="229"/>
      <c r="AC232" s="308">
        <f t="shared" si="121"/>
        <v>16.000000000001268</v>
      </c>
      <c r="AH232" s="178"/>
      <c r="AI232" s="554"/>
      <c r="AJ232" s="232">
        <f t="shared" si="122"/>
        <v>-3.1664967536926272E-13</v>
      </c>
      <c r="AK232" s="232">
        <f t="shared" si="123"/>
        <v>4.0000000000003171</v>
      </c>
    </row>
    <row r="233" spans="1:45" ht="15.75">
      <c r="A233" t="s">
        <v>1318</v>
      </c>
      <c r="C233" s="3"/>
      <c r="D233" s="3"/>
      <c r="E233" s="3"/>
      <c r="F233" s="3"/>
      <c r="G233" s="3"/>
      <c r="H233" s="3"/>
      <c r="I233" s="3"/>
      <c r="J233" s="3" t="s">
        <v>943</v>
      </c>
      <c r="K233" s="3" t="s">
        <v>1540</v>
      </c>
      <c r="L233" s="226" t="str">
        <f t="shared" si="124"/>
        <v>057/20:21</v>
      </c>
      <c r="M233" s="226" t="s">
        <v>1555</v>
      </c>
      <c r="O233" s="564" t="s">
        <v>1116</v>
      </c>
      <c r="P233" s="319"/>
      <c r="Q233" s="143">
        <f t="shared" si="125"/>
        <v>602907158.02978015</v>
      </c>
      <c r="R233" s="143">
        <f t="shared" si="115"/>
        <v>603042441.90340841</v>
      </c>
      <c r="S233" s="104">
        <f t="shared" si="116"/>
        <v>135283.87362825871</v>
      </c>
      <c r="T233" s="104">
        <f t="shared" si="117"/>
        <v>500000.00000003958</v>
      </c>
      <c r="U233" s="3">
        <v>0</v>
      </c>
      <c r="V233" s="97">
        <f t="shared" si="118"/>
        <v>500000.00000003958</v>
      </c>
      <c r="W233" s="97">
        <f t="shared" si="119"/>
        <v>500000</v>
      </c>
      <c r="X233" s="266">
        <f t="shared" si="120"/>
        <v>-3.9581209421157837E-8</v>
      </c>
      <c r="Y233" s="266"/>
      <c r="Z233" s="266"/>
      <c r="AA233" s="256">
        <v>4</v>
      </c>
      <c r="AB233" s="229"/>
      <c r="AC233" s="308">
        <f t="shared" si="121"/>
        <v>20.000000000001585</v>
      </c>
      <c r="AH233" s="178"/>
      <c r="AI233" s="554"/>
      <c r="AJ233" s="232">
        <f t="shared" si="122"/>
        <v>-3.1664967536926272E-13</v>
      </c>
      <c r="AK233" s="232">
        <f t="shared" si="123"/>
        <v>4.0000000000003171</v>
      </c>
    </row>
    <row r="234" spans="1:45" ht="15.75">
      <c r="A234" t="s">
        <v>1318</v>
      </c>
      <c r="C234" s="3"/>
      <c r="D234" s="3"/>
      <c r="E234" s="3"/>
      <c r="F234" s="3"/>
      <c r="G234" s="3"/>
      <c r="H234" s="3"/>
      <c r="I234" s="3"/>
      <c r="J234" s="3" t="s">
        <v>943</v>
      </c>
      <c r="K234" s="3" t="s">
        <v>1540</v>
      </c>
      <c r="L234" s="226" t="str">
        <f t="shared" si="124"/>
        <v>059/09:55</v>
      </c>
      <c r="M234" s="226" t="s">
        <v>1556</v>
      </c>
      <c r="O234" s="564" t="s">
        <v>1116</v>
      </c>
      <c r="P234" s="319"/>
      <c r="Q234" s="143">
        <f t="shared" si="125"/>
        <v>603042438.90340841</v>
      </c>
      <c r="R234" s="143">
        <f t="shared" si="115"/>
        <v>603177722.77703667</v>
      </c>
      <c r="S234" s="104">
        <f t="shared" si="116"/>
        <v>135283.87362825871</v>
      </c>
      <c r="T234" s="104">
        <f t="shared" si="117"/>
        <v>500000.00000003958</v>
      </c>
      <c r="U234" s="3">
        <v>0</v>
      </c>
      <c r="V234" s="97">
        <f t="shared" si="118"/>
        <v>500000.00000003958</v>
      </c>
      <c r="W234" s="97">
        <f t="shared" si="119"/>
        <v>500000</v>
      </c>
      <c r="X234" s="266">
        <f t="shared" si="120"/>
        <v>-3.9581209421157837E-8</v>
      </c>
      <c r="Y234" s="266"/>
      <c r="Z234" s="266"/>
      <c r="AA234" s="256">
        <v>4</v>
      </c>
      <c r="AB234" s="229"/>
      <c r="AC234" s="308">
        <f t="shared" si="121"/>
        <v>24.000000000001901</v>
      </c>
      <c r="AH234" s="178"/>
      <c r="AI234" s="554"/>
      <c r="AJ234" s="232">
        <f t="shared" si="122"/>
        <v>-3.1664967536926272E-13</v>
      </c>
      <c r="AK234" s="232">
        <f t="shared" si="123"/>
        <v>4.0000000000003171</v>
      </c>
    </row>
    <row r="235" spans="1:45" ht="15.75">
      <c r="A235" t="s">
        <v>1318</v>
      </c>
      <c r="C235" s="3"/>
      <c r="D235" s="3"/>
      <c r="E235" s="3"/>
      <c r="F235" s="3"/>
      <c r="G235" s="3"/>
      <c r="H235" s="3"/>
      <c r="I235" s="3"/>
      <c r="J235" s="3" t="s">
        <v>943</v>
      </c>
      <c r="K235" s="3" t="s">
        <v>1540</v>
      </c>
      <c r="L235" s="226" t="str">
        <f t="shared" si="124"/>
        <v>060/23:30</v>
      </c>
      <c r="M235" s="226" t="s">
        <v>1557</v>
      </c>
      <c r="O235" s="564" t="s">
        <v>1116</v>
      </c>
      <c r="P235" s="319"/>
      <c r="Q235" s="143">
        <f t="shared" si="125"/>
        <v>603177719.77703667</v>
      </c>
      <c r="R235" s="143">
        <f t="shared" si="115"/>
        <v>603313003.65066493</v>
      </c>
      <c r="S235" s="104">
        <f t="shared" si="116"/>
        <v>135283.87362825871</v>
      </c>
      <c r="T235" s="104">
        <f t="shared" si="117"/>
        <v>500000.00000003958</v>
      </c>
      <c r="U235" s="3">
        <v>0</v>
      </c>
      <c r="V235" s="97">
        <f t="shared" si="118"/>
        <v>500000.00000003958</v>
      </c>
      <c r="W235" s="97">
        <f t="shared" si="119"/>
        <v>500000</v>
      </c>
      <c r="X235" s="266">
        <f t="shared" si="120"/>
        <v>-3.9581209421157837E-8</v>
      </c>
      <c r="Y235" s="266"/>
      <c r="Z235" s="266"/>
      <c r="AA235" s="256">
        <v>4</v>
      </c>
      <c r="AB235" s="229"/>
      <c r="AC235" s="308">
        <f t="shared" si="121"/>
        <v>28.000000000002217</v>
      </c>
      <c r="AH235" s="178"/>
      <c r="AI235" s="554"/>
      <c r="AJ235" s="232">
        <f t="shared" si="122"/>
        <v>-3.1664967536926272E-13</v>
      </c>
      <c r="AK235" s="232">
        <f t="shared" si="123"/>
        <v>4.0000000000003171</v>
      </c>
    </row>
    <row r="236" spans="1:45" ht="15.75">
      <c r="A236" t="s">
        <v>1318</v>
      </c>
      <c r="C236" s="3"/>
      <c r="D236" s="3"/>
      <c r="E236" s="3"/>
      <c r="F236" s="3"/>
      <c r="G236" s="3"/>
      <c r="H236" s="3"/>
      <c r="I236" s="3"/>
      <c r="J236" s="3" t="s">
        <v>943</v>
      </c>
      <c r="K236" s="3" t="s">
        <v>1540</v>
      </c>
      <c r="L236" s="226" t="str">
        <f t="shared" si="124"/>
        <v>062/13:05</v>
      </c>
      <c r="M236" s="226" t="s">
        <v>1558</v>
      </c>
      <c r="O236" s="564" t="s">
        <v>1116</v>
      </c>
      <c r="P236" s="319"/>
      <c r="Q236" s="143">
        <f t="shared" si="125"/>
        <v>603313000.65066493</v>
      </c>
      <c r="R236" s="143">
        <f t="shared" si="115"/>
        <v>603448284.52429318</v>
      </c>
      <c r="S236" s="104">
        <f t="shared" si="116"/>
        <v>135283.87362825871</v>
      </c>
      <c r="T236" s="104">
        <f t="shared" si="117"/>
        <v>500000.00000003958</v>
      </c>
      <c r="U236" s="3">
        <v>0</v>
      </c>
      <c r="V236" s="97">
        <f t="shared" si="118"/>
        <v>500000.00000003958</v>
      </c>
      <c r="W236" s="97">
        <f t="shared" si="119"/>
        <v>500000</v>
      </c>
      <c r="X236" s="266">
        <f t="shared" si="120"/>
        <v>-3.9581209421157837E-8</v>
      </c>
      <c r="Y236" s="266"/>
      <c r="Z236" s="266"/>
      <c r="AA236" s="256">
        <v>4</v>
      </c>
      <c r="AB236" s="229"/>
      <c r="AC236" s="308">
        <f t="shared" si="121"/>
        <v>32.000000000002537</v>
      </c>
      <c r="AH236" s="178"/>
      <c r="AI236" s="554"/>
      <c r="AJ236" s="232">
        <f t="shared" si="122"/>
        <v>-3.1664967536926272E-13</v>
      </c>
      <c r="AK236" s="232">
        <f t="shared" si="123"/>
        <v>4.0000000000003171</v>
      </c>
    </row>
    <row r="237" spans="1:45" ht="15.75">
      <c r="A237" t="s">
        <v>1318</v>
      </c>
      <c r="C237" s="3"/>
      <c r="D237" s="3"/>
      <c r="E237" s="3"/>
      <c r="F237" s="3"/>
      <c r="G237" s="3"/>
      <c r="H237" s="3"/>
      <c r="I237" s="3" t="s">
        <v>1559</v>
      </c>
      <c r="J237" s="3" t="s">
        <v>943</v>
      </c>
      <c r="K237" s="3" t="s">
        <v>1540</v>
      </c>
      <c r="L237" s="226" t="str">
        <f t="shared" si="124"/>
        <v>064/02:39</v>
      </c>
      <c r="M237" s="226" t="s">
        <v>1560</v>
      </c>
      <c r="O237" s="564" t="s">
        <v>1116</v>
      </c>
      <c r="P237" s="319"/>
      <c r="Q237" s="143">
        <f t="shared" si="125"/>
        <v>603448281.52429318</v>
      </c>
      <c r="R237" s="143">
        <f t="shared" si="115"/>
        <v>603583565.39792144</v>
      </c>
      <c r="S237" s="104">
        <f t="shared" si="116"/>
        <v>135283.87362825871</v>
      </c>
      <c r="T237" s="104">
        <f t="shared" si="117"/>
        <v>500000.00000003958</v>
      </c>
      <c r="U237" s="3">
        <v>0</v>
      </c>
      <c r="V237" s="97">
        <f t="shared" si="118"/>
        <v>500000.00000003958</v>
      </c>
      <c r="W237" s="97">
        <f t="shared" si="119"/>
        <v>500000</v>
      </c>
      <c r="X237" s="266">
        <f t="shared" si="120"/>
        <v>-3.9581209421157837E-8</v>
      </c>
      <c r="Y237" s="266"/>
      <c r="Z237" s="266"/>
      <c r="AA237" s="256">
        <v>4</v>
      </c>
      <c r="AB237" s="229"/>
      <c r="AC237" s="308">
        <f t="shared" si="121"/>
        <v>32.000000000002537</v>
      </c>
    </row>
    <row r="238" spans="1:45" ht="15.75">
      <c r="A238" t="s">
        <v>1318</v>
      </c>
      <c r="C238" s="3"/>
      <c r="D238" s="3"/>
      <c r="E238" s="3"/>
      <c r="F238" s="3"/>
      <c r="G238" s="3"/>
      <c r="H238" s="3"/>
      <c r="I238" s="3" t="s">
        <v>1559</v>
      </c>
      <c r="J238" s="3" t="s">
        <v>943</v>
      </c>
      <c r="K238" s="3" t="s">
        <v>1540</v>
      </c>
      <c r="L238" s="226" t="str">
        <f t="shared" si="124"/>
        <v>066/15:58</v>
      </c>
      <c r="M238" s="226" t="s">
        <v>1561</v>
      </c>
      <c r="O238" s="564" t="s">
        <v>1116</v>
      </c>
      <c r="P238" s="319"/>
      <c r="Q238" s="143">
        <f t="shared" si="125"/>
        <v>603583562.39792144</v>
      </c>
      <c r="R238" s="143">
        <f t="shared" si="115"/>
        <v>603718846.2715497</v>
      </c>
      <c r="S238" s="104">
        <f t="shared" si="116"/>
        <v>135283.87362825871</v>
      </c>
      <c r="T238" s="104">
        <f t="shared" si="117"/>
        <v>500000.00000003958</v>
      </c>
      <c r="U238" s="3">
        <v>0</v>
      </c>
      <c r="V238" s="97">
        <f t="shared" si="118"/>
        <v>500000.00000003958</v>
      </c>
      <c r="W238" s="97">
        <f t="shared" si="119"/>
        <v>500000</v>
      </c>
      <c r="X238" s="266">
        <f t="shared" si="120"/>
        <v>-3.9581209421157837E-8</v>
      </c>
      <c r="Y238" s="266"/>
      <c r="Z238" s="266"/>
      <c r="AA238" s="256">
        <v>4</v>
      </c>
      <c r="AB238" s="229"/>
      <c r="AC238" s="308">
        <f t="shared" si="121"/>
        <v>32.000000000002537</v>
      </c>
    </row>
    <row r="239" spans="1:45" ht="15.75">
      <c r="A239" t="s">
        <v>1318</v>
      </c>
      <c r="C239" s="3"/>
      <c r="D239" s="3"/>
      <c r="E239" s="3"/>
      <c r="F239" s="3"/>
      <c r="G239" s="3"/>
      <c r="H239" s="3"/>
      <c r="I239" s="3" t="s">
        <v>1559</v>
      </c>
      <c r="J239" s="3" t="s">
        <v>943</v>
      </c>
      <c r="K239" s="3" t="s">
        <v>1540</v>
      </c>
      <c r="L239" s="226" t="str">
        <f t="shared" si="124"/>
        <v>069/04:77</v>
      </c>
      <c r="M239" s="226" t="s">
        <v>1562</v>
      </c>
      <c r="O239" s="564" t="s">
        <v>1116</v>
      </c>
      <c r="P239" s="319"/>
      <c r="Q239" s="143">
        <f t="shared" si="125"/>
        <v>603718843.2715497</v>
      </c>
      <c r="R239" s="143">
        <f t="shared" si="115"/>
        <v>603854127.14517796</v>
      </c>
      <c r="S239" s="104">
        <f t="shared" si="116"/>
        <v>135283.87362825871</v>
      </c>
      <c r="T239" s="104">
        <f t="shared" si="117"/>
        <v>500000.00000003958</v>
      </c>
      <c r="U239" s="3">
        <v>0</v>
      </c>
      <c r="V239" s="97">
        <f t="shared" si="118"/>
        <v>500000.00000003958</v>
      </c>
      <c r="W239" s="97">
        <f t="shared" si="119"/>
        <v>500000</v>
      </c>
      <c r="X239" s="266">
        <f t="shared" si="120"/>
        <v>-3.9581209421157837E-8</v>
      </c>
      <c r="Y239" s="266"/>
      <c r="Z239" s="266"/>
      <c r="AA239" s="256">
        <v>4</v>
      </c>
      <c r="AB239" s="229"/>
      <c r="AC239" s="308">
        <f t="shared" si="121"/>
        <v>32.000000000002537</v>
      </c>
    </row>
    <row r="240" spans="1:45" ht="15.75">
      <c r="A240" t="s">
        <v>1318</v>
      </c>
      <c r="C240" s="3"/>
      <c r="D240" s="3"/>
      <c r="E240" s="3"/>
      <c r="F240" s="3"/>
      <c r="G240" s="3"/>
      <c r="H240" s="3"/>
      <c r="I240" s="3" t="s">
        <v>1559</v>
      </c>
      <c r="J240" s="3" t="s">
        <v>943</v>
      </c>
      <c r="K240" s="3" t="s">
        <v>1540</v>
      </c>
      <c r="L240" s="226" t="str">
        <f t="shared" si="124"/>
        <v>071/18:36</v>
      </c>
      <c r="M240" s="393" t="s">
        <v>1563</v>
      </c>
      <c r="N240" s="3" t="s">
        <v>4371</v>
      </c>
      <c r="O240" s="564" t="s">
        <v>1116</v>
      </c>
      <c r="P240" s="319"/>
      <c r="Q240" s="143">
        <f t="shared" si="125"/>
        <v>603854124.14517796</v>
      </c>
      <c r="R240" s="394">
        <f t="shared" si="115"/>
        <v>603989408.01880622</v>
      </c>
      <c r="S240" s="104">
        <f t="shared" si="116"/>
        <v>135283.87362825871</v>
      </c>
      <c r="T240" s="104">
        <f t="shared" si="117"/>
        <v>500000.00000003958</v>
      </c>
      <c r="U240" s="3">
        <v>0</v>
      </c>
      <c r="V240" s="97">
        <f t="shared" si="118"/>
        <v>500000.00000003958</v>
      </c>
      <c r="W240" s="97">
        <f t="shared" si="119"/>
        <v>500000</v>
      </c>
      <c r="X240" s="266">
        <f t="shared" si="120"/>
        <v>-3.9581209421157837E-8</v>
      </c>
      <c r="Y240" s="266"/>
      <c r="Z240" s="266"/>
      <c r="AA240" s="256">
        <v>4</v>
      </c>
      <c r="AB240" s="229"/>
      <c r="AC240" s="308">
        <f t="shared" si="121"/>
        <v>32.000000000002537</v>
      </c>
    </row>
    <row r="242" spans="1:37">
      <c r="C242" s="291" t="s">
        <v>941</v>
      </c>
      <c r="D242" s="291" t="s">
        <v>942</v>
      </c>
      <c r="E242" s="291" t="s">
        <v>766</v>
      </c>
      <c r="F242" s="291" t="s">
        <v>764</v>
      </c>
      <c r="G242" s="291" t="s">
        <v>765</v>
      </c>
      <c r="H242" s="291" t="s">
        <v>768</v>
      </c>
      <c r="I242" s="291" t="s">
        <v>769</v>
      </c>
      <c r="J242" s="291" t="s">
        <v>943</v>
      </c>
      <c r="K242" s="291" t="s">
        <v>1540</v>
      </c>
    </row>
    <row r="244" spans="1:37" ht="15.75">
      <c r="A244" t="s">
        <v>1504</v>
      </c>
      <c r="C244" s="3">
        <v>104</v>
      </c>
      <c r="D244" s="3">
        <v>105</v>
      </c>
      <c r="E244" s="3" t="s">
        <v>766</v>
      </c>
      <c r="F244" s="3" t="s">
        <v>764</v>
      </c>
      <c r="G244" s="3"/>
      <c r="H244" s="3" t="s">
        <v>768</v>
      </c>
      <c r="I244" s="3" t="s">
        <v>769</v>
      </c>
      <c r="J244" s="3"/>
      <c r="L244" s="257" t="s">
        <v>1399</v>
      </c>
      <c r="M244" s="257" t="s">
        <v>1403</v>
      </c>
      <c r="O244" s="564">
        <f t="shared" ref="O244" si="126">AI244</f>
        <v>0</v>
      </c>
      <c r="P244" s="179" t="str">
        <f t="shared" ref="P244" si="127">MID(AL244,11,5)</f>
        <v/>
      </c>
      <c r="Q244" s="104">
        <f>R243-1</f>
        <v>-1</v>
      </c>
      <c r="R244" s="104">
        <f>((W244-U244*$V$33)/$V$17)+Q244</f>
        <v>235306.57477960401</v>
      </c>
      <c r="S244" s="104">
        <f t="shared" ref="S244" si="128">R244-Q244</f>
        <v>235307.57477960401</v>
      </c>
      <c r="T244" s="104">
        <f>S244*$V$17</f>
        <v>500000</v>
      </c>
      <c r="U244" s="3">
        <v>0</v>
      </c>
      <c r="V244" s="142">
        <f t="shared" ref="V244" si="129">T244+U244*$V$33</f>
        <v>500000</v>
      </c>
      <c r="W244" s="97">
        <f t="shared" ref="W244" si="130">AA244*1000000/8</f>
        <v>500000</v>
      </c>
      <c r="X244" s="266">
        <f t="shared" ref="X244" si="131">W244-V244</f>
        <v>0</v>
      </c>
      <c r="Y244" s="317">
        <f>S244*$V$26+U244*$V$33</f>
        <v>510178.95903632819</v>
      </c>
      <c r="Z244" s="318">
        <f t="shared" ref="Z244" si="132">(Y244/V244-1)</f>
        <v>2.03579180726563E-2</v>
      </c>
      <c r="AA244" s="256">
        <v>4</v>
      </c>
      <c r="AB244" s="229"/>
      <c r="AC244" s="229"/>
      <c r="AD244" s="297">
        <f>AK244+AD238</f>
        <v>4</v>
      </c>
      <c r="AE244" s="297"/>
      <c r="AF244" s="297"/>
      <c r="AG244" s="297"/>
      <c r="AJ244" s="232">
        <f>X244*8/1000000</f>
        <v>0</v>
      </c>
      <c r="AK244" s="232">
        <f>V244*8/1000000</f>
        <v>4</v>
      </c>
    </row>
    <row r="252" spans="1:37">
      <c r="V252">
        <f>1236-681</f>
        <v>555</v>
      </c>
      <c r="W252">
        <v>1570</v>
      </c>
      <c r="X252">
        <v>115</v>
      </c>
      <c r="Y252">
        <f>X252+W252+V252</f>
        <v>2240</v>
      </c>
    </row>
    <row r="261" spans="12:24" ht="15.75" thickBot="1"/>
    <row r="262" spans="12:24">
      <c r="P262" s="59">
        <v>26179</v>
      </c>
      <c r="T262" s="3"/>
      <c r="V262" s="93"/>
      <c r="X262" t="s">
        <v>1010</v>
      </c>
    </row>
    <row r="263" spans="12:24">
      <c r="P263" s="73" t="s">
        <v>837</v>
      </c>
      <c r="Q263" s="72" t="s">
        <v>65</v>
      </c>
      <c r="R263" s="73" t="s">
        <v>66</v>
      </c>
      <c r="S263" s="73" t="s">
        <v>67</v>
      </c>
      <c r="T263" s="74" t="s">
        <v>68</v>
      </c>
      <c r="U263" s="3" t="s">
        <v>176</v>
      </c>
      <c r="V263" s="74" t="s">
        <v>265</v>
      </c>
      <c r="W263" s="73" t="s">
        <v>266</v>
      </c>
      <c r="X263" s="73" t="s">
        <v>70</v>
      </c>
    </row>
    <row r="265" spans="12:24">
      <c r="P265" s="575" t="s">
        <v>4049</v>
      </c>
      <c r="Q265" s="576" t="s">
        <v>4050</v>
      </c>
      <c r="R265" s="576">
        <v>644923315</v>
      </c>
      <c r="S265" s="575">
        <v>7</v>
      </c>
      <c r="T265" s="575" t="s">
        <v>373</v>
      </c>
      <c r="U265" s="575" t="s">
        <v>1013</v>
      </c>
      <c r="V265" s="576" t="s">
        <v>866</v>
      </c>
      <c r="W265" s="575" t="s">
        <v>867</v>
      </c>
      <c r="X265" s="575" t="s">
        <v>4051</v>
      </c>
    </row>
    <row r="266" spans="12:24">
      <c r="P266" s="575" t="s">
        <v>4052</v>
      </c>
      <c r="Q266" s="575" t="s">
        <v>4053</v>
      </c>
      <c r="R266" s="575">
        <v>644924995</v>
      </c>
      <c r="S266" s="575">
        <v>0</v>
      </c>
      <c r="T266" s="575" t="s">
        <v>1124</v>
      </c>
      <c r="U266" s="575" t="s">
        <v>4054</v>
      </c>
      <c r="V266" s="575" t="s">
        <v>1517</v>
      </c>
      <c r="W266" s="575"/>
      <c r="X266" s="575" t="s">
        <v>4051</v>
      </c>
    </row>
    <row r="267" spans="12:24">
      <c r="P267" s="575" t="s">
        <v>4055</v>
      </c>
      <c r="Q267" s="575" t="s">
        <v>4056</v>
      </c>
      <c r="R267" s="575">
        <v>644924998</v>
      </c>
      <c r="S267" s="575">
        <v>0</v>
      </c>
      <c r="T267" s="575" t="s">
        <v>1124</v>
      </c>
      <c r="U267" s="575" t="s">
        <v>4054</v>
      </c>
      <c r="V267" s="575" t="s">
        <v>1523</v>
      </c>
      <c r="W267" s="575"/>
      <c r="X267" s="575" t="s">
        <v>4051</v>
      </c>
    </row>
    <row r="268" spans="12:24">
      <c r="P268" s="575" t="s">
        <v>4057</v>
      </c>
      <c r="Q268" s="575" t="s">
        <v>4058</v>
      </c>
      <c r="R268" s="575">
        <v>644925001</v>
      </c>
      <c r="S268" s="575">
        <v>0</v>
      </c>
      <c r="T268" s="575" t="s">
        <v>1124</v>
      </c>
      <c r="U268" s="575" t="s">
        <v>4054</v>
      </c>
      <c r="V268" s="575" t="s">
        <v>1528</v>
      </c>
      <c r="W268" s="575"/>
      <c r="X268" s="575" t="s">
        <v>4051</v>
      </c>
    </row>
    <row r="269" spans="12:24">
      <c r="P269" s="575" t="s">
        <v>4059</v>
      </c>
      <c r="Q269" s="575" t="s">
        <v>4060</v>
      </c>
      <c r="R269" s="575">
        <v>644925004</v>
      </c>
      <c r="S269" s="575">
        <v>0</v>
      </c>
      <c r="T269" s="575" t="s">
        <v>1124</v>
      </c>
      <c r="U269" s="575" t="s">
        <v>4054</v>
      </c>
      <c r="V269" s="575" t="s">
        <v>1164</v>
      </c>
      <c r="W269" s="575"/>
      <c r="X269" s="575" t="s">
        <v>4051</v>
      </c>
    </row>
    <row r="270" spans="12:24">
      <c r="L270">
        <f>265057</f>
        <v>265057</v>
      </c>
      <c r="M270">
        <v>21845</v>
      </c>
      <c r="P270" s="575" t="s">
        <v>4061</v>
      </c>
      <c r="Q270" s="575" t="s">
        <v>4062</v>
      </c>
      <c r="R270" s="575">
        <v>644925055</v>
      </c>
      <c r="S270" s="575">
        <v>0</v>
      </c>
      <c r="T270" s="575" t="s">
        <v>1124</v>
      </c>
      <c r="U270" s="575" t="s">
        <v>4054</v>
      </c>
      <c r="V270" s="576" t="s">
        <v>2584</v>
      </c>
      <c r="W270" s="575"/>
      <c r="X270" s="575" t="s">
        <v>4051</v>
      </c>
    </row>
    <row r="271" spans="12:24">
      <c r="L271">
        <f>L270*8/1000000</f>
        <v>2.1204559999999999</v>
      </c>
      <c r="M271">
        <f>M270*8/1000000</f>
        <v>0.17476</v>
      </c>
      <c r="P271" s="575" t="s">
        <v>4063</v>
      </c>
      <c r="Q271" s="575" t="s">
        <v>4064</v>
      </c>
      <c r="R271" s="575">
        <v>644925655</v>
      </c>
      <c r="S271" s="575">
        <v>0</v>
      </c>
      <c r="T271" s="575" t="s">
        <v>1124</v>
      </c>
      <c r="U271" s="575" t="s">
        <v>4054</v>
      </c>
      <c r="V271" s="575" t="s">
        <v>1533</v>
      </c>
      <c r="W271" s="575"/>
      <c r="X271" s="575" t="s">
        <v>4051</v>
      </c>
    </row>
    <row r="272" spans="12:24">
      <c r="P272" s="575" t="s">
        <v>4065</v>
      </c>
      <c r="Q272" s="575" t="s">
        <v>4066</v>
      </c>
      <c r="R272" s="575">
        <v>644926255</v>
      </c>
      <c r="S272" s="575">
        <v>0</v>
      </c>
      <c r="T272" s="575" t="s">
        <v>1124</v>
      </c>
      <c r="U272" s="575" t="s">
        <v>4054</v>
      </c>
      <c r="V272" s="575" t="s">
        <v>4067</v>
      </c>
      <c r="W272" s="575"/>
      <c r="X272" s="575" t="s">
        <v>4051</v>
      </c>
    </row>
    <row r="273" spans="1:43">
      <c r="P273" s="577"/>
      <c r="Q273" s="577"/>
      <c r="R273" s="577"/>
      <c r="S273" s="577"/>
      <c r="T273" s="577"/>
      <c r="U273" s="577"/>
      <c r="V273" s="577"/>
      <c r="W273" s="577"/>
      <c r="X273" s="577"/>
    </row>
    <row r="274" spans="1:43">
      <c r="O274" t="s">
        <v>4155</v>
      </c>
      <c r="P274" s="578" t="s">
        <v>4151</v>
      </c>
      <c r="Q274" s="578" t="s">
        <v>4152</v>
      </c>
      <c r="R274" s="578">
        <v>644288021</v>
      </c>
      <c r="S274" s="578">
        <v>1</v>
      </c>
      <c r="T274" s="578" t="s">
        <v>373</v>
      </c>
      <c r="U274" s="578" t="s">
        <v>4153</v>
      </c>
      <c r="V274" s="578" t="s">
        <v>382</v>
      </c>
      <c r="W274" s="578"/>
      <c r="X274" s="578" t="s">
        <v>4154</v>
      </c>
      <c r="AA274" t="s">
        <v>4160</v>
      </c>
    </row>
    <row r="275" spans="1:43">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5.75">
      <c r="C276" s="3">
        <v>104</v>
      </c>
      <c r="D276" s="3">
        <v>105</v>
      </c>
      <c r="E276" s="3" t="s">
        <v>766</v>
      </c>
      <c r="F276" s="3" t="s">
        <v>764</v>
      </c>
      <c r="G276" s="3" t="s">
        <v>765</v>
      </c>
      <c r="H276" s="3" t="s">
        <v>768</v>
      </c>
      <c r="I276" s="3" t="s">
        <v>769</v>
      </c>
      <c r="L276" s="257" t="s">
        <v>4157</v>
      </c>
      <c r="M276" s="257" t="s">
        <v>4156</v>
      </c>
      <c r="N276" t="s">
        <v>4158</v>
      </c>
      <c r="O276" s="564" t="str">
        <f>AI276</f>
        <v>194/12:27</v>
      </c>
      <c r="P276" s="179" t="str">
        <f>MID(AL276,5,5)</f>
        <v>194_1</v>
      </c>
      <c r="Q276" s="104">
        <f>R276-T276/$V$29</f>
        <v>644187671.24185646</v>
      </c>
      <c r="R276" s="307">
        <f>R274+20</f>
        <v>644288041</v>
      </c>
      <c r="S276" s="104">
        <f t="shared" ref="S276" si="133">R276-Q276</f>
        <v>100369.7581435442</v>
      </c>
      <c r="T276" s="392">
        <f>5.1*1000000/8</f>
        <v>637500</v>
      </c>
      <c r="U276" s="3">
        <v>0</v>
      </c>
      <c r="V276" s="97">
        <f t="shared" ref="V276" si="134">T276+U276*$V$33</f>
        <v>637500</v>
      </c>
      <c r="W276" s="97">
        <f t="shared" ref="W276" si="135">AA276*1000000/8</f>
        <v>1153666.25</v>
      </c>
      <c r="X276" s="266">
        <f t="shared" ref="X276" si="136">W276-V276</f>
        <v>516166.25</v>
      </c>
      <c r="Y276" s="317"/>
      <c r="Z276" s="318"/>
      <c r="AA276" s="256">
        <f>AQ276+0.1</f>
        <v>9.2293299999999991</v>
      </c>
      <c r="AD276" s="391">
        <f>AK276</f>
        <v>5.0999999999999996</v>
      </c>
      <c r="AE276" s="278"/>
      <c r="AH276" s="579" t="str">
        <f>AL276</f>
        <v>TRK_194_1</v>
      </c>
      <c r="AI276" s="580" t="s">
        <v>4101</v>
      </c>
      <c r="AJ276" s="232">
        <f t="shared" ref="AJ276:AJ297" si="137">X276*8/1000000</f>
        <v>4.1293300000000004</v>
      </c>
      <c r="AK276" s="232">
        <f t="shared" ref="AK276:AK297" si="138">V276*8/1000000</f>
        <v>5.0999999999999996</v>
      </c>
      <c r="AL276" s="581" t="s">
        <v>4068</v>
      </c>
      <c r="AM276" s="581" t="s">
        <v>4069</v>
      </c>
      <c r="AN276">
        <v>0.27261099999999999</v>
      </c>
      <c r="AO276">
        <v>1.3100350000000001</v>
      </c>
      <c r="AP276">
        <v>1.0374239999999999</v>
      </c>
      <c r="AQ276" s="545">
        <v>9.1293299999999995</v>
      </c>
    </row>
    <row r="277" spans="1:43" ht="15.75">
      <c r="C277" s="3">
        <v>104</v>
      </c>
      <c r="D277" s="3">
        <v>105</v>
      </c>
      <c r="E277" s="3"/>
      <c r="F277" s="3"/>
      <c r="G277" s="3" t="s">
        <v>765</v>
      </c>
      <c r="H277" s="3"/>
      <c r="I277" s="3"/>
      <c r="L277" s="257" t="s">
        <v>4102</v>
      </c>
      <c r="M277" s="257" t="s">
        <v>4138</v>
      </c>
      <c r="N277" t="s">
        <v>4137</v>
      </c>
      <c r="O277" s="564"/>
      <c r="P277" s="179" t="str">
        <f>MID(AL277,5,5)</f>
        <v/>
      </c>
      <c r="Q277" s="307">
        <f>R265-5</f>
        <v>644923310</v>
      </c>
      <c r="R277" s="104">
        <f>((W277-U277*$V$33)/$V$22)+Q277</f>
        <v>644993181.58951569</v>
      </c>
      <c r="S277" s="104">
        <f t="shared" ref="S277" si="139">R277-Q277</f>
        <v>69871.589515686035</v>
      </c>
      <c r="T277" s="104">
        <f>S277*$V$22</f>
        <v>318791.25000006845</v>
      </c>
      <c r="U277" s="3">
        <v>1</v>
      </c>
      <c r="V277" s="97">
        <f>T277+U277*$V$33</f>
        <v>516166.25000006845</v>
      </c>
      <c r="W277" s="390">
        <f>X276</f>
        <v>516166.25</v>
      </c>
      <c r="X277" s="266">
        <f t="shared" ref="X277" si="140">W277-V277</f>
        <v>-6.8452209234237671E-8</v>
      </c>
      <c r="Y277" s="317"/>
      <c r="Z277" s="318"/>
      <c r="AA277" s="256"/>
      <c r="AD277" s="297">
        <f>AK277</f>
        <v>4.1293300000005475</v>
      </c>
      <c r="AE277" s="278"/>
      <c r="AH277" s="579"/>
      <c r="AI277" s="580"/>
      <c r="AJ277" s="232">
        <f t="shared" ref="AJ277" si="141">X277*8/1000000</f>
        <v>-5.4761767387390135E-13</v>
      </c>
      <c r="AK277" s="232">
        <f t="shared" ref="AK277" si="142">V277*8/1000000</f>
        <v>4.1293300000005475</v>
      </c>
      <c r="AL277" s="581"/>
      <c r="AM277" s="581"/>
      <c r="AQ277" s="545"/>
    </row>
    <row r="278" spans="1:43" ht="15.75">
      <c r="C278" s="3">
        <v>104</v>
      </c>
      <c r="D278" s="3">
        <v>105</v>
      </c>
      <c r="G278" s="3" t="s">
        <v>765</v>
      </c>
      <c r="L278" s="257" t="str">
        <f>M277</f>
        <v>179/22:54</v>
      </c>
      <c r="M278" s="257" t="s">
        <v>4139</v>
      </c>
      <c r="N278" t="s">
        <v>4137</v>
      </c>
      <c r="O278" s="564" t="str">
        <f>AI278</f>
        <v>194/22:57</v>
      </c>
      <c r="P278" s="179" t="str">
        <f>MID(AL278,5,5)</f>
        <v>194_2</v>
      </c>
      <c r="Q278" s="104">
        <f>R277-1</f>
        <v>644993180.58951569</v>
      </c>
      <c r="R278" s="104">
        <f>((W278-U278*$V$33)/$V$22)+Q278</f>
        <v>645404948.53246129</v>
      </c>
      <c r="S278" s="104">
        <f t="shared" ref="S278" si="143">R278-Q278</f>
        <v>411767.94294559956</v>
      </c>
      <c r="T278" s="104">
        <f>S278*$V$22</f>
        <v>1878703.7500000647</v>
      </c>
      <c r="U278" s="3">
        <v>0</v>
      </c>
      <c r="V278" s="97">
        <f t="shared" ref="V278" si="144">T278+U278*$V$33</f>
        <v>1878703.7500000647</v>
      </c>
      <c r="W278" s="97">
        <f t="shared" ref="W278" si="145">AA278*1000000/8</f>
        <v>1878703.75</v>
      </c>
      <c r="X278" s="266">
        <f t="shared" ref="X278" si="146">W278-V278</f>
        <v>-6.4726918935775757E-8</v>
      </c>
      <c r="Y278" s="317"/>
      <c r="Z278" s="318"/>
      <c r="AA278" s="256">
        <f>AQ278</f>
        <v>15.029629999999999</v>
      </c>
      <c r="AD278" s="297">
        <f>AD277+AK278</f>
        <v>19.158960000001066</v>
      </c>
      <c r="AE278" s="278"/>
      <c r="AH278" s="581" t="s">
        <v>4070</v>
      </c>
      <c r="AI278" s="581" t="s">
        <v>4100</v>
      </c>
      <c r="AJ278" s="232">
        <f t="shared" si="137"/>
        <v>-5.1781535148620602E-13</v>
      </c>
      <c r="AK278" s="232">
        <f t="shared" si="138"/>
        <v>15.029630000000518</v>
      </c>
      <c r="AL278" s="581" t="s">
        <v>4070</v>
      </c>
      <c r="AM278" s="581" t="s">
        <v>4071</v>
      </c>
      <c r="AN278">
        <v>0.20042599999999999</v>
      </c>
      <c r="AO278">
        <v>1.9083380000000001</v>
      </c>
      <c r="AP278">
        <v>1.7079120000000001</v>
      </c>
      <c r="AQ278" s="545">
        <v>15.029629999999999</v>
      </c>
    </row>
    <row r="279" spans="1:43" ht="15.75">
      <c r="C279" s="3">
        <v>104</v>
      </c>
      <c r="D279" s="3">
        <v>105</v>
      </c>
      <c r="G279" s="3" t="s">
        <v>765</v>
      </c>
      <c r="L279" s="257" t="str">
        <f>M278</f>
        <v>184/17:17</v>
      </c>
      <c r="M279" s="257" t="s">
        <v>4140</v>
      </c>
      <c r="N279" t="s">
        <v>4137</v>
      </c>
      <c r="O279" s="564" t="str">
        <f>AI279</f>
        <v>195/12:22</v>
      </c>
      <c r="P279" s="179" t="str">
        <f>MID(AL279,5,5)</f>
        <v>195_1</v>
      </c>
      <c r="Q279" s="104">
        <f>R278-1</f>
        <v>645404947.53246129</v>
      </c>
      <c r="R279" s="104">
        <f>((W279-U279*$V$33)/$V$22)+Q279</f>
        <v>645654144.17441666</v>
      </c>
      <c r="S279" s="104">
        <f t="shared" ref="S279" si="147">R279-Q279</f>
        <v>249196.64195537567</v>
      </c>
      <c r="T279" s="104">
        <f>S279*$V$22</f>
        <v>1136967.2499999332</v>
      </c>
      <c r="U279" s="3">
        <v>0</v>
      </c>
      <c r="V279" s="97">
        <f t="shared" ref="V279" si="148">T279+U279*$V$33</f>
        <v>1136967.2499999332</v>
      </c>
      <c r="W279" s="97">
        <f t="shared" ref="W279" si="149">AA279*1000000/8</f>
        <v>1136967.25</v>
      </c>
      <c r="X279" s="266">
        <f t="shared" ref="X279" si="150">W279-V279</f>
        <v>6.6822394728660583E-8</v>
      </c>
      <c r="Y279" s="317"/>
      <c r="Z279" s="318"/>
      <c r="AA279" s="256">
        <f>AQ279</f>
        <v>9.0957380000000008</v>
      </c>
      <c r="AD279" s="297">
        <f>AD278+AK279</f>
        <v>28.254698000000531</v>
      </c>
      <c r="AE279" s="278"/>
      <c r="AH279" s="581" t="s">
        <v>4072</v>
      </c>
      <c r="AI279" s="581" t="s">
        <v>4099</v>
      </c>
      <c r="AJ279" s="232">
        <f t="shared" si="137"/>
        <v>5.3457915782928464E-13</v>
      </c>
      <c r="AK279" s="232">
        <f t="shared" si="138"/>
        <v>9.0957379999994661</v>
      </c>
      <c r="AL279" s="581" t="s">
        <v>4072</v>
      </c>
      <c r="AM279" s="581" t="s">
        <v>4073</v>
      </c>
      <c r="AN279">
        <v>0.37072500000000003</v>
      </c>
      <c r="AO279">
        <v>1.4043319999999999</v>
      </c>
      <c r="AP279">
        <v>1.0336069999999999</v>
      </c>
      <c r="AQ279" s="545">
        <v>9.0957380000000008</v>
      </c>
    </row>
    <row r="280" spans="1:43" ht="15.75">
      <c r="C280" s="3">
        <v>104</v>
      </c>
      <c r="D280" s="3">
        <v>105</v>
      </c>
      <c r="G280" s="3" t="s">
        <v>765</v>
      </c>
      <c r="L280" s="257" t="str">
        <f>M279</f>
        <v>187/14:30</v>
      </c>
      <c r="M280" s="257" t="s">
        <v>4141</v>
      </c>
      <c r="N280" t="s">
        <v>4137</v>
      </c>
      <c r="O280" s="564" t="str">
        <f>AI280</f>
        <v>196/00:36</v>
      </c>
      <c r="P280" s="179" t="str">
        <f>MID(AL280,5,5)</f>
        <v>196_1</v>
      </c>
      <c r="Q280" s="104">
        <f>R279-1</f>
        <v>645654143.17441666</v>
      </c>
      <c r="R280" s="104">
        <f>((W280-U280*$V$33)/$V$22)+Q280</f>
        <v>646084146.11922204</v>
      </c>
      <c r="S280" s="104">
        <f t="shared" ref="S280" si="151">R280-Q280</f>
        <v>430002.94480538368</v>
      </c>
      <c r="T280" s="104">
        <f>S280*$V$22</f>
        <v>1961901.5000001432</v>
      </c>
      <c r="U280" s="3">
        <v>0</v>
      </c>
      <c r="V280" s="97">
        <f t="shared" ref="V280" si="152">T280+U280*$V$33</f>
        <v>1961901.5000001432</v>
      </c>
      <c r="W280" s="97">
        <f t="shared" ref="W280" si="153">AA280*1000000/8</f>
        <v>1961901.5</v>
      </c>
      <c r="X280" s="266">
        <f t="shared" ref="X280" si="154">W280-V280</f>
        <v>-1.4319084584712982E-7</v>
      </c>
      <c r="Y280" s="317"/>
      <c r="Z280" s="318"/>
      <c r="AA280" s="256">
        <f>AQ280</f>
        <v>15.695212</v>
      </c>
      <c r="AD280" s="297">
        <f>AD279+AK280</f>
        <v>43.94991000000168</v>
      </c>
      <c r="AE280" s="278"/>
      <c r="AH280" s="581" t="s">
        <v>4074</v>
      </c>
      <c r="AI280" s="581" t="s">
        <v>4098</v>
      </c>
      <c r="AJ280" s="232">
        <f t="shared" si="137"/>
        <v>-1.1455267667770385E-12</v>
      </c>
      <c r="AK280" s="232">
        <f t="shared" si="138"/>
        <v>15.695212000001145</v>
      </c>
      <c r="AL280" s="581" t="s">
        <v>4074</v>
      </c>
      <c r="AM280" s="581" t="s">
        <v>4075</v>
      </c>
      <c r="AN280">
        <v>0.210508</v>
      </c>
      <c r="AO280">
        <v>1.9940549999999999</v>
      </c>
      <c r="AP280">
        <v>1.783547</v>
      </c>
      <c r="AQ280" s="545">
        <v>15.695212</v>
      </c>
    </row>
    <row r="281" spans="1:43" ht="15.75">
      <c r="O281" t="s">
        <v>4362</v>
      </c>
      <c r="P281" s="582" t="s">
        <v>4106</v>
      </c>
      <c r="Q281" s="582" t="s">
        <v>4107</v>
      </c>
      <c r="R281" s="582">
        <v>645155515</v>
      </c>
      <c r="S281" s="582">
        <v>8</v>
      </c>
      <c r="T281" s="582" t="s">
        <v>373</v>
      </c>
      <c r="U281" s="582" t="s">
        <v>4108</v>
      </c>
      <c r="V281" s="582" t="s">
        <v>816</v>
      </c>
      <c r="W281" s="582" t="s">
        <v>817</v>
      </c>
      <c r="X281" s="582" t="s">
        <v>4109</v>
      </c>
      <c r="AD281" s="297"/>
      <c r="AE281" s="278"/>
      <c r="AH281" s="581"/>
      <c r="AI281" s="581"/>
      <c r="AJ281" s="232"/>
      <c r="AK281" s="232"/>
      <c r="AL281" s="581"/>
      <c r="AM281" s="581"/>
      <c r="AQ281" s="545"/>
    </row>
    <row r="282" spans="1:43" ht="15.75">
      <c r="O282" t="s">
        <v>4115</v>
      </c>
      <c r="P282" s="582" t="s">
        <v>4111</v>
      </c>
      <c r="Q282" s="582" t="s">
        <v>4112</v>
      </c>
      <c r="R282" s="582">
        <v>645161815</v>
      </c>
      <c r="S282" s="582">
        <v>7</v>
      </c>
      <c r="T282" s="582" t="s">
        <v>373</v>
      </c>
      <c r="U282" s="582" t="s">
        <v>4108</v>
      </c>
      <c r="V282" s="582" t="s">
        <v>816</v>
      </c>
      <c r="W282" s="582" t="s">
        <v>817</v>
      </c>
      <c r="X282" s="582" t="s">
        <v>4113</v>
      </c>
      <c r="AD282" s="297"/>
      <c r="AE282" s="278"/>
      <c r="AH282" s="581"/>
      <c r="AI282" s="581"/>
      <c r="AJ282" s="232"/>
      <c r="AK282" s="232"/>
      <c r="AL282" s="581"/>
      <c r="AM282" s="581"/>
      <c r="AQ282" s="545"/>
    </row>
    <row r="283" spans="1:43" ht="15.75">
      <c r="O283" t="s">
        <v>175</v>
      </c>
      <c r="P283" s="583" t="s">
        <v>4161</v>
      </c>
      <c r="Q283" s="583" t="s">
        <v>4162</v>
      </c>
      <c r="R283" s="583">
        <v>645161840</v>
      </c>
      <c r="S283" s="583">
        <v>1</v>
      </c>
      <c r="T283" s="583" t="s">
        <v>373</v>
      </c>
      <c r="U283" s="583" t="s">
        <v>4108</v>
      </c>
      <c r="V283" s="583" t="s">
        <v>833</v>
      </c>
      <c r="W283" s="583"/>
      <c r="X283" s="583" t="s">
        <v>4113</v>
      </c>
      <c r="AD283" s="297"/>
      <c r="AE283" s="278"/>
      <c r="AH283" s="581"/>
      <c r="AI283" s="581"/>
      <c r="AJ283" s="232"/>
      <c r="AK283" s="232"/>
      <c r="AL283" s="581"/>
      <c r="AM283" s="581"/>
      <c r="AQ283" s="545"/>
    </row>
    <row r="284" spans="1:43" ht="15.75">
      <c r="A284" t="s">
        <v>4105</v>
      </c>
      <c r="C284" s="3"/>
      <c r="D284" s="3"/>
      <c r="E284" s="3"/>
      <c r="F284" s="3"/>
      <c r="G284" s="3"/>
      <c r="H284" s="3"/>
      <c r="I284" s="3"/>
      <c r="J284" s="3" t="s">
        <v>943</v>
      </c>
      <c r="K284" s="3" t="s">
        <v>1540</v>
      </c>
      <c r="L284" s="226" t="s">
        <v>4103</v>
      </c>
      <c r="M284" s="226" t="s">
        <v>4104</v>
      </c>
      <c r="N284" t="s">
        <v>4110</v>
      </c>
      <c r="O284" s="564" t="str">
        <f>AI284</f>
        <v>196/12:51</v>
      </c>
      <c r="P284" s="179" t="str">
        <f>MID(AL284,5,5)</f>
        <v>196_2</v>
      </c>
      <c r="Q284" s="387">
        <f>R281-5</f>
        <v>645155510</v>
      </c>
      <c r="R284" s="387">
        <f>R283+20</f>
        <v>645161860</v>
      </c>
      <c r="S284" s="104">
        <f>R284-Q284</f>
        <v>6350</v>
      </c>
      <c r="T284" s="387">
        <f>5.4*1000000/8</f>
        <v>675000</v>
      </c>
      <c r="U284" s="3"/>
      <c r="V284" s="97">
        <f t="shared" ref="V284:V287" si="155">T284+U284*$V$33</f>
        <v>675000</v>
      </c>
      <c r="W284" s="97">
        <f t="shared" ref="W284" si="156">AA284*1000000/8</f>
        <v>1082320.875</v>
      </c>
      <c r="X284" s="266">
        <f>W284-V284</f>
        <v>407320.875</v>
      </c>
      <c r="Y284" s="317"/>
      <c r="Z284" s="318"/>
      <c r="AA284" s="256">
        <f>AQ284</f>
        <v>8.6585669999999997</v>
      </c>
      <c r="AC284" s="308">
        <f>AK284</f>
        <v>5.4</v>
      </c>
      <c r="AD284" t="s">
        <v>1544</v>
      </c>
      <c r="AH284" s="581" t="s">
        <v>4076</v>
      </c>
      <c r="AI284" s="581" t="s">
        <v>4097</v>
      </c>
      <c r="AJ284" s="232">
        <f t="shared" si="137"/>
        <v>3.2585670000000002</v>
      </c>
      <c r="AK284" s="232">
        <f t="shared" si="138"/>
        <v>5.4</v>
      </c>
      <c r="AL284" s="581" t="s">
        <v>4076</v>
      </c>
      <c r="AM284" s="581" t="s">
        <v>4077</v>
      </c>
      <c r="AN284">
        <v>0.21162800000000001</v>
      </c>
      <c r="AO284">
        <v>1.1955560000000001</v>
      </c>
      <c r="AP284">
        <v>0.98392800000000002</v>
      </c>
      <c r="AQ284" s="545">
        <v>8.6585669999999997</v>
      </c>
    </row>
    <row r="285" spans="1:43" ht="15.75">
      <c r="C285" s="3">
        <v>104</v>
      </c>
      <c r="D285" s="3">
        <v>105</v>
      </c>
      <c r="G285" s="3" t="s">
        <v>765</v>
      </c>
      <c r="H285" s="3"/>
      <c r="I285" s="3"/>
      <c r="J285" s="3"/>
      <c r="K285" s="3"/>
      <c r="L285" s="257" t="str">
        <f>M280</f>
        <v>192/13:57</v>
      </c>
      <c r="M285" s="257" t="s">
        <v>4163</v>
      </c>
      <c r="N285" t="s">
        <v>4137</v>
      </c>
      <c r="O285" s="564"/>
      <c r="P285" s="179" t="str">
        <f>MID(AL285,5,5)</f>
        <v/>
      </c>
      <c r="Q285" s="104">
        <f>R280-1</f>
        <v>646084145.11922204</v>
      </c>
      <c r="R285" s="104">
        <f>((W285-U285*$V$33)/$V$22)+Q285</f>
        <v>646173420.3329525</v>
      </c>
      <c r="S285" s="104">
        <f t="shared" ref="S285" si="157">R285-Q285</f>
        <v>89275.213730454445</v>
      </c>
      <c r="T285" s="104">
        <f>S285*$V$22</f>
        <v>407320.87499978225</v>
      </c>
      <c r="U285" s="3">
        <v>0</v>
      </c>
      <c r="V285" s="97">
        <f t="shared" si="155"/>
        <v>407320.87499978225</v>
      </c>
      <c r="W285" s="390">
        <f>X284</f>
        <v>407320.875</v>
      </c>
      <c r="X285" s="266">
        <f t="shared" ref="X285:X287" si="158">W285-V285</f>
        <v>2.1775485947728157E-7</v>
      </c>
      <c r="Y285" s="317"/>
      <c r="Z285" s="318"/>
      <c r="AA285" s="256"/>
      <c r="AD285" s="388">
        <f>AD280+AK285</f>
        <v>47.208476999999938</v>
      </c>
      <c r="AH285" s="581"/>
      <c r="AI285" s="581"/>
      <c r="AJ285" s="232">
        <f t="shared" ref="AJ285" si="159">X285*8/1000000</f>
        <v>1.7420388758182525E-12</v>
      </c>
      <c r="AK285" s="232">
        <f t="shared" ref="AK285" si="160">V285*8/1000000</f>
        <v>3.2585669999982581</v>
      </c>
      <c r="AL285" s="581"/>
      <c r="AM285" s="581"/>
      <c r="AQ285" s="545"/>
    </row>
    <row r="286" spans="1:43" ht="15.75">
      <c r="C286" s="3"/>
      <c r="D286" s="3"/>
      <c r="G286" s="3"/>
      <c r="H286" s="3"/>
      <c r="I286" s="3"/>
      <c r="J286" s="3"/>
      <c r="K286" s="3"/>
      <c r="L286" s="257"/>
      <c r="M286" s="257"/>
      <c r="O286" t="s">
        <v>4131</v>
      </c>
      <c r="P286" s="582" t="s">
        <v>4132</v>
      </c>
      <c r="Q286" s="583" t="s">
        <v>4133</v>
      </c>
      <c r="R286" s="583">
        <v>616842836</v>
      </c>
      <c r="S286" s="582">
        <v>7</v>
      </c>
      <c r="T286" s="582" t="s">
        <v>373</v>
      </c>
      <c r="U286" s="582" t="s">
        <v>4134</v>
      </c>
      <c r="V286" s="582" t="s">
        <v>816</v>
      </c>
      <c r="W286" s="582" t="s">
        <v>817</v>
      </c>
      <c r="X286" s="582" t="s">
        <v>4135</v>
      </c>
      <c r="Y286" s="317"/>
      <c r="Z286" s="318"/>
      <c r="AA286" s="256"/>
      <c r="AD286" s="297"/>
      <c r="AH286" s="581"/>
      <c r="AI286" s="581"/>
      <c r="AJ286" s="232"/>
      <c r="AK286" s="232"/>
      <c r="AL286" s="581"/>
      <c r="AM286" s="581"/>
      <c r="AQ286" s="545"/>
    </row>
    <row r="287" spans="1:43" ht="15.75">
      <c r="C287" s="3"/>
      <c r="D287" s="3"/>
      <c r="G287" s="3"/>
      <c r="H287" s="3"/>
      <c r="I287" s="3"/>
      <c r="J287" s="3" t="s">
        <v>943</v>
      </c>
      <c r="K287" s="3" t="s">
        <v>1540</v>
      </c>
      <c r="L287" s="226" t="s">
        <v>4165</v>
      </c>
      <c r="M287" s="226" t="s">
        <v>4121</v>
      </c>
      <c r="N287" t="s">
        <v>4136</v>
      </c>
      <c r="O287" s="564" t="str">
        <f>AI287</f>
        <v>197/03:26</v>
      </c>
      <c r="P287" s="179" t="str">
        <f>MID(AL287,5,5)</f>
        <v>197_1</v>
      </c>
      <c r="Q287" s="584">
        <f>R240-3</f>
        <v>603989405.01880622</v>
      </c>
      <c r="R287" s="104">
        <f>((W287)/$X$9)+Q287</f>
        <v>604588097.88287854</v>
      </c>
      <c r="S287" s="104">
        <f>R287-Q287</f>
        <v>598692.86407232285</v>
      </c>
      <c r="T287" s="104">
        <f>S287*$X$9</f>
        <v>2212728.1249999357</v>
      </c>
      <c r="U287" s="3">
        <v>0</v>
      </c>
      <c r="V287" s="97">
        <f t="shared" si="155"/>
        <v>2212728.1249999357</v>
      </c>
      <c r="W287" s="97">
        <f>AA287*1000000/8</f>
        <v>2212728.125</v>
      </c>
      <c r="X287" s="266">
        <f t="shared" si="158"/>
        <v>6.4261257648468018E-8</v>
      </c>
      <c r="Y287" s="317"/>
      <c r="Z287" s="318"/>
      <c r="AA287" s="256">
        <f>AQ287</f>
        <v>17.701824999999999</v>
      </c>
      <c r="AC287" s="308">
        <f>AK287</f>
        <v>17.701824999999484</v>
      </c>
      <c r="AD287" s="297"/>
      <c r="AH287" s="581" t="str">
        <f>AL287</f>
        <v>TRK_197_1</v>
      </c>
      <c r="AI287" s="581" t="s">
        <v>4168</v>
      </c>
      <c r="AJ287" s="232">
        <f t="shared" ref="AJ287" si="161">X287*8/1000000</f>
        <v>5.1409006118774412E-13</v>
      </c>
      <c r="AK287" s="232">
        <f t="shared" ref="AK287" si="162">V287*8/1000000</f>
        <v>17.701824999999484</v>
      </c>
      <c r="AL287" s="581" t="s">
        <v>4166</v>
      </c>
      <c r="AM287" s="581" t="s">
        <v>4167</v>
      </c>
      <c r="AN287">
        <v>0.21068500000000001</v>
      </c>
      <c r="AO287">
        <v>2.2222559999999998</v>
      </c>
      <c r="AP287">
        <v>2.011571</v>
      </c>
      <c r="AQ287" s="545">
        <v>17.701824999999999</v>
      </c>
    </row>
    <row r="288" spans="1:43" ht="15.75">
      <c r="N288" t="s">
        <v>4114</v>
      </c>
      <c r="O288" s="564" t="str">
        <f>AI288</f>
        <v>197/15:01</v>
      </c>
      <c r="P288" s="179" t="str">
        <f>MID(AL288,5,5)</f>
        <v>197_2</v>
      </c>
      <c r="Q288" s="143">
        <f>R242-1</f>
        <v>-1</v>
      </c>
      <c r="R288" s="143">
        <f>((W288)/$W$9)+Q288</f>
        <v>170822.03166868188</v>
      </c>
      <c r="S288" s="104">
        <f t="shared" ref="S288:S290" si="163">R288-Q288</f>
        <v>170823.03166868188</v>
      </c>
      <c r="T288" s="104">
        <f>265057+21845+265057</f>
        <v>551959</v>
      </c>
      <c r="U288" s="3"/>
      <c r="V288" s="97">
        <f t="shared" ref="V288:V290" si="164">T288+U288*$V$33</f>
        <v>551959</v>
      </c>
      <c r="W288" s="97">
        <f t="shared" ref="W288" si="165">AA288*1000000/8</f>
        <v>629331.375</v>
      </c>
      <c r="X288" s="266">
        <f>W288-V288</f>
        <v>77372.375</v>
      </c>
      <c r="Y288" s="317"/>
      <c r="Z288" s="318"/>
      <c r="AA288" s="256">
        <f>AQ288</f>
        <v>5.0346510000000002</v>
      </c>
      <c r="AB288">
        <f>X288*8/1000000</f>
        <v>0.61897899999999995</v>
      </c>
      <c r="AC288" t="s">
        <v>4129</v>
      </c>
      <c r="AH288" s="581" t="str">
        <f>AL288</f>
        <v>TRK_197_2</v>
      </c>
      <c r="AI288" s="581" t="s">
        <v>4091</v>
      </c>
      <c r="AJ288" s="232">
        <f t="shared" si="137"/>
        <v>0.61897899999999995</v>
      </c>
      <c r="AK288" s="232">
        <f t="shared" si="138"/>
        <v>4.4156719999999998</v>
      </c>
      <c r="AL288" s="581" t="s">
        <v>628</v>
      </c>
      <c r="AM288" s="581" t="s">
        <v>4078</v>
      </c>
      <c r="AN288">
        <v>0.201819</v>
      </c>
      <c r="AO288">
        <v>0.77393800000000001</v>
      </c>
      <c r="AP288">
        <v>0.57211900000000004</v>
      </c>
      <c r="AQ288" s="545">
        <v>5.0346510000000002</v>
      </c>
    </row>
    <row r="289" spans="3:43" ht="15.75">
      <c r="O289" t="s">
        <v>4146</v>
      </c>
      <c r="P289" s="585" t="s">
        <v>4143</v>
      </c>
      <c r="Q289" s="585" t="s">
        <v>4144</v>
      </c>
      <c r="R289" s="585">
        <v>629506577</v>
      </c>
      <c r="S289" s="585">
        <v>0</v>
      </c>
      <c r="T289" s="585" t="s">
        <v>1124</v>
      </c>
      <c r="U289" s="585" t="s">
        <v>4145</v>
      </c>
      <c r="V289" s="585" t="s">
        <v>1131</v>
      </c>
      <c r="W289" s="585" t="s">
        <v>1132</v>
      </c>
      <c r="X289" s="389"/>
      <c r="Y289" s="317"/>
      <c r="Z289" s="318"/>
      <c r="AA289" s="256"/>
      <c r="AH289" s="581"/>
      <c r="AI289" s="581"/>
      <c r="AJ289" s="232"/>
      <c r="AK289" s="232"/>
      <c r="AL289" s="581"/>
      <c r="AM289" s="581"/>
      <c r="AQ289" s="545"/>
    </row>
    <row r="290" spans="3:43" ht="15.75">
      <c r="C290" s="3">
        <v>104</v>
      </c>
      <c r="D290" s="3">
        <v>105</v>
      </c>
      <c r="G290" s="3" t="s">
        <v>765</v>
      </c>
      <c r="L290" s="257" t="s">
        <v>4142</v>
      </c>
      <c r="M290" s="257" t="s">
        <v>4147</v>
      </c>
      <c r="N290" t="s">
        <v>4146</v>
      </c>
      <c r="P290" s="179" t="str">
        <f>MID(AL290,5,5)</f>
        <v/>
      </c>
      <c r="Q290" s="387">
        <f>R289-5</f>
        <v>629506572</v>
      </c>
      <c r="R290" s="104">
        <f>((W290-U290*$V$33)/$V$22)+Q290</f>
        <v>629523530.21584141</v>
      </c>
      <c r="S290" s="104">
        <f t="shared" si="163"/>
        <v>16958.215841412544</v>
      </c>
      <c r="T290" s="104">
        <f>S290*$V$22</f>
        <v>77372.375000016313</v>
      </c>
      <c r="U290" s="3">
        <v>0</v>
      </c>
      <c r="V290" s="97">
        <f t="shared" si="164"/>
        <v>77372.375000016313</v>
      </c>
      <c r="W290" s="390">
        <f>X288</f>
        <v>77372.375</v>
      </c>
      <c r="X290" s="266">
        <f t="shared" ref="X290:X291" si="166">W290-V290</f>
        <v>-1.6312696970999241E-8</v>
      </c>
      <c r="Y290" s="317"/>
      <c r="Z290" s="318"/>
      <c r="AA290" s="256"/>
      <c r="AD290" s="297">
        <f>AK290</f>
        <v>0.61897900000013051</v>
      </c>
      <c r="AH290" s="581"/>
      <c r="AI290" s="581"/>
      <c r="AJ290" s="232">
        <f t="shared" ref="AJ290" si="167">X290*8/1000000</f>
        <v>-1.3050157576799393E-13</v>
      </c>
      <c r="AK290" s="232">
        <f t="shared" ref="AK290" si="168">V290*8/1000000</f>
        <v>0.61897900000013051</v>
      </c>
      <c r="AL290" s="581"/>
      <c r="AM290" s="581"/>
      <c r="AQ290" s="545"/>
    </row>
    <row r="291" spans="3:43" ht="15.75">
      <c r="C291" s="3">
        <v>104</v>
      </c>
      <c r="D291" s="3">
        <v>105</v>
      </c>
      <c r="G291" s="3" t="s">
        <v>765</v>
      </c>
      <c r="L291" s="257" t="str">
        <f>M290</f>
        <v>25-365/21:47</v>
      </c>
      <c r="M291" s="257" t="s">
        <v>4148</v>
      </c>
      <c r="N291" t="s">
        <v>4146</v>
      </c>
      <c r="O291" s="564" t="str">
        <f>AI291</f>
        <v>198/03:56</v>
      </c>
      <c r="P291" s="179" t="str">
        <f>MID(AL291,5,5)</f>
        <v>198_1</v>
      </c>
      <c r="Q291" s="104">
        <f>R290-1</f>
        <v>629523529.21584141</v>
      </c>
      <c r="R291" s="104">
        <f>((W291-U291*$V$33)/$V$22)+Q291</f>
        <v>630235396.22890353</v>
      </c>
      <c r="S291" s="104">
        <f t="shared" ref="S291" si="169">R291-Q291</f>
        <v>711867.01306211948</v>
      </c>
      <c r="T291" s="104">
        <f>S291*$V$22</f>
        <v>3247914.8749999632</v>
      </c>
      <c r="U291" s="3">
        <v>0</v>
      </c>
      <c r="V291" s="97">
        <f t="shared" ref="V291" si="170">T291+U291*$V$33</f>
        <v>3247914.8749999632</v>
      </c>
      <c r="W291" s="97">
        <f t="shared" ref="W291" si="171">AA291*1000000/8</f>
        <v>3247914.875</v>
      </c>
      <c r="X291" s="266">
        <f t="shared" si="166"/>
        <v>3.6787241697311401E-8</v>
      </c>
      <c r="Y291" s="317"/>
      <c r="Z291" s="318"/>
      <c r="AA291" s="256">
        <f>AQ291</f>
        <v>25.983319000000002</v>
      </c>
      <c r="AD291" s="297">
        <f>AD290+AK291</f>
        <v>26.602297999999838</v>
      </c>
      <c r="AH291" s="581" t="s">
        <v>4079</v>
      </c>
      <c r="AI291" s="581" t="s">
        <v>4092</v>
      </c>
      <c r="AJ291" s="232">
        <f t="shared" si="137"/>
        <v>2.942979335784912E-13</v>
      </c>
      <c r="AK291" s="232">
        <f t="shared" si="138"/>
        <v>25.983318999999707</v>
      </c>
      <c r="AL291" s="581" t="s">
        <v>4079</v>
      </c>
      <c r="AM291" s="581" t="s">
        <v>4080</v>
      </c>
      <c r="AN291">
        <v>0.22420200000000001</v>
      </c>
      <c r="AO291">
        <v>3.1768519999999998</v>
      </c>
      <c r="AP291">
        <v>2.9526500000000002</v>
      </c>
      <c r="AQ291" s="545">
        <v>25.983319000000002</v>
      </c>
    </row>
    <row r="292" spans="3:43" ht="15.75">
      <c r="C292" s="3">
        <v>104</v>
      </c>
      <c r="D292" s="3">
        <v>105</v>
      </c>
      <c r="G292" s="3" t="s">
        <v>765</v>
      </c>
      <c r="L292" s="257" t="str">
        <f>M291</f>
        <v>26-009/03:31</v>
      </c>
      <c r="M292" s="257" t="s">
        <v>4164</v>
      </c>
      <c r="N292" t="s">
        <v>4146</v>
      </c>
      <c r="O292" s="564" t="str">
        <f>AI292</f>
        <v>199/02:36</v>
      </c>
      <c r="P292" s="179" t="str">
        <f>MID(AL292,5,5)</f>
        <v>199_1</v>
      </c>
      <c r="Q292" s="104">
        <f>R291-1</f>
        <v>630235395.22890353</v>
      </c>
      <c r="R292" s="104">
        <f>((W292-U292*$V$33)/$V$22)+Q292</f>
        <v>630695495.94588888</v>
      </c>
      <c r="S292" s="104">
        <f t="shared" ref="S292" si="172">R292-Q292</f>
        <v>460100.71698534489</v>
      </c>
      <c r="T292" s="104">
        <f>S292*$V$22</f>
        <v>2099223.5000000587</v>
      </c>
      <c r="U292" s="3">
        <v>0</v>
      </c>
      <c r="V292" s="97">
        <f t="shared" ref="V292" si="173">T292+U292*$V$33</f>
        <v>2099223.5000000587</v>
      </c>
      <c r="W292" s="97">
        <f t="shared" ref="W292" si="174">AA292*1000000/8</f>
        <v>2099223.5</v>
      </c>
      <c r="X292" s="266">
        <f>W292-V292</f>
        <v>-5.8673322200775146E-8</v>
      </c>
      <c r="Y292" s="317"/>
      <c r="Z292" s="318"/>
      <c r="AA292" s="256">
        <f>AQ292</f>
        <v>16.793787999999999</v>
      </c>
      <c r="AD292" s="297">
        <f>AD291+AK292</f>
        <v>43.396086000000309</v>
      </c>
      <c r="AH292" s="581" t="s">
        <v>4081</v>
      </c>
      <c r="AI292" s="581" t="s">
        <v>4093</v>
      </c>
      <c r="AJ292" s="232">
        <f t="shared" si="137"/>
        <v>-4.6938657760620117E-13</v>
      </c>
      <c r="AK292" s="232">
        <f t="shared" si="138"/>
        <v>16.793788000000468</v>
      </c>
      <c r="AL292" s="581" t="s">
        <v>4081</v>
      </c>
      <c r="AM292" s="581" t="s">
        <v>4082</v>
      </c>
      <c r="AN292">
        <v>0.25603500000000001</v>
      </c>
      <c r="AO292">
        <v>2.1644199999999998</v>
      </c>
      <c r="AP292">
        <v>1.908385</v>
      </c>
      <c r="AQ292" s="545">
        <v>16.793787999999999</v>
      </c>
    </row>
    <row r="293" spans="3:43" ht="15.75">
      <c r="N293" s="17"/>
      <c r="Y293" s="317"/>
      <c r="Z293" s="318"/>
      <c r="AA293" s="256"/>
      <c r="AH293" s="581"/>
      <c r="AI293" s="581"/>
      <c r="AJ293" s="232"/>
      <c r="AK293" s="232"/>
      <c r="AL293" s="581"/>
      <c r="AM293" s="581"/>
      <c r="AQ293" s="545"/>
    </row>
    <row r="294" spans="3:43" ht="15.75">
      <c r="N294" s="17"/>
      <c r="Y294" s="317"/>
      <c r="Z294" s="318"/>
      <c r="AA294" s="256"/>
      <c r="AH294" s="581"/>
      <c r="AI294" s="581"/>
      <c r="AJ294" s="232"/>
      <c r="AK294" s="232"/>
      <c r="AL294" s="581"/>
      <c r="AM294" s="581"/>
      <c r="AQ294" s="545"/>
    </row>
    <row r="295" spans="3:43" ht="15.75">
      <c r="J295" s="3" t="s">
        <v>943</v>
      </c>
      <c r="K295" s="3" t="s">
        <v>1540</v>
      </c>
      <c r="L295" s="226" t="str">
        <f>M287</f>
        <v>25-077/07:16</v>
      </c>
      <c r="M295" s="226" t="s">
        <v>4169</v>
      </c>
      <c r="N295" t="s">
        <v>4136</v>
      </c>
      <c r="O295" s="564" t="str">
        <f>AI295</f>
        <v>199/11:41</v>
      </c>
      <c r="P295" s="179" t="str">
        <f>MID(AL295,5,5)</f>
        <v>199_2</v>
      </c>
      <c r="Q295" s="104">
        <f>R287-3</f>
        <v>604588094.88287854</v>
      </c>
      <c r="R295" s="104">
        <f>((W295)/$X$9)+Q295</f>
        <v>604974375.62836385</v>
      </c>
      <c r="S295" s="104">
        <f>R295-Q295</f>
        <v>386280.74548530579</v>
      </c>
      <c r="T295" s="104">
        <f>S295*$X$9</f>
        <v>1427667.3749998547</v>
      </c>
      <c r="U295" s="3">
        <v>0</v>
      </c>
      <c r="V295" s="97">
        <f t="shared" ref="V295" si="175">T295+U295*$V$33</f>
        <v>1427667.3749998547</v>
      </c>
      <c r="W295" s="97">
        <f>AA295*1000000/8</f>
        <v>1427667.375</v>
      </c>
      <c r="X295" s="266">
        <f t="shared" ref="X295" si="176">W295-V295</f>
        <v>1.4528632164001465E-7</v>
      </c>
      <c r="Y295" s="317"/>
      <c r="Z295" s="318"/>
      <c r="AA295" s="256">
        <f>AQ295</f>
        <v>11.421339</v>
      </c>
      <c r="AC295" s="308">
        <f>AK295+AC287</f>
        <v>29.123163999998322</v>
      </c>
      <c r="AH295" s="581" t="s">
        <v>4083</v>
      </c>
      <c r="AI295" s="581" t="s">
        <v>4094</v>
      </c>
      <c r="AJ295" s="232">
        <f t="shared" si="137"/>
        <v>1.1622905731201172E-12</v>
      </c>
      <c r="AK295" s="232">
        <f t="shared" si="138"/>
        <v>11.421338999998838</v>
      </c>
      <c r="AL295" s="581" t="s">
        <v>4083</v>
      </c>
      <c r="AM295" s="581" t="s">
        <v>4084</v>
      </c>
      <c r="AN295">
        <v>0.18662899999999999</v>
      </c>
      <c r="AO295">
        <v>1.4845079999999999</v>
      </c>
      <c r="AP295">
        <v>1.297879</v>
      </c>
      <c r="AQ295" s="545">
        <v>11.421339</v>
      </c>
    </row>
    <row r="296" spans="3:43" ht="15.75">
      <c r="L296" s="257" t="str">
        <f>M292</f>
        <v>26-014/11:20</v>
      </c>
      <c r="M296" s="257" t="s">
        <v>4149</v>
      </c>
      <c r="N296" t="s">
        <v>4146</v>
      </c>
      <c r="O296" s="564" t="str">
        <f>AI296</f>
        <v>200/13:51</v>
      </c>
      <c r="P296" s="179" t="str">
        <f>MID(AL296,5,5)</f>
        <v>200_1</v>
      </c>
      <c r="Q296" s="104">
        <f>R292-1</f>
        <v>630695494.94588888</v>
      </c>
      <c r="R296" s="104">
        <f>((W296-U296*$V$33)/$V$22)+Q296</f>
        <v>630803343.78936124</v>
      </c>
      <c r="S296" s="104">
        <f t="shared" ref="S296:S297" si="177">R296-Q296</f>
        <v>107848.84347236156</v>
      </c>
      <c r="T296" s="104">
        <f>S296*$V$22</f>
        <v>492063.62500022043</v>
      </c>
      <c r="U296" s="3">
        <v>0</v>
      </c>
      <c r="V296" s="97">
        <f t="shared" ref="V296:V297" si="178">T296+U296*$V$33</f>
        <v>492063.62500022043</v>
      </c>
      <c r="W296" s="97">
        <f t="shared" ref="W296" si="179">AA296*1000000/8</f>
        <v>492063.625</v>
      </c>
      <c r="X296" s="266">
        <f>W296-V296</f>
        <v>-2.2043241187930107E-7</v>
      </c>
      <c r="Y296" s="317"/>
      <c r="Z296" s="318"/>
      <c r="AA296" s="256">
        <f>AQ296</f>
        <v>3.936509</v>
      </c>
      <c r="AD296" s="388">
        <f>AD292+AK296</f>
        <v>47.332595000002073</v>
      </c>
      <c r="AH296" s="581" t="s">
        <v>4085</v>
      </c>
      <c r="AI296" s="581" t="s">
        <v>4095</v>
      </c>
      <c r="AJ296" s="232">
        <f t="shared" si="137"/>
        <v>-1.7634592950344086E-12</v>
      </c>
      <c r="AK296" s="232">
        <f t="shared" si="138"/>
        <v>3.9365090000017635</v>
      </c>
      <c r="AL296" s="581" t="s">
        <v>4085</v>
      </c>
      <c r="AM296" s="581" t="s">
        <v>4086</v>
      </c>
      <c r="AN296">
        <v>0.54563799999999996</v>
      </c>
      <c r="AO296">
        <v>0.99296899999999999</v>
      </c>
      <c r="AP296">
        <v>0.44733099999999998</v>
      </c>
      <c r="AQ296" s="545">
        <v>3.936509</v>
      </c>
    </row>
    <row r="297" spans="3:43" ht="15.75">
      <c r="J297" s="3" t="s">
        <v>943</v>
      </c>
      <c r="K297" s="3" t="s">
        <v>1540</v>
      </c>
      <c r="L297" s="226" t="str">
        <f>M295</f>
        <v>25-081/18:34</v>
      </c>
      <c r="M297" s="226" t="s">
        <v>4126</v>
      </c>
      <c r="N297" t="s">
        <v>4130</v>
      </c>
      <c r="O297" s="564" t="str">
        <f>AI297</f>
        <v>201/06:41</v>
      </c>
      <c r="P297" s="179" t="str">
        <f>MID(AL297,5,5)</f>
        <v>201_1</v>
      </c>
      <c r="Q297" s="104">
        <f>R295-3</f>
        <v>604974372.62836385</v>
      </c>
      <c r="R297" s="387">
        <f>R299</f>
        <v>605079001</v>
      </c>
      <c r="S297" s="104">
        <f t="shared" si="177"/>
        <v>104628.37163615227</v>
      </c>
      <c r="T297" s="104">
        <f>S297*$X$9</f>
        <v>386699.34867353365</v>
      </c>
      <c r="U297" s="3">
        <v>0</v>
      </c>
      <c r="V297" s="97">
        <f t="shared" si="178"/>
        <v>386699.34867353365</v>
      </c>
      <c r="W297" s="97">
        <f>AA297*1000000/8</f>
        <v>632848.5</v>
      </c>
      <c r="X297" s="409">
        <f t="shared" ref="X297" si="180">W297-V297</f>
        <v>246149.15132646635</v>
      </c>
      <c r="Y297" s="317"/>
      <c r="Z297" s="318"/>
      <c r="AA297" s="256">
        <f>AQ297</f>
        <v>5.0627880000000003</v>
      </c>
      <c r="AC297" s="308">
        <f>AC295+AK297</f>
        <v>32.216758789386589</v>
      </c>
      <c r="AH297" s="581" t="s">
        <v>4087</v>
      </c>
      <c r="AI297" s="581" t="s">
        <v>4096</v>
      </c>
      <c r="AJ297" s="232">
        <f t="shared" si="137"/>
        <v>1.9691932106117309</v>
      </c>
      <c r="AK297" s="232">
        <f t="shared" si="138"/>
        <v>3.0935947893882694</v>
      </c>
      <c r="AL297" s="581" t="s">
        <v>4087</v>
      </c>
      <c r="AM297" s="581" t="s">
        <v>4088</v>
      </c>
      <c r="AN297">
        <v>0.24905099999999999</v>
      </c>
      <c r="AO297">
        <v>0.82436799999999999</v>
      </c>
      <c r="AP297">
        <v>0.57531699999999997</v>
      </c>
      <c r="AQ297" s="545">
        <v>5.0627880000000003</v>
      </c>
    </row>
    <row r="298" spans="3:43" ht="15.75">
      <c r="J298" s="3" t="s">
        <v>943</v>
      </c>
      <c r="K298" s="3" t="s">
        <v>1540</v>
      </c>
      <c r="L298" s="226" t="s">
        <v>4174</v>
      </c>
      <c r="M298" s="226" t="s">
        <v>4173</v>
      </c>
      <c r="N298" t="s">
        <v>4172</v>
      </c>
      <c r="O298" s="564"/>
      <c r="P298" s="179" t="str">
        <f>MID(AL298,5,5)</f>
        <v/>
      </c>
      <c r="Q298" s="104">
        <f>R75-3</f>
        <v>608807390.15183246</v>
      </c>
      <c r="R298" s="104">
        <f>((W298)/$S$4)+Q298</f>
        <v>608982856.46091604</v>
      </c>
      <c r="S298" s="104">
        <f t="shared" ref="S298" si="181">R298-Q298</f>
        <v>175466.30908358097</v>
      </c>
      <c r="T298" s="104">
        <f>S298*$S$4</f>
        <v>246149.15132645614</v>
      </c>
      <c r="U298" s="3">
        <v>0</v>
      </c>
      <c r="V298" s="97">
        <f t="shared" ref="V298" si="182">T298+U298*$V$33</f>
        <v>246149.15132645614</v>
      </c>
      <c r="W298" s="396">
        <f>X297</f>
        <v>246149.15132646635</v>
      </c>
      <c r="X298" s="266">
        <f t="shared" ref="X298" si="183">W298-V298</f>
        <v>1.021544449031353E-8</v>
      </c>
      <c r="Y298" s="317"/>
      <c r="Z298" s="318"/>
      <c r="AA298" s="256"/>
      <c r="AC298" s="308">
        <f>AK298</f>
        <v>1.969193210611649</v>
      </c>
      <c r="AJ298" s="232">
        <f t="shared" ref="AJ298" si="184">X298*8/1000000</f>
        <v>8.1723555922508245E-14</v>
      </c>
      <c r="AK298" s="232">
        <f t="shared" ref="AK298" si="185">V298*8/1000000</f>
        <v>1.969193210611649</v>
      </c>
      <c r="AQ298">
        <f>SUM(AQ276:AQ297)</f>
        <v>143.54269600000001</v>
      </c>
    </row>
    <row r="299" spans="3:43">
      <c r="O299" t="s">
        <v>4127</v>
      </c>
      <c r="P299" s="586" t="s">
        <v>4122</v>
      </c>
      <c r="Q299" s="587" t="s">
        <v>4123</v>
      </c>
      <c r="R299" s="587">
        <v>605079001</v>
      </c>
      <c r="S299" s="588">
        <v>1</v>
      </c>
      <c r="T299" s="588" t="s">
        <v>373</v>
      </c>
      <c r="U299" s="588" t="s">
        <v>4124</v>
      </c>
      <c r="V299" s="588" t="s">
        <v>833</v>
      </c>
      <c r="W299" s="588"/>
      <c r="X299" s="588" t="s">
        <v>4125</v>
      </c>
      <c r="AC299" t="s">
        <v>4313</v>
      </c>
      <c r="AD299" t="s">
        <v>4314</v>
      </c>
    </row>
    <row r="300" spans="3:43" ht="15.75">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03">
        <f>AC298+AC297+AC284</f>
        <v>39.585951999998237</v>
      </c>
      <c r="AD300" s="388">
        <f>AD296+AD285+AD276</f>
        <v>99.641072000001998</v>
      </c>
    </row>
    <row r="302" spans="3:43">
      <c r="AC302">
        <f>47.2+47.3+5.4+4.4+5.1+32.2+1.97</f>
        <v>143.57000000000002</v>
      </c>
    </row>
    <row r="304" spans="3:43" ht="15.75" thickBot="1"/>
    <row r="305" spans="3:46">
      <c r="P305" s="59">
        <v>26201</v>
      </c>
      <c r="T305" s="3"/>
      <c r="V305" s="93"/>
      <c r="X305" t="s">
        <v>1010</v>
      </c>
    </row>
    <row r="306" spans="3:46">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5.75">
      <c r="M307" s="589"/>
      <c r="N307" s="398" t="s">
        <v>4243</v>
      </c>
      <c r="O307" s="564" t="str">
        <f>AI307</f>
        <v>205/03:41</v>
      </c>
      <c r="P307" s="179" t="str">
        <f>MID(AL307,5,5)</f>
        <v>205_1</v>
      </c>
      <c r="Q307" s="3">
        <v>645951158</v>
      </c>
      <c r="R307" s="3">
        <v>645951767</v>
      </c>
      <c r="S307" s="104">
        <f t="shared" ref="S307" si="186">R307-Q307</f>
        <v>609</v>
      </c>
      <c r="T307" s="104">
        <v>3578250</v>
      </c>
      <c r="U307" s="3"/>
      <c r="V307" s="97">
        <f t="shared" ref="V307" si="187">T307+U307*$V$33</f>
        <v>3578250</v>
      </c>
      <c r="W307" s="97">
        <f t="shared" ref="W307" si="188">AA307*1000000/8</f>
        <v>454937.39999999997</v>
      </c>
      <c r="X307" s="266">
        <f>W307-V307</f>
        <v>-3123312.6</v>
      </c>
      <c r="Y307" s="317">
        <f>X307*8/1000000</f>
        <v>-24.986500800000002</v>
      </c>
      <c r="Z307" s="318"/>
      <c r="AA307" s="256">
        <f>AR307</f>
        <v>3.6394991999999999</v>
      </c>
      <c r="AC307" s="397">
        <f>AC305+AK307</f>
        <v>28.626000000000001</v>
      </c>
      <c r="AH307" s="581" t="str">
        <f>AL307</f>
        <v>TRK_205_1</v>
      </c>
      <c r="AI307" s="581" t="s">
        <v>4220</v>
      </c>
      <c r="AJ307" s="232">
        <f t="shared" ref="AJ307:AJ377" si="189">X307*8/1000000</f>
        <v>-24.986500800000002</v>
      </c>
      <c r="AK307" s="232">
        <f t="shared" ref="AK307:AK376" si="190">V307*8/1000000</f>
        <v>28.626000000000001</v>
      </c>
      <c r="AL307" s="589" t="s">
        <v>640</v>
      </c>
      <c r="AM307" s="589" t="s">
        <v>4184</v>
      </c>
      <c r="AN307">
        <v>1.348517</v>
      </c>
      <c r="AO307">
        <v>1.8080499999999999</v>
      </c>
      <c r="AP307">
        <v>0.45953300000000002</v>
      </c>
      <c r="AQ307" s="590">
        <v>4.0438879999999999</v>
      </c>
      <c r="AR307">
        <f t="shared" ref="AR307:AR377" si="191">AQ307*0.9</f>
        <v>3.6394991999999999</v>
      </c>
      <c r="AS307" s="589">
        <f>AR307</f>
        <v>3.6394991999999999</v>
      </c>
    </row>
    <row r="308" spans="3:46" ht="15.75">
      <c r="O308" s="564" t="str">
        <f>AI308</f>
        <v>205/22:11</v>
      </c>
      <c r="P308" s="179" t="str">
        <f>MID(AL308,5,5)</f>
        <v>205_2</v>
      </c>
      <c r="Q308" s="3"/>
      <c r="R308" s="3"/>
      <c r="S308" s="104"/>
      <c r="T308" s="104"/>
      <c r="U308" s="3"/>
      <c r="V308" s="97">
        <f t="shared" ref="V308:V323" si="192">T308+U308*$V$33</f>
        <v>0</v>
      </c>
      <c r="W308" s="396">
        <f>AA308*1000000/8+X307</f>
        <v>-242405.06250000047</v>
      </c>
      <c r="X308" s="266">
        <f>W308-V308</f>
        <v>-242405.06250000047</v>
      </c>
      <c r="Y308" s="317">
        <f>X308*8/1000000</f>
        <v>-1.9392405000000037</v>
      </c>
      <c r="Z308" s="318"/>
      <c r="AA308" s="256">
        <f>AR308</f>
        <v>23.047260299999998</v>
      </c>
      <c r="AH308" s="581" t="str">
        <f>AL308</f>
        <v>TRK_205_2</v>
      </c>
      <c r="AI308" t="s">
        <v>4221</v>
      </c>
      <c r="AJ308" s="232">
        <f t="shared" si="189"/>
        <v>-1.9392405000000037</v>
      </c>
      <c r="AK308" s="232">
        <f t="shared" si="190"/>
        <v>0</v>
      </c>
      <c r="AL308" t="s">
        <v>4185</v>
      </c>
      <c r="AM308" t="s">
        <v>4186</v>
      </c>
      <c r="AN308">
        <v>0.26355099999999998</v>
      </c>
      <c r="AO308">
        <v>3.173559</v>
      </c>
      <c r="AP308">
        <v>2.9100079999999999</v>
      </c>
      <c r="AQ308" s="590">
        <v>25.608066999999998</v>
      </c>
      <c r="AR308">
        <f t="shared" si="191"/>
        <v>23.047260299999998</v>
      </c>
      <c r="AS308" s="589">
        <f t="shared" ref="AS308:AS329" si="193">AS307+AR308</f>
        <v>26.686759499999997</v>
      </c>
      <c r="AT308">
        <f>28.626</f>
        <v>28.626000000000001</v>
      </c>
    </row>
    <row r="309" spans="3:46" ht="15.75">
      <c r="M309" s="589"/>
      <c r="N309" s="398" t="s">
        <v>4244</v>
      </c>
      <c r="O309" s="564" t="str">
        <f>AI309</f>
        <v>207/04:26</v>
      </c>
      <c r="P309" s="179" t="str">
        <f>MID(AL309,5,5)</f>
        <v>207_1</v>
      </c>
      <c r="Q309" s="3">
        <v>645951790</v>
      </c>
      <c r="R309" s="3">
        <v>645952358</v>
      </c>
      <c r="S309" s="104">
        <f t="shared" ref="S309" si="194">R309-Q309</f>
        <v>568</v>
      </c>
      <c r="T309" s="104">
        <v>3759250</v>
      </c>
      <c r="U309" s="3"/>
      <c r="V309" s="97">
        <f t="shared" si="192"/>
        <v>3759250</v>
      </c>
      <c r="W309" s="396">
        <f>AA309*1000000/8+X308</f>
        <v>845500.87499999953</v>
      </c>
      <c r="X309" s="266">
        <f>W309-V309</f>
        <v>-2913749.1250000005</v>
      </c>
      <c r="Y309" s="317">
        <f>X309*8/1000000</f>
        <v>-23.309993000000002</v>
      </c>
      <c r="Z309" s="318"/>
      <c r="AA309" s="256">
        <f>AR309</f>
        <v>8.7032474999999998</v>
      </c>
      <c r="AC309" s="397">
        <f>AC307+AK309</f>
        <v>58.7</v>
      </c>
      <c r="AD309" s="278">
        <f>AC309+AC307</f>
        <v>87.326000000000008</v>
      </c>
      <c r="AH309" s="581" t="str">
        <f>AL309</f>
        <v>TRK_207_1</v>
      </c>
      <c r="AI309" t="s">
        <v>4222</v>
      </c>
      <c r="AJ309" s="232">
        <f t="shared" si="189"/>
        <v>-23.309993000000002</v>
      </c>
      <c r="AK309" s="232">
        <f t="shared" si="190"/>
        <v>30.074000000000002</v>
      </c>
      <c r="AL309" s="589" t="s">
        <v>4183</v>
      </c>
      <c r="AM309" s="589" t="s">
        <v>4187</v>
      </c>
      <c r="AN309">
        <v>0.34161599999999998</v>
      </c>
      <c r="AO309">
        <v>1.4405110000000001</v>
      </c>
      <c r="AP309">
        <v>1.098895</v>
      </c>
      <c r="AQ309" s="590">
        <v>9.6702750000000002</v>
      </c>
      <c r="AR309">
        <f t="shared" si="191"/>
        <v>8.7032474999999998</v>
      </c>
      <c r="AS309" s="589">
        <f t="shared" si="193"/>
        <v>35.390006999999997</v>
      </c>
    </row>
    <row r="310" spans="3:46" ht="15.75">
      <c r="N310" t="s">
        <v>4246</v>
      </c>
      <c r="O310" s="564" t="str">
        <f>AI310</f>
        <v>207/22:05</v>
      </c>
      <c r="P310" s="179" t="str">
        <f>MID(AL310,5,5)</f>
        <v>207_2</v>
      </c>
      <c r="Q310" s="3"/>
      <c r="R310" s="3"/>
      <c r="S310" s="104"/>
      <c r="T310" s="104"/>
      <c r="U310" s="3"/>
      <c r="V310" s="97">
        <f t="shared" si="192"/>
        <v>0</v>
      </c>
      <c r="W310" s="396">
        <f>AA310*1000000/8+X309</f>
        <v>-2606388.4375000005</v>
      </c>
      <c r="X310" s="266">
        <f>W310-V310</f>
        <v>-2606388.4375000005</v>
      </c>
      <c r="Y310" s="317">
        <f>X310*8/1000000</f>
        <v>-20.851107500000005</v>
      </c>
      <c r="Z310" s="318"/>
      <c r="AA310" s="256">
        <f>AR310</f>
        <v>2.4588855000000001</v>
      </c>
      <c r="AH310" s="581" t="str">
        <f>AL310</f>
        <v>TRK_207_2</v>
      </c>
      <c r="AI310" t="s">
        <v>4242</v>
      </c>
      <c r="AJ310" s="232">
        <f t="shared" si="189"/>
        <v>-20.851107500000005</v>
      </c>
      <c r="AK310" s="232">
        <f t="shared" si="190"/>
        <v>0</v>
      </c>
      <c r="AL310" t="s">
        <v>4188</v>
      </c>
      <c r="AM310" t="s">
        <v>4189</v>
      </c>
      <c r="AN310">
        <v>0.26087700000000003</v>
      </c>
      <c r="AO310">
        <v>0.57134200000000002</v>
      </c>
      <c r="AP310">
        <v>0.31046499999999999</v>
      </c>
      <c r="AQ310" s="590">
        <v>2.7320950000000002</v>
      </c>
      <c r="AR310">
        <f t="shared" si="191"/>
        <v>2.4588855000000001</v>
      </c>
      <c r="AS310" s="589">
        <f t="shared" si="193"/>
        <v>37.848892499999998</v>
      </c>
    </row>
    <row r="311" spans="3:46" ht="15.75">
      <c r="M311" t="s">
        <v>4344</v>
      </c>
      <c r="O311" s="564" t="str">
        <f>AI311</f>
        <v>208/22:00</v>
      </c>
      <c r="P311" s="179" t="str">
        <f>MID(AL311,5,5)</f>
        <v>208_1</v>
      </c>
      <c r="Q311" s="3"/>
      <c r="R311" s="3"/>
      <c r="S311" s="104"/>
      <c r="T311" s="104"/>
      <c r="U311" s="3"/>
      <c r="V311" s="97">
        <f t="shared" si="192"/>
        <v>0</v>
      </c>
      <c r="W311" s="396">
        <f>AA311*1000000/8+X310</f>
        <v>-4106.9500000006519</v>
      </c>
      <c r="X311" s="266">
        <f>W311-V311</f>
        <v>-4106.9500000006519</v>
      </c>
      <c r="Y311" s="317">
        <f>X311*8/1000000</f>
        <v>-3.2855600000005217E-2</v>
      </c>
      <c r="Z311" s="318"/>
      <c r="AA311" s="256">
        <f>AR311</f>
        <v>20.8182519</v>
      </c>
      <c r="AB311">
        <f>SUM(AA307:AA311)</f>
        <v>58.667144399999998</v>
      </c>
      <c r="AC311" s="278"/>
      <c r="AH311" s="581" t="str">
        <f>AL311</f>
        <v>TRK_208_1</v>
      </c>
      <c r="AI311" t="s">
        <v>4223</v>
      </c>
      <c r="AJ311" s="232">
        <f t="shared" si="189"/>
        <v>-3.2855600000005217E-2</v>
      </c>
      <c r="AK311" s="232">
        <f t="shared" si="190"/>
        <v>0</v>
      </c>
      <c r="AL311" t="s">
        <v>1461</v>
      </c>
      <c r="AM311" t="s">
        <v>4190</v>
      </c>
      <c r="AN311">
        <v>0.31857600000000003</v>
      </c>
      <c r="AO311">
        <v>2.9471430000000001</v>
      </c>
      <c r="AP311">
        <v>2.6285669999999999</v>
      </c>
      <c r="AQ311" s="590">
        <v>23.131391000000001</v>
      </c>
      <c r="AR311">
        <f t="shared" si="191"/>
        <v>20.8182519</v>
      </c>
      <c r="AS311" s="589">
        <f t="shared" si="193"/>
        <v>58.667144399999998</v>
      </c>
      <c r="AT311" t="s">
        <v>4191</v>
      </c>
    </row>
    <row r="312" spans="3:46" ht="15.75">
      <c r="O312" s="554" t="s">
        <v>4361</v>
      </c>
      <c r="P312" s="591" t="s">
        <v>4278</v>
      </c>
      <c r="Q312" s="591" t="s">
        <v>4279</v>
      </c>
      <c r="R312" s="591">
        <v>611968056</v>
      </c>
      <c r="S312" s="591">
        <v>1</v>
      </c>
      <c r="T312" s="591" t="s">
        <v>373</v>
      </c>
      <c r="U312" s="591" t="s">
        <v>2004</v>
      </c>
      <c r="V312" s="591" t="s">
        <v>833</v>
      </c>
      <c r="W312" s="591"/>
      <c r="X312" s="591"/>
      <c r="Y312" s="317"/>
      <c r="Z312" s="318"/>
      <c r="AA312" s="256"/>
      <c r="AH312" s="581"/>
      <c r="AJ312" s="232"/>
      <c r="AK312" s="232"/>
      <c r="AQ312" s="590"/>
      <c r="AS312" s="589"/>
    </row>
    <row r="313" spans="3:46" ht="15.75">
      <c r="O313" s="564"/>
      <c r="P313" s="588" t="s">
        <v>4280</v>
      </c>
      <c r="Q313" s="587" t="s">
        <v>4281</v>
      </c>
      <c r="R313" s="592">
        <v>611992316</v>
      </c>
      <c r="S313" s="588">
        <v>8</v>
      </c>
      <c r="T313" s="588" t="s">
        <v>373</v>
      </c>
      <c r="U313" s="588" t="s">
        <v>4282</v>
      </c>
      <c r="V313" s="588" t="s">
        <v>816</v>
      </c>
      <c r="W313" s="588" t="s">
        <v>817</v>
      </c>
      <c r="X313" s="588" t="s">
        <v>4283</v>
      </c>
      <c r="Y313" s="317"/>
      <c r="Z313" s="318"/>
      <c r="AA313" s="256"/>
      <c r="AH313" s="581"/>
      <c r="AJ313" s="232"/>
      <c r="AK313" s="232"/>
      <c r="AQ313" s="590"/>
      <c r="AS313" s="589"/>
    </row>
    <row r="314" spans="3:46" ht="15.75">
      <c r="O314" s="564"/>
      <c r="P314" s="588" t="s">
        <v>4284</v>
      </c>
      <c r="Q314" s="588" t="s">
        <v>4285</v>
      </c>
      <c r="R314" s="588">
        <v>611992336</v>
      </c>
      <c r="S314" s="588">
        <v>1</v>
      </c>
      <c r="T314" s="588" t="s">
        <v>373</v>
      </c>
      <c r="U314" s="588" t="s">
        <v>4282</v>
      </c>
      <c r="V314" s="588" t="s">
        <v>833</v>
      </c>
      <c r="W314" s="588"/>
      <c r="X314" s="588" t="s">
        <v>4283</v>
      </c>
      <c r="Y314" s="317"/>
      <c r="Z314" s="318"/>
      <c r="AA314" s="256"/>
      <c r="AH314" s="581"/>
      <c r="AJ314" s="232"/>
      <c r="AK314" s="232"/>
      <c r="AQ314" s="590"/>
      <c r="AS314" s="589"/>
    </row>
    <row r="315" spans="3:46" ht="15.75">
      <c r="O315" s="564"/>
      <c r="P315" s="588" t="s">
        <v>4286</v>
      </c>
      <c r="Q315" s="588" t="s">
        <v>4287</v>
      </c>
      <c r="R315" s="592">
        <v>611992341</v>
      </c>
      <c r="S315" s="588">
        <v>1</v>
      </c>
      <c r="T315" s="588" t="s">
        <v>373</v>
      </c>
      <c r="U315" s="588" t="s">
        <v>4282</v>
      </c>
      <c r="V315" s="588" t="s">
        <v>833</v>
      </c>
      <c r="W315" s="588"/>
      <c r="X315" s="588" t="s">
        <v>4283</v>
      </c>
      <c r="Y315" s="317"/>
      <c r="Z315" s="318"/>
      <c r="AA315" s="256"/>
      <c r="AH315" s="581"/>
      <c r="AJ315" s="232"/>
      <c r="AK315" s="232"/>
      <c r="AQ315" s="590"/>
      <c r="AS315" s="589"/>
    </row>
    <row r="316" spans="3:46" ht="15.75">
      <c r="O316" s="564"/>
      <c r="P316" s="588" t="s">
        <v>4288</v>
      </c>
      <c r="Q316" s="588" t="s">
        <v>4289</v>
      </c>
      <c r="R316" s="588">
        <v>611992832</v>
      </c>
      <c r="S316" s="588">
        <v>0</v>
      </c>
      <c r="T316" s="588" t="s">
        <v>826</v>
      </c>
      <c r="U316" s="588" t="s">
        <v>4290</v>
      </c>
      <c r="V316" s="588" t="s">
        <v>4291</v>
      </c>
      <c r="W316" s="588"/>
      <c r="X316" s="588" t="s">
        <v>4283</v>
      </c>
      <c r="Y316" s="317"/>
      <c r="Z316" s="318"/>
      <c r="AA316" s="256"/>
      <c r="AH316" s="581"/>
      <c r="AJ316" s="232"/>
      <c r="AK316" s="232"/>
      <c r="AQ316" s="590"/>
      <c r="AS316" s="589"/>
    </row>
    <row r="317" spans="3:46" ht="15.75">
      <c r="O317" s="564"/>
      <c r="P317" s="588" t="s">
        <v>4288</v>
      </c>
      <c r="Q317" s="588" t="s">
        <v>4289</v>
      </c>
      <c r="R317" s="588">
        <v>611992832</v>
      </c>
      <c r="S317" s="588">
        <v>0</v>
      </c>
      <c r="T317" s="588" t="s">
        <v>826</v>
      </c>
      <c r="U317" s="588" t="s">
        <v>4290</v>
      </c>
      <c r="V317" s="588" t="s">
        <v>4292</v>
      </c>
      <c r="W317" s="588"/>
      <c r="X317" s="588" t="s">
        <v>4283</v>
      </c>
      <c r="Y317" s="317"/>
      <c r="Z317" s="318"/>
      <c r="AA317" s="256"/>
      <c r="AH317" s="581"/>
      <c r="AJ317" s="232"/>
      <c r="AK317" s="232"/>
      <c r="AQ317" s="590"/>
      <c r="AS317" s="589"/>
    </row>
    <row r="318" spans="3:46" ht="15.75">
      <c r="O318" s="564"/>
      <c r="P318" s="588" t="s">
        <v>4288</v>
      </c>
      <c r="Q318" s="588" t="s">
        <v>4289</v>
      </c>
      <c r="R318" s="588">
        <v>611992832</v>
      </c>
      <c r="S318" s="588">
        <v>0</v>
      </c>
      <c r="T318" s="588" t="s">
        <v>826</v>
      </c>
      <c r="U318" s="588" t="s">
        <v>4290</v>
      </c>
      <c r="V318" s="588" t="s">
        <v>4293</v>
      </c>
      <c r="W318" s="588"/>
      <c r="X318" s="588" t="s">
        <v>4283</v>
      </c>
      <c r="Y318" s="317"/>
      <c r="Z318" s="318"/>
      <c r="AA318" s="256"/>
      <c r="AH318" s="581"/>
      <c r="AJ318" s="232"/>
      <c r="AK318" s="232"/>
      <c r="AQ318" s="590"/>
      <c r="AS318" s="589"/>
    </row>
    <row r="319" spans="3:46" ht="15.75">
      <c r="O319" s="564"/>
      <c r="P319" s="588" t="s">
        <v>4288</v>
      </c>
      <c r="Q319" s="588" t="s">
        <v>4289</v>
      </c>
      <c r="R319" s="588">
        <v>611992832</v>
      </c>
      <c r="S319" s="588">
        <v>0</v>
      </c>
      <c r="T319" s="588" t="s">
        <v>826</v>
      </c>
      <c r="U319" s="588" t="s">
        <v>4290</v>
      </c>
      <c r="V319" s="588" t="s">
        <v>828</v>
      </c>
      <c r="W319" s="588"/>
      <c r="X319" s="588" t="s">
        <v>4283</v>
      </c>
      <c r="Y319" s="317"/>
      <c r="Z319" s="318"/>
      <c r="AA319" s="256"/>
      <c r="AH319" s="581"/>
      <c r="AJ319" s="232"/>
      <c r="AK319" s="232"/>
      <c r="AQ319" s="590"/>
      <c r="AS319" s="589"/>
    </row>
    <row r="320" spans="3:46" ht="15.75">
      <c r="O320" s="593" t="s">
        <v>4323</v>
      </c>
      <c r="P320" s="588" t="s">
        <v>4288</v>
      </c>
      <c r="Q320" s="588" t="s">
        <v>4289</v>
      </c>
      <c r="R320" s="594">
        <v>611992832</v>
      </c>
      <c r="S320" s="588">
        <v>0</v>
      </c>
      <c r="T320" s="588" t="s">
        <v>826</v>
      </c>
      <c r="U320" s="588" t="s">
        <v>4290</v>
      </c>
      <c r="V320" s="587" t="s">
        <v>4294</v>
      </c>
      <c r="W320" s="588"/>
      <c r="X320" s="588" t="s">
        <v>4283</v>
      </c>
      <c r="Y320" s="317"/>
      <c r="Z320" s="318"/>
      <c r="AA320" s="256"/>
      <c r="AH320" s="581"/>
      <c r="AJ320" s="232"/>
      <c r="AK320" s="232"/>
      <c r="AQ320" s="590"/>
      <c r="AS320" s="589"/>
    </row>
    <row r="321" spans="3:45" ht="15.75">
      <c r="O321" s="564"/>
      <c r="P321" s="588" t="s">
        <v>4288</v>
      </c>
      <c r="Q321" s="588" t="s">
        <v>4289</v>
      </c>
      <c r="R321" s="588">
        <v>611992832</v>
      </c>
      <c r="S321" s="588">
        <v>0</v>
      </c>
      <c r="T321" s="588" t="s">
        <v>826</v>
      </c>
      <c r="U321" s="588" t="s">
        <v>4290</v>
      </c>
      <c r="V321" s="588" t="s">
        <v>4295</v>
      </c>
      <c r="W321" s="588"/>
      <c r="X321" s="588" t="s">
        <v>4283</v>
      </c>
      <c r="Y321" s="317"/>
      <c r="Z321" s="318"/>
      <c r="AA321" s="256"/>
      <c r="AH321" s="581"/>
      <c r="AJ321" s="232"/>
      <c r="AK321" s="232"/>
      <c r="AQ321" s="590"/>
      <c r="AS321" s="589"/>
    </row>
    <row r="322" spans="3:45" ht="15.75">
      <c r="M322" s="419" t="str" cm="1">
        <f t="array" aca="1" ref="M322" ca="1">MID(met2utc(R323),3,12)</f>
        <v>25-133/18:11</v>
      </c>
      <c r="O322" s="564"/>
      <c r="P322" s="588" t="s">
        <v>4288</v>
      </c>
      <c r="Q322" s="588" t="s">
        <v>4289</v>
      </c>
      <c r="R322" s="588">
        <v>611992832</v>
      </c>
      <c r="S322" s="588">
        <v>0</v>
      </c>
      <c r="T322" s="588" t="s">
        <v>826</v>
      </c>
      <c r="U322" s="588" t="s">
        <v>4290</v>
      </c>
      <c r="V322" s="588" t="s">
        <v>1471</v>
      </c>
      <c r="W322" s="588"/>
      <c r="X322" s="588" t="s">
        <v>4283</v>
      </c>
      <c r="Y322" s="317"/>
      <c r="Z322" s="318"/>
      <c r="AA322" s="256"/>
      <c r="AH322" s="581"/>
      <c r="AJ322" s="232"/>
      <c r="AK322" s="232"/>
      <c r="AQ322" s="590"/>
      <c r="AS322" s="589"/>
    </row>
    <row r="323" spans="3:45" ht="15.75">
      <c r="C323" s="3"/>
      <c r="D323" s="3"/>
      <c r="E323" s="3"/>
      <c r="F323" s="3"/>
      <c r="G323" s="3"/>
      <c r="H323" s="3"/>
      <c r="I323" s="3"/>
      <c r="J323" s="3" t="s">
        <v>943</v>
      </c>
      <c r="K323" s="3" t="s">
        <v>1540</v>
      </c>
      <c r="L323" s="226" t="str">
        <f>M298</f>
        <v>25-128/04:02</v>
      </c>
      <c r="M323" s="226" t="s">
        <v>4273</v>
      </c>
      <c r="N323" t="s">
        <v>4172</v>
      </c>
      <c r="O323" s="564" t="str">
        <f>AI323</f>
        <v>211/03:05</v>
      </c>
      <c r="P323" s="179" t="str">
        <f t="shared" ref="P323:P330" si="195">MID(AL323,5,5)</f>
        <v>211_1</v>
      </c>
      <c r="Q323" s="143">
        <f>R298-3</f>
        <v>608982853.46091604</v>
      </c>
      <c r="R323" s="104">
        <f>((W323)/$S$4)+Q323</f>
        <v>609465828.44969428</v>
      </c>
      <c r="S323" s="104">
        <f t="shared" ref="S323" si="196">R323-Q323</f>
        <v>482974.98877823353</v>
      </c>
      <c r="T323" s="104">
        <f>S323*$S$4</f>
        <v>677531.11249999655</v>
      </c>
      <c r="U323" s="3">
        <v>0</v>
      </c>
      <c r="V323" s="97">
        <f t="shared" si="192"/>
        <v>677531.11249999655</v>
      </c>
      <c r="W323" s="97">
        <f>AA323*1000000/8+X311</f>
        <v>677531.11249999935</v>
      </c>
      <c r="X323" s="266">
        <f t="shared" ref="X323" si="197">W323-V323</f>
        <v>2.7939677238464355E-9</v>
      </c>
      <c r="Y323" s="317"/>
      <c r="Z323" s="318"/>
      <c r="AA323" s="256">
        <f>AR323</f>
        <v>5.4531045000000002</v>
      </c>
      <c r="AC323" s="308">
        <f>AC310+AK323</f>
        <v>5.4202488999999723</v>
      </c>
      <c r="AH323" s="581" t="str">
        <f>AL323</f>
        <v>TRK_211_1</v>
      </c>
      <c r="AI323" t="s">
        <v>4224</v>
      </c>
      <c r="AJ323" s="232">
        <f t="shared" si="189"/>
        <v>2.2351741790771485E-14</v>
      </c>
      <c r="AK323" s="232">
        <f t="shared" si="190"/>
        <v>5.4202488999999723</v>
      </c>
      <c r="AL323" t="s">
        <v>651</v>
      </c>
      <c r="AM323" t="s">
        <v>4192</v>
      </c>
      <c r="AN323">
        <v>0.87197400000000003</v>
      </c>
      <c r="AO323">
        <v>1.560497</v>
      </c>
      <c r="AP323">
        <v>0.688523</v>
      </c>
      <c r="AQ323" s="590">
        <v>6.059005</v>
      </c>
      <c r="AR323">
        <f t="shared" si="191"/>
        <v>5.4531045000000002</v>
      </c>
      <c r="AS323">
        <f>AS311+AR323</f>
        <v>64.120248899999993</v>
      </c>
    </row>
    <row r="324" spans="3:45" ht="15.75">
      <c r="C324" s="3"/>
      <c r="D324" s="3"/>
      <c r="E324" s="3"/>
      <c r="F324" s="3"/>
      <c r="G324" s="3"/>
      <c r="H324" s="3"/>
      <c r="I324" s="3"/>
      <c r="J324" s="3" t="s">
        <v>943</v>
      </c>
      <c r="K324" s="3" t="s">
        <v>1540</v>
      </c>
      <c r="L324" s="226" t="str">
        <f t="shared" ref="L324:L330" si="198">M323</f>
        <v>25-133/18:11</v>
      </c>
      <c r="M324" s="226" t="s">
        <v>4274</v>
      </c>
      <c r="N324" t="s">
        <v>4172</v>
      </c>
      <c r="O324" s="564" t="str">
        <f>AI324</f>
        <v>212/03:35</v>
      </c>
      <c r="P324" s="179" t="str">
        <f t="shared" si="195"/>
        <v>212_1</v>
      </c>
      <c r="Q324" s="104">
        <f t="shared" ref="Q324:Q330" si="199">R323-3</f>
        <v>609465825.44969428</v>
      </c>
      <c r="R324" s="104">
        <f>((W324)/$S$4)+Q324</f>
        <v>610411500.69402742</v>
      </c>
      <c r="S324" s="104">
        <f t="shared" ref="S324:S325" si="200">R324-Q324</f>
        <v>945675.244333148</v>
      </c>
      <c r="T324" s="104">
        <f>S324*$S$4</f>
        <v>1326620.250000034</v>
      </c>
      <c r="U324" s="3">
        <v>0</v>
      </c>
      <c r="V324" s="97">
        <f t="shared" ref="V324:V325" si="201">T324+U324*$V$33</f>
        <v>1326620.250000034</v>
      </c>
      <c r="W324" s="97">
        <f>AA324*1000000/8</f>
        <v>1326620.25</v>
      </c>
      <c r="X324" s="266">
        <f t="shared" ref="X324:X325" si="202">W324-V324</f>
        <v>-3.3993273973464966E-8</v>
      </c>
      <c r="Y324" s="317"/>
      <c r="Z324" s="318"/>
      <c r="AA324" s="256">
        <f>AR324</f>
        <v>10.612962</v>
      </c>
      <c r="AC324" s="308">
        <f>AK324+AC323</f>
        <v>16.033210900000242</v>
      </c>
      <c r="AH324" s="581" t="str">
        <f>AL324</f>
        <v>TRK_212_1</v>
      </c>
      <c r="AI324" t="s">
        <v>4225</v>
      </c>
      <c r="AJ324" s="232">
        <f t="shared" si="189"/>
        <v>-2.7194619178771972E-13</v>
      </c>
      <c r="AK324" s="232">
        <f t="shared" si="190"/>
        <v>10.612962000000271</v>
      </c>
      <c r="AL324" t="s">
        <v>1494</v>
      </c>
      <c r="AM324" t="s">
        <v>4193</v>
      </c>
      <c r="AN324">
        <v>0.31300499999999998</v>
      </c>
      <c r="AO324">
        <v>1.653025</v>
      </c>
      <c r="AP324">
        <v>1.34002</v>
      </c>
      <c r="AQ324" s="590">
        <v>11.79218</v>
      </c>
      <c r="AR324">
        <f t="shared" si="191"/>
        <v>10.612962</v>
      </c>
      <c r="AS324">
        <f t="shared" si="193"/>
        <v>74.733210899999989</v>
      </c>
    </row>
    <row r="325" spans="3:45" ht="15.75">
      <c r="J325" s="3" t="s">
        <v>943</v>
      </c>
      <c r="K325" s="3" t="s">
        <v>1540</v>
      </c>
      <c r="L325" s="226" t="str">
        <f t="shared" si="198"/>
        <v>25-144/16:53</v>
      </c>
      <c r="M325" s="226" t="s">
        <v>4275</v>
      </c>
      <c r="N325" t="s">
        <v>4172</v>
      </c>
      <c r="O325" s="564" t="str">
        <f>AI325</f>
        <v>212/13:50</v>
      </c>
      <c r="P325" s="179" t="str">
        <f t="shared" si="195"/>
        <v>212_2</v>
      </c>
      <c r="Q325" s="104">
        <f t="shared" si="199"/>
        <v>610411497.69402742</v>
      </c>
      <c r="R325" s="104">
        <f>((W325)/$S$4)+Q325</f>
        <v>610848059.61678576</v>
      </c>
      <c r="S325" s="104">
        <f t="shared" si="200"/>
        <v>436561.92275834084</v>
      </c>
      <c r="T325" s="104">
        <f>S325*$S$4</f>
        <v>612421.53749996936</v>
      </c>
      <c r="U325" s="3">
        <v>0</v>
      </c>
      <c r="V325" s="97">
        <f t="shared" si="201"/>
        <v>612421.53749996936</v>
      </c>
      <c r="W325" s="97">
        <f>AA325*1000000/8</f>
        <v>612421.53750000009</v>
      </c>
      <c r="X325" s="266">
        <f t="shared" si="202"/>
        <v>3.0733644962310791E-8</v>
      </c>
      <c r="Y325" s="317"/>
      <c r="Z325" s="318"/>
      <c r="AA325" s="256">
        <f>AR325</f>
        <v>4.8993723000000005</v>
      </c>
      <c r="AC325" s="308">
        <f>AK325+AC324</f>
        <v>20.932583199999996</v>
      </c>
      <c r="AH325" s="581" t="str">
        <f>AL325</f>
        <v>TRK_212_2</v>
      </c>
      <c r="AI325" t="s">
        <v>4226</v>
      </c>
      <c r="AJ325" s="232">
        <f t="shared" si="189"/>
        <v>2.4586915969848635E-13</v>
      </c>
      <c r="AK325" s="232">
        <f t="shared" si="190"/>
        <v>4.8993722999997544</v>
      </c>
      <c r="AL325" t="s">
        <v>1498</v>
      </c>
      <c r="AM325" t="s">
        <v>4194</v>
      </c>
      <c r="AN325">
        <v>0.200989</v>
      </c>
      <c r="AO325">
        <v>0.81959700000000002</v>
      </c>
      <c r="AP325">
        <v>0.61860800000000005</v>
      </c>
      <c r="AQ325" s="590">
        <v>5.4437470000000001</v>
      </c>
      <c r="AR325">
        <f t="shared" si="191"/>
        <v>4.8993723000000005</v>
      </c>
      <c r="AS325">
        <f t="shared" si="193"/>
        <v>79.632583199999985</v>
      </c>
    </row>
    <row r="326" spans="3:45" ht="15.75">
      <c r="J326" s="3" t="s">
        <v>943</v>
      </c>
      <c r="K326" s="3" t="s">
        <v>1540</v>
      </c>
      <c r="L326" s="226" t="str">
        <f t="shared" si="198"/>
        <v>25-149/18:09</v>
      </c>
      <c r="M326" s="226" t="s">
        <v>4345</v>
      </c>
      <c r="N326" t="s">
        <v>4172</v>
      </c>
      <c r="O326" s="564" t="str">
        <f>AI326</f>
        <v>213/02:25</v>
      </c>
      <c r="P326" s="179" t="str">
        <f t="shared" si="195"/>
        <v>213_1</v>
      </c>
      <c r="Q326" s="104">
        <f t="shared" si="199"/>
        <v>610848056.61678576</v>
      </c>
      <c r="R326" s="399">
        <f>R320-20</f>
        <v>611992812</v>
      </c>
      <c r="S326" s="104">
        <f t="shared" ref="S326:S329" si="203">R326-Q326</f>
        <v>1144755.3832142353</v>
      </c>
      <c r="T326" s="104">
        <f>S326*$S$4</f>
        <v>1605895.5563962641</v>
      </c>
      <c r="U326" s="3">
        <v>0</v>
      </c>
      <c r="V326" s="97">
        <f t="shared" ref="V326:V329" si="204">T326+U326*$V$33</f>
        <v>1605895.5563962641</v>
      </c>
      <c r="W326" s="97">
        <f>AA326*1000000/8</f>
        <v>1831892.625</v>
      </c>
      <c r="X326" s="401">
        <f t="shared" ref="X326:X329" si="205">W326-V326</f>
        <v>225997.06860373588</v>
      </c>
      <c r="Y326" s="317"/>
      <c r="Z326" s="318"/>
      <c r="AA326" s="256">
        <f>AR326</f>
        <v>14.655141</v>
      </c>
      <c r="AC326" s="308">
        <f>AK326+AC325</f>
        <v>33.779747651170112</v>
      </c>
      <c r="AH326" s="581" t="str">
        <f>AL326</f>
        <v>TRK_213_1</v>
      </c>
      <c r="AI326" t="s">
        <v>4227</v>
      </c>
      <c r="AJ326" s="232">
        <f t="shared" si="189"/>
        <v>1.8079765488298871</v>
      </c>
      <c r="AK326" s="232">
        <f t="shared" si="190"/>
        <v>12.847164451170112</v>
      </c>
      <c r="AL326" t="s">
        <v>664</v>
      </c>
      <c r="AM326" t="s">
        <v>4195</v>
      </c>
      <c r="AN326">
        <v>0.22583300000000001</v>
      </c>
      <c r="AO326">
        <v>2.0762299999999998</v>
      </c>
      <c r="AP326">
        <v>1.8503970000000001</v>
      </c>
      <c r="AQ326" s="590">
        <v>16.28349</v>
      </c>
      <c r="AR326">
        <f t="shared" si="191"/>
        <v>14.655141</v>
      </c>
      <c r="AS326">
        <f t="shared" si="193"/>
        <v>94.287724199999985</v>
      </c>
    </row>
    <row r="327" spans="3:45" ht="15.75">
      <c r="J327" s="3" t="s">
        <v>943</v>
      </c>
      <c r="K327" s="3" t="s">
        <v>1540</v>
      </c>
      <c r="L327" s="226" t="str">
        <f t="shared" si="198"/>
        <v>25-163/08:37</v>
      </c>
      <c r="M327" s="226" t="s">
        <v>4356</v>
      </c>
      <c r="N327" t="s">
        <v>4296</v>
      </c>
      <c r="O327" s="564"/>
      <c r="P327" s="179" t="str">
        <f t="shared" si="195"/>
        <v/>
      </c>
      <c r="Q327" s="104">
        <f t="shared" si="199"/>
        <v>611992809</v>
      </c>
      <c r="R327" s="104">
        <f>((W327)/$S$5)+Q327</f>
        <v>612053956.5177387</v>
      </c>
      <c r="S327" s="104">
        <f t="shared" si="203"/>
        <v>61147.517738699913</v>
      </c>
      <c r="T327" s="104">
        <f>S327*$S$5</f>
        <v>225997.06860379208</v>
      </c>
      <c r="U327" s="3">
        <v>0</v>
      </c>
      <c r="V327" s="97">
        <f t="shared" si="204"/>
        <v>225997.06860379208</v>
      </c>
      <c r="W327" s="396">
        <f>X326</f>
        <v>225997.06860373588</v>
      </c>
      <c r="X327" s="266">
        <f t="shared" si="205"/>
        <v>-5.6199496611952782E-8</v>
      </c>
      <c r="Y327" s="317"/>
      <c r="Z327" s="318"/>
      <c r="AA327" s="256"/>
      <c r="AC327" s="308"/>
      <c r="AH327" s="581"/>
      <c r="AJ327" s="232"/>
      <c r="AK327" s="232"/>
      <c r="AQ327" s="590"/>
    </row>
    <row r="328" spans="3:45" ht="15.75">
      <c r="J328" s="3" t="s">
        <v>943</v>
      </c>
      <c r="K328" s="3" t="s">
        <v>1540</v>
      </c>
      <c r="L328" s="226" t="str">
        <f t="shared" si="198"/>
        <v>25-163/17:07</v>
      </c>
      <c r="M328" s="226" t="s">
        <v>4357</v>
      </c>
      <c r="N328" t="s">
        <v>4296</v>
      </c>
      <c r="O328" s="564" t="str">
        <f>AI328</f>
        <v>213/22:40</v>
      </c>
      <c r="P328" s="179" t="str">
        <f t="shared" si="195"/>
        <v>213_2</v>
      </c>
      <c r="Q328" s="104">
        <f t="shared" si="199"/>
        <v>612053953.5177387</v>
      </c>
      <c r="R328" s="104">
        <f>((W328)/$S$5)+Q328</f>
        <v>612779862.37503493</v>
      </c>
      <c r="S328" s="104">
        <f t="shared" si="203"/>
        <v>725908.85729622841</v>
      </c>
      <c r="T328" s="104">
        <f>S328*$S$5</f>
        <v>2682909.7874998068</v>
      </c>
      <c r="U328" s="3">
        <v>0</v>
      </c>
      <c r="V328" s="97">
        <f t="shared" si="204"/>
        <v>2682909.7874998068</v>
      </c>
      <c r="W328" s="97">
        <f>AA328*1000000/8</f>
        <v>2682909.7875000001</v>
      </c>
      <c r="X328" s="266">
        <f t="shared" si="205"/>
        <v>1.9324943423271179E-7</v>
      </c>
      <c r="Y328" s="317"/>
      <c r="Z328" s="318"/>
      <c r="AA328" s="256">
        <f>AR328</f>
        <v>21.463278299999999</v>
      </c>
      <c r="AC328" s="308">
        <f>AK328+AC326</f>
        <v>55.243025951168562</v>
      </c>
      <c r="AH328" s="581" t="str">
        <f>AL328</f>
        <v>TRK_213_2</v>
      </c>
      <c r="AI328" t="s">
        <v>4228</v>
      </c>
      <c r="AJ328" s="232">
        <f t="shared" si="189"/>
        <v>1.5459954738616944E-12</v>
      </c>
      <c r="AK328" s="232">
        <f t="shared" si="190"/>
        <v>21.463278299998453</v>
      </c>
      <c r="AL328" t="s">
        <v>4196</v>
      </c>
      <c r="AM328" t="s">
        <v>4197</v>
      </c>
      <c r="AN328">
        <v>0.25551299999999999</v>
      </c>
      <c r="AO328">
        <v>2.9655230000000001</v>
      </c>
      <c r="AP328">
        <v>2.71001</v>
      </c>
      <c r="AQ328" s="590">
        <v>23.848087</v>
      </c>
      <c r="AR328">
        <f t="shared" si="191"/>
        <v>21.463278299999999</v>
      </c>
      <c r="AS328">
        <f>AS326+AR328</f>
        <v>115.75100249999998</v>
      </c>
    </row>
    <row r="329" spans="3:45" ht="15.75">
      <c r="J329" s="3" t="s">
        <v>943</v>
      </c>
      <c r="K329" s="3" t="s">
        <v>1540</v>
      </c>
      <c r="L329" s="226" t="str">
        <f t="shared" si="198"/>
        <v>25-172/02:45</v>
      </c>
      <c r="M329" s="226" t="s">
        <v>4358</v>
      </c>
      <c r="N329" t="s">
        <v>4296</v>
      </c>
      <c r="O329" s="564" t="str">
        <f>AI329</f>
        <v>214/11:25</v>
      </c>
      <c r="P329" s="179" t="str">
        <f t="shared" si="195"/>
        <v>214_1</v>
      </c>
      <c r="Q329" s="104">
        <f t="shared" si="199"/>
        <v>612779859.37503493</v>
      </c>
      <c r="R329" s="104">
        <f>((W329)/$S$5)+Q329</f>
        <v>613007457.63604379</v>
      </c>
      <c r="S329" s="104">
        <f t="shared" si="203"/>
        <v>227598.26100885868</v>
      </c>
      <c r="T329" s="104">
        <f>S329*$S$5</f>
        <v>841187.69999994489</v>
      </c>
      <c r="U329" s="3">
        <v>0</v>
      </c>
      <c r="V329" s="97">
        <f t="shared" si="204"/>
        <v>841187.69999994489</v>
      </c>
      <c r="W329" s="97">
        <f>AA329*1000000/8</f>
        <v>841187.7</v>
      </c>
      <c r="X329" s="266">
        <f t="shared" si="205"/>
        <v>5.5064447224140167E-8</v>
      </c>
      <c r="Y329" s="317"/>
      <c r="Z329" s="318"/>
      <c r="AA329" s="256">
        <f>AR329</f>
        <v>6.7295015999999999</v>
      </c>
      <c r="AC329" s="308">
        <f>AK329+AC328</f>
        <v>61.97252755116812</v>
      </c>
      <c r="AH329" s="581" t="str">
        <f>AL329</f>
        <v>TRK_214_1</v>
      </c>
      <c r="AI329" t="s">
        <v>4229</v>
      </c>
      <c r="AJ329" s="232">
        <f t="shared" si="189"/>
        <v>4.4051557779312134E-13</v>
      </c>
      <c r="AK329" s="232">
        <f t="shared" si="190"/>
        <v>6.7295015999995593</v>
      </c>
      <c r="AL329" t="s">
        <v>669</v>
      </c>
      <c r="AM329" t="s">
        <v>4198</v>
      </c>
      <c r="AN329">
        <v>0.35693000000000003</v>
      </c>
      <c r="AO329">
        <v>1.206615</v>
      </c>
      <c r="AP329">
        <v>0.84968500000000002</v>
      </c>
      <c r="AQ329" s="590">
        <v>7.4772239999999996</v>
      </c>
      <c r="AR329">
        <f t="shared" si="191"/>
        <v>6.7295015999999999</v>
      </c>
      <c r="AS329">
        <f t="shared" si="193"/>
        <v>122.48050409999999</v>
      </c>
    </row>
    <row r="330" spans="3:45" ht="15.75">
      <c r="J330" s="3" t="s">
        <v>943</v>
      </c>
      <c r="K330" s="3" t="s">
        <v>1540</v>
      </c>
      <c r="L330" s="226" t="str">
        <f t="shared" si="198"/>
        <v>25-174/17:59</v>
      </c>
      <c r="M330" s="226" t="s">
        <v>4346</v>
      </c>
      <c r="N330" t="s">
        <v>4296</v>
      </c>
      <c r="O330" s="564" t="str">
        <f>AI330</f>
        <v>214/23:00</v>
      </c>
      <c r="P330" s="179" t="str">
        <f t="shared" si="195"/>
        <v>214_2</v>
      </c>
      <c r="Q330" s="104">
        <f t="shared" si="199"/>
        <v>613007454.63604379</v>
      </c>
      <c r="R330" s="402">
        <f>R338</f>
        <v>613564800</v>
      </c>
      <c r="S330" s="104">
        <f t="shared" ref="S330:S373" si="206">R330-Q330</f>
        <v>557345.363956213</v>
      </c>
      <c r="T330" s="104">
        <f>S330*$S$5</f>
        <v>2059910.5754754029</v>
      </c>
      <c r="U330" s="3">
        <v>0</v>
      </c>
      <c r="V330" s="97">
        <f t="shared" ref="V330:V365" si="207">T330+U330*$V$33</f>
        <v>2059910.5754754029</v>
      </c>
      <c r="W330" s="97">
        <f>AA330*1000000/8</f>
        <v>2355370.875</v>
      </c>
      <c r="X330" s="401">
        <f t="shared" ref="X330:X373" si="208">W330-V330</f>
        <v>295460.29952459713</v>
      </c>
      <c r="Y330" s="317"/>
      <c r="Z330" s="318"/>
      <c r="AA330" s="256">
        <f>AR330</f>
        <v>18.842967000000002</v>
      </c>
      <c r="AC330" s="308">
        <f>AK330+AC329</f>
        <v>78.45181215497135</v>
      </c>
      <c r="AH330" s="581" t="str">
        <f>AL330</f>
        <v>TRK_214_2</v>
      </c>
      <c r="AI330" t="s">
        <v>4230</v>
      </c>
      <c r="AJ330" s="232">
        <f t="shared" si="189"/>
        <v>2.363682396196777</v>
      </c>
      <c r="AK330" s="232">
        <f t="shared" si="190"/>
        <v>16.479284603803222</v>
      </c>
      <c r="AL330" t="s">
        <v>4199</v>
      </c>
      <c r="AM330" t="s">
        <v>4200</v>
      </c>
      <c r="AN330">
        <v>0.215169</v>
      </c>
      <c r="AO330">
        <v>2.5943320000000001</v>
      </c>
      <c r="AP330">
        <v>2.3791630000000001</v>
      </c>
      <c r="AQ330" s="590">
        <v>20.936630000000001</v>
      </c>
      <c r="AR330">
        <f t="shared" si="191"/>
        <v>18.842967000000002</v>
      </c>
      <c r="AS330">
        <f>AS329+AR330</f>
        <v>141.32347110000001</v>
      </c>
    </row>
    <row r="331" spans="3:45" ht="15.75">
      <c r="J331" s="3"/>
      <c r="K331" s="3"/>
      <c r="L331" s="226"/>
      <c r="M331" s="226"/>
      <c r="O331" s="564"/>
      <c r="P331" s="588" t="s">
        <v>4324</v>
      </c>
      <c r="Q331" s="587" t="s">
        <v>4325</v>
      </c>
      <c r="R331" s="595">
        <v>613564318</v>
      </c>
      <c r="S331" s="588">
        <v>7</v>
      </c>
      <c r="T331" s="588" t="s">
        <v>373</v>
      </c>
      <c r="U331" s="588" t="s">
        <v>4326</v>
      </c>
      <c r="V331" s="588" t="s">
        <v>816</v>
      </c>
      <c r="W331" s="588" t="s">
        <v>817</v>
      </c>
      <c r="X331" s="588" t="s">
        <v>4327</v>
      </c>
      <c r="Y331" s="317"/>
      <c r="Z331" s="318"/>
      <c r="AA331" s="256"/>
      <c r="AC331" s="308"/>
      <c r="AH331" s="581"/>
      <c r="AJ331" s="232"/>
      <c r="AK331" s="232"/>
      <c r="AQ331" s="590"/>
    </row>
    <row r="332" spans="3:45" ht="15.75">
      <c r="J332" s="3"/>
      <c r="K332" s="3"/>
      <c r="L332" s="226"/>
      <c r="M332" s="226"/>
      <c r="O332" s="564"/>
      <c r="P332" s="588" t="s">
        <v>4328</v>
      </c>
      <c r="Q332" s="588" t="s">
        <v>4329</v>
      </c>
      <c r="R332" s="588">
        <v>613564338</v>
      </c>
      <c r="S332" s="588">
        <v>1</v>
      </c>
      <c r="T332" s="588" t="s">
        <v>373</v>
      </c>
      <c r="U332" s="588" t="s">
        <v>4326</v>
      </c>
      <c r="V332" s="588" t="s">
        <v>833</v>
      </c>
      <c r="W332" s="588"/>
      <c r="X332" s="588" t="s">
        <v>4327</v>
      </c>
      <c r="Y332" s="317"/>
      <c r="Z332" s="318"/>
      <c r="AA332" s="256"/>
      <c r="AC332" s="308"/>
      <c r="AH332" s="581"/>
      <c r="AJ332" s="232"/>
      <c r="AK332" s="232"/>
      <c r="AQ332" s="590"/>
    </row>
    <row r="333" spans="3:45" ht="15.75">
      <c r="J333" s="3"/>
      <c r="K333" s="3"/>
      <c r="L333" s="226"/>
      <c r="M333" s="226"/>
      <c r="O333" s="564"/>
      <c r="P333" s="588" t="s">
        <v>4330</v>
      </c>
      <c r="Q333" s="588" t="s">
        <v>4331</v>
      </c>
      <c r="R333" s="588">
        <v>613564343</v>
      </c>
      <c r="S333" s="588">
        <v>1</v>
      </c>
      <c r="T333" s="588" t="s">
        <v>373</v>
      </c>
      <c r="U333" s="588" t="s">
        <v>4326</v>
      </c>
      <c r="V333" s="588" t="s">
        <v>833</v>
      </c>
      <c r="W333" s="588"/>
      <c r="X333" s="588" t="s">
        <v>4327</v>
      </c>
      <c r="Y333" s="317"/>
      <c r="Z333" s="318"/>
      <c r="AA333" s="256"/>
      <c r="AC333" s="308"/>
      <c r="AH333" s="581"/>
      <c r="AJ333" s="232"/>
      <c r="AK333" s="232"/>
      <c r="AQ333" s="590"/>
    </row>
    <row r="334" spans="3:45" ht="15.75">
      <c r="J334" s="3"/>
      <c r="K334" s="3"/>
      <c r="L334" s="226"/>
      <c r="M334" s="226"/>
      <c r="O334" s="564"/>
      <c r="P334" s="588" t="s">
        <v>4332</v>
      </c>
      <c r="Q334" s="588" t="s">
        <v>4333</v>
      </c>
      <c r="R334" s="588">
        <v>613564800</v>
      </c>
      <c r="S334" s="588">
        <v>0</v>
      </c>
      <c r="T334" s="588" t="s">
        <v>826</v>
      </c>
      <c r="U334" s="588" t="s">
        <v>1151</v>
      </c>
      <c r="V334" s="588" t="s">
        <v>4291</v>
      </c>
      <c r="W334" s="588"/>
      <c r="X334" s="588" t="s">
        <v>4327</v>
      </c>
      <c r="Y334" s="317"/>
      <c r="Z334" s="318"/>
      <c r="AA334" s="256"/>
      <c r="AC334" s="308"/>
      <c r="AH334" s="581"/>
      <c r="AJ334" s="232"/>
      <c r="AK334" s="232"/>
      <c r="AQ334" s="590"/>
    </row>
    <row r="335" spans="3:45" ht="15.75">
      <c r="J335" s="3"/>
      <c r="K335" s="3"/>
      <c r="L335" s="226"/>
      <c r="M335" s="226"/>
      <c r="O335" s="564"/>
      <c r="P335" s="588" t="s">
        <v>4332</v>
      </c>
      <c r="Q335" s="588" t="s">
        <v>4333</v>
      </c>
      <c r="R335" s="588">
        <v>613564800</v>
      </c>
      <c r="S335" s="588">
        <v>0</v>
      </c>
      <c r="T335" s="588" t="s">
        <v>826</v>
      </c>
      <c r="U335" s="588" t="s">
        <v>1151</v>
      </c>
      <c r="V335" s="588" t="s">
        <v>4292</v>
      </c>
      <c r="W335" s="588"/>
      <c r="X335" s="588" t="s">
        <v>4327</v>
      </c>
      <c r="Y335" s="317"/>
      <c r="Z335" s="318"/>
      <c r="AA335" s="256"/>
      <c r="AC335" s="308"/>
      <c r="AH335" s="581"/>
      <c r="AJ335" s="232"/>
      <c r="AK335" s="232"/>
      <c r="AQ335" s="590"/>
    </row>
    <row r="336" spans="3:45" ht="15.75">
      <c r="J336" s="3"/>
      <c r="K336" s="3"/>
      <c r="L336" s="226"/>
      <c r="M336" s="226"/>
      <c r="O336" s="564"/>
      <c r="P336" s="588" t="s">
        <v>4332</v>
      </c>
      <c r="Q336" s="588" t="s">
        <v>4333</v>
      </c>
      <c r="R336" s="588">
        <v>613564800</v>
      </c>
      <c r="S336" s="588">
        <v>0</v>
      </c>
      <c r="T336" s="588" t="s">
        <v>826</v>
      </c>
      <c r="U336" s="588" t="s">
        <v>1151</v>
      </c>
      <c r="V336" s="588" t="s">
        <v>4293</v>
      </c>
      <c r="W336" s="588"/>
      <c r="X336" s="588" t="s">
        <v>4327</v>
      </c>
      <c r="Y336" s="317"/>
      <c r="Z336" s="318"/>
      <c r="AA336" s="256"/>
      <c r="AC336" s="308"/>
      <c r="AH336" s="581"/>
      <c r="AJ336" s="232"/>
      <c r="AK336" s="232"/>
      <c r="AQ336" s="590"/>
    </row>
    <row r="337" spans="7:45" ht="15.75">
      <c r="J337" s="3"/>
      <c r="K337" s="3"/>
      <c r="L337" s="226"/>
      <c r="M337" s="226"/>
      <c r="O337" s="564"/>
      <c r="P337" s="588" t="s">
        <v>4332</v>
      </c>
      <c r="Q337" s="588" t="s">
        <v>4333</v>
      </c>
      <c r="R337" s="588">
        <v>613564800</v>
      </c>
      <c r="S337" s="588">
        <v>0</v>
      </c>
      <c r="T337" s="588" t="s">
        <v>826</v>
      </c>
      <c r="U337" s="588" t="s">
        <v>1151</v>
      </c>
      <c r="V337" s="588" t="s">
        <v>828</v>
      </c>
      <c r="W337" s="588"/>
      <c r="X337" s="588" t="s">
        <v>4327</v>
      </c>
      <c r="Y337" s="317"/>
      <c r="Z337" s="318"/>
      <c r="AA337" s="256"/>
      <c r="AC337" s="308"/>
      <c r="AH337" s="581"/>
      <c r="AJ337" s="232"/>
      <c r="AK337" s="232"/>
      <c r="AQ337" s="590"/>
    </row>
    <row r="338" spans="7:45" ht="15.75">
      <c r="J338" s="3"/>
      <c r="K338" s="3"/>
      <c r="L338" s="226"/>
      <c r="M338" s="226"/>
      <c r="O338" s="564" t="s">
        <v>4334</v>
      </c>
      <c r="P338" s="588" t="s">
        <v>4332</v>
      </c>
      <c r="Q338" s="588" t="s">
        <v>4333</v>
      </c>
      <c r="R338" s="596">
        <v>613564800</v>
      </c>
      <c r="S338" s="588">
        <v>0</v>
      </c>
      <c r="T338" s="588" t="s">
        <v>826</v>
      </c>
      <c r="U338" s="588" t="s">
        <v>1151</v>
      </c>
      <c r="V338" s="587" t="s">
        <v>4311</v>
      </c>
      <c r="W338" s="588"/>
      <c r="X338" s="588" t="s">
        <v>4327</v>
      </c>
      <c r="Y338" s="317"/>
      <c r="Z338" s="318"/>
      <c r="AA338" s="256"/>
      <c r="AC338" s="308"/>
      <c r="AH338" s="581"/>
      <c r="AJ338" s="232"/>
      <c r="AK338" s="232"/>
      <c r="AQ338" s="590"/>
    </row>
    <row r="339" spans="7:45" ht="15.75">
      <c r="J339" s="3"/>
      <c r="K339" s="3"/>
      <c r="L339" s="226"/>
      <c r="M339" s="226"/>
      <c r="O339" s="564"/>
      <c r="P339" s="588" t="s">
        <v>4332</v>
      </c>
      <c r="Q339" s="588" t="s">
        <v>4333</v>
      </c>
      <c r="R339" s="588">
        <v>613564800</v>
      </c>
      <c r="S339" s="588">
        <v>0</v>
      </c>
      <c r="T339" s="588" t="s">
        <v>826</v>
      </c>
      <c r="U339" s="588" t="s">
        <v>1151</v>
      </c>
      <c r="V339" s="588" t="s">
        <v>4295</v>
      </c>
      <c r="W339" s="588"/>
      <c r="X339" s="588" t="s">
        <v>4327</v>
      </c>
      <c r="Y339" s="317"/>
      <c r="Z339" s="318"/>
      <c r="AA339" s="256"/>
      <c r="AC339" s="308"/>
      <c r="AH339" s="581"/>
      <c r="AJ339" s="232"/>
      <c r="AK339" s="232"/>
      <c r="AQ339" s="590"/>
    </row>
    <row r="340" spans="7:45" ht="15.75">
      <c r="J340" s="3"/>
      <c r="K340" s="3"/>
      <c r="L340" s="226"/>
      <c r="M340" s="226"/>
      <c r="O340" s="564"/>
      <c r="P340" s="588" t="s">
        <v>4332</v>
      </c>
      <c r="Q340" s="588" t="s">
        <v>4333</v>
      </c>
      <c r="R340" s="588">
        <v>613564800</v>
      </c>
      <c r="S340" s="588">
        <v>0</v>
      </c>
      <c r="T340" s="588" t="s">
        <v>826</v>
      </c>
      <c r="U340" s="588" t="s">
        <v>1151</v>
      </c>
      <c r="V340" s="588" t="s">
        <v>1471</v>
      </c>
      <c r="W340" s="588"/>
      <c r="X340" s="588" t="s">
        <v>4327</v>
      </c>
      <c r="Y340" s="317"/>
      <c r="Z340" s="318"/>
      <c r="AA340" s="256"/>
      <c r="AC340" s="308"/>
      <c r="AH340" s="581"/>
      <c r="AJ340" s="232"/>
      <c r="AK340" s="232"/>
      <c r="AQ340" s="590"/>
    </row>
    <row r="341" spans="7:45" ht="15.75">
      <c r="J341" s="3" t="s">
        <v>943</v>
      </c>
      <c r="K341" s="3" t="s">
        <v>1540</v>
      </c>
      <c r="L341" s="226" t="str">
        <f>M330</f>
        <v>25-181/04:48</v>
      </c>
      <c r="M341" s="226" t="s">
        <v>4359</v>
      </c>
      <c r="N341" t="s">
        <v>4335</v>
      </c>
      <c r="O341" s="564"/>
      <c r="P341" s="179" t="str">
        <f>MID(AL341,5,5)</f>
        <v/>
      </c>
      <c r="Q341" s="392">
        <f>R338-3</f>
        <v>613564797</v>
      </c>
      <c r="R341" s="104">
        <f>((W341)/$S$2)+Q341</f>
        <v>614149095.70580232</v>
      </c>
      <c r="S341" s="104">
        <f t="shared" ref="S341" si="209">R341-Q341</f>
        <v>584298.70580232143</v>
      </c>
      <c r="T341" s="104">
        <f>S341*$S$2</f>
        <v>295460.29952462157</v>
      </c>
      <c r="U341" s="3">
        <v>0</v>
      </c>
      <c r="V341" s="97">
        <f t="shared" ref="V341" si="210">T341+U341*$V$33</f>
        <v>295460.29952462157</v>
      </c>
      <c r="W341" s="396">
        <f>X330</f>
        <v>295460.29952459713</v>
      </c>
      <c r="X341" s="266">
        <f t="shared" ref="X341:X342" si="211">W341-V341</f>
        <v>-2.4447217583656311E-8</v>
      </c>
      <c r="Y341" s="317"/>
      <c r="Z341" s="318"/>
      <c r="AA341" s="256"/>
      <c r="AB341">
        <f>W341*8/1000000</f>
        <v>2.363682396196777</v>
      </c>
      <c r="AC341" s="308">
        <f>AK341+AC330</f>
        <v>80.815494551168328</v>
      </c>
      <c r="AH341" s="581"/>
      <c r="AJ341" s="232">
        <f t="shared" ref="AJ341" si="212">X341*8/1000000</f>
        <v>-1.955777406692505E-13</v>
      </c>
      <c r="AK341" s="232">
        <f t="shared" ref="AK341" si="213">V341*8/1000000</f>
        <v>2.3636823961969724</v>
      </c>
      <c r="AQ341" s="590"/>
    </row>
    <row r="342" spans="7:45" ht="15.75">
      <c r="G342" s="386"/>
      <c r="H342" s="386"/>
      <c r="I342" s="386"/>
      <c r="J342" s="3" t="s">
        <v>943</v>
      </c>
      <c r="K342" s="3" t="s">
        <v>1540</v>
      </c>
      <c r="L342" s="226" t="str">
        <f>M341</f>
        <v>25-187/23:06</v>
      </c>
      <c r="M342" s="226" t="s">
        <v>4360</v>
      </c>
      <c r="N342" t="s">
        <v>4335</v>
      </c>
      <c r="O342" s="564" t="str">
        <f>AI342</f>
        <v>215/14:20</v>
      </c>
      <c r="P342" s="179" t="str">
        <f>MID(AL342,5,5)</f>
        <v>215_1</v>
      </c>
      <c r="Q342" s="104">
        <f>R341-3</f>
        <v>614149092.70580232</v>
      </c>
      <c r="R342" s="104">
        <f>((W342)/$S$2)+Q342</f>
        <v>614850080.39412427</v>
      </c>
      <c r="S342" s="104">
        <f>R342-Q342</f>
        <v>700987.68832194805</v>
      </c>
      <c r="T342" s="104">
        <f>S342*$S$2</f>
        <v>354466.01250002626</v>
      </c>
      <c r="U342" s="3">
        <v>0</v>
      </c>
      <c r="V342" s="97">
        <f t="shared" si="207"/>
        <v>354466.01250002626</v>
      </c>
      <c r="W342" s="97">
        <f>AA342*1000000/8</f>
        <v>354466.01250000001</v>
      </c>
      <c r="X342" s="266">
        <f t="shared" si="211"/>
        <v>-2.6251655071973801E-8</v>
      </c>
      <c r="Y342" s="317"/>
      <c r="Z342" s="318"/>
      <c r="AA342" s="256">
        <f>AR342</f>
        <v>2.8357281000000003</v>
      </c>
      <c r="AC342" s="308">
        <f>AK342+AC341</f>
        <v>83.651222651168538</v>
      </c>
      <c r="AE342" s="278"/>
      <c r="AH342" s="581" t="str">
        <f>AL342</f>
        <v>TRK_215_1</v>
      </c>
      <c r="AI342" t="s">
        <v>4231</v>
      </c>
      <c r="AJ342" s="232">
        <f t="shared" si="189"/>
        <v>-2.1001324057579041E-13</v>
      </c>
      <c r="AK342" s="232">
        <f t="shared" si="190"/>
        <v>2.8357281000002099</v>
      </c>
      <c r="AL342" t="s">
        <v>1510</v>
      </c>
      <c r="AM342" t="s">
        <v>4201</v>
      </c>
      <c r="AN342">
        <v>0.22704199999999999</v>
      </c>
      <c r="AO342">
        <v>0.58508800000000005</v>
      </c>
      <c r="AP342">
        <v>0.35804599999999998</v>
      </c>
      <c r="AQ342" s="590">
        <v>3.1508090000000002</v>
      </c>
      <c r="AR342">
        <f t="shared" si="191"/>
        <v>2.8357281000000003</v>
      </c>
      <c r="AS342">
        <f>AS330+AR342</f>
        <v>144.15919920000002</v>
      </c>
    </row>
    <row r="343" spans="7:45" ht="15.75">
      <c r="G343" s="386"/>
      <c r="H343" s="386"/>
      <c r="I343" s="386"/>
      <c r="J343" s="3"/>
      <c r="K343" s="3"/>
      <c r="L343" s="226" t="str">
        <f>M342</f>
        <v>25-196/01:49</v>
      </c>
      <c r="M343" s="226" t="s">
        <v>4297</v>
      </c>
      <c r="N343" t="s">
        <v>4336</v>
      </c>
      <c r="O343" s="564" t="str">
        <f>AI343</f>
        <v>216/03:34</v>
      </c>
      <c r="P343" s="179" t="str">
        <f>MID(AL343,5,5)</f>
        <v>216_1</v>
      </c>
      <c r="Q343" s="104">
        <f>R342-3</f>
        <v>614850077.39412427</v>
      </c>
      <c r="R343" s="411">
        <f>Q214-3</f>
        <v>615306093</v>
      </c>
      <c r="S343" s="104">
        <f>R343-Q343</f>
        <v>456015.60587573051</v>
      </c>
      <c r="T343" s="104">
        <f>S343*$S$2</f>
        <v>230591.82942213837</v>
      </c>
      <c r="U343" s="3">
        <v>0</v>
      </c>
      <c r="V343" s="97">
        <f t="shared" ref="V343" si="214">T343+U343*$V$33</f>
        <v>230591.82942213837</v>
      </c>
      <c r="W343" s="97">
        <f>AA343*1000000/8</f>
        <v>1016345.8125000002</v>
      </c>
      <c r="X343" s="401">
        <f t="shared" ref="X343" si="215">W343-V343</f>
        <v>785753.98307786183</v>
      </c>
      <c r="Y343" s="317"/>
      <c r="Z343" s="318"/>
      <c r="AA343" s="256">
        <f>AR343</f>
        <v>8.1307665000000018</v>
      </c>
      <c r="AB343">
        <f>V343*8/1000000</f>
        <v>1.844734635377107</v>
      </c>
      <c r="AC343" s="308">
        <f>AK343+AC342</f>
        <v>85.495957286545647</v>
      </c>
      <c r="AE343" s="278"/>
      <c r="AH343" s="581" t="str">
        <f>AL343</f>
        <v>TRK_216_1</v>
      </c>
      <c r="AI343" t="s">
        <v>4241</v>
      </c>
      <c r="AJ343" s="232">
        <f t="shared" ref="AJ343" si="216">X343*8/1000000</f>
        <v>6.2860318646228945</v>
      </c>
      <c r="AK343" s="232">
        <f t="shared" ref="AK343" si="217">V343*8/1000000</f>
        <v>1.844734635377107</v>
      </c>
      <c r="AL343" t="s">
        <v>1512</v>
      </c>
      <c r="AM343" t="s">
        <v>4202</v>
      </c>
      <c r="AN343">
        <v>0.23466000000000001</v>
      </c>
      <c r="AO343">
        <v>1.2612719999999999</v>
      </c>
      <c r="AP343">
        <v>1.0266120000000001</v>
      </c>
      <c r="AQ343" s="590">
        <v>9.0341850000000008</v>
      </c>
      <c r="AR343">
        <f t="shared" ref="AR343" si="218">AQ343*0.9</f>
        <v>8.1307665000000018</v>
      </c>
      <c r="AS343">
        <f>AS342+AR343</f>
        <v>152.28996570000001</v>
      </c>
    </row>
    <row r="344" spans="7:45" ht="15.75">
      <c r="G344" s="386"/>
      <c r="H344" s="386"/>
      <c r="I344" s="386"/>
      <c r="J344" s="3"/>
      <c r="K344" s="3"/>
      <c r="L344" s="226"/>
      <c r="M344" s="226"/>
      <c r="O344" s="564"/>
      <c r="P344" s="407" t="s">
        <v>4308</v>
      </c>
      <c r="Q344" s="407" t="s">
        <v>242</v>
      </c>
      <c r="R344" s="407" t="s">
        <v>4308</v>
      </c>
      <c r="S344" s="407" t="s">
        <v>242</v>
      </c>
      <c r="T344" s="104" t="s">
        <v>4342</v>
      </c>
      <c r="U344" s="3"/>
      <c r="V344" s="405">
        <v>615306096</v>
      </c>
      <c r="W344" s="405">
        <v>615339021</v>
      </c>
      <c r="X344" s="400"/>
      <c r="Y344" s="317"/>
      <c r="Z344" s="318"/>
      <c r="AA344" s="256"/>
      <c r="AC344" s="308"/>
      <c r="AE344" s="278"/>
      <c r="AH344" s="581"/>
      <c r="AJ344" s="232"/>
      <c r="AK344" s="232"/>
      <c r="AQ344" s="590"/>
    </row>
    <row r="345" spans="7:45" ht="15.75">
      <c r="G345" s="386"/>
      <c r="H345" s="386"/>
      <c r="I345" s="386"/>
      <c r="J345" s="3"/>
      <c r="K345" s="3"/>
      <c r="L345" s="226"/>
      <c r="M345" s="226"/>
      <c r="O345" s="564"/>
      <c r="P345" s="407" t="s">
        <v>4298</v>
      </c>
      <c r="Q345" s="408" t="s">
        <v>1485</v>
      </c>
      <c r="R345" s="597">
        <v>615306096</v>
      </c>
      <c r="S345" s="598">
        <v>615339021</v>
      </c>
      <c r="T345" s="104"/>
      <c r="U345" s="3"/>
      <c r="V345" s="406" t="s">
        <v>4363</v>
      </c>
      <c r="W345" s="405"/>
      <c r="X345" s="400"/>
      <c r="Y345" s="317"/>
      <c r="Z345" s="318"/>
      <c r="AA345" s="256"/>
      <c r="AC345" s="308"/>
      <c r="AE345" s="278"/>
      <c r="AH345" s="581"/>
      <c r="AJ345" s="232"/>
      <c r="AK345" s="232"/>
      <c r="AQ345" s="590"/>
    </row>
    <row r="346" spans="7:45" ht="15.75">
      <c r="G346" s="386"/>
      <c r="H346" s="386"/>
      <c r="I346" s="386"/>
      <c r="J346" s="3"/>
      <c r="K346" s="3"/>
      <c r="L346" s="226"/>
      <c r="M346" s="226"/>
      <c r="N346" s="17" t="s">
        <v>4347</v>
      </c>
      <c r="O346" s="564" t="s">
        <v>169</v>
      </c>
      <c r="P346" s="588" t="s">
        <v>4299</v>
      </c>
      <c r="Q346" s="588" t="s">
        <v>4300</v>
      </c>
      <c r="R346" s="599">
        <v>615779216</v>
      </c>
      <c r="S346" s="588">
        <v>7</v>
      </c>
      <c r="T346" s="588" t="s">
        <v>373</v>
      </c>
      <c r="U346" s="588" t="s">
        <v>4301</v>
      </c>
      <c r="V346" s="588" t="s">
        <v>816</v>
      </c>
      <c r="W346" s="588" t="s">
        <v>817</v>
      </c>
      <c r="X346" s="588" t="s">
        <v>4302</v>
      </c>
      <c r="Y346" s="317"/>
      <c r="Z346" s="318"/>
      <c r="AA346" s="256"/>
      <c r="AC346" s="308"/>
      <c r="AE346" s="278"/>
      <c r="AH346" s="581"/>
      <c r="AJ346" s="232"/>
      <c r="AK346" s="232"/>
      <c r="AQ346" s="590"/>
    </row>
    <row r="347" spans="7:45" ht="15.75">
      <c r="G347" s="386"/>
      <c r="H347" s="386"/>
      <c r="I347" s="386"/>
      <c r="J347" s="3"/>
      <c r="K347" s="3"/>
      <c r="L347" s="226"/>
      <c r="M347" s="226"/>
      <c r="O347" s="564"/>
      <c r="P347" s="588" t="s">
        <v>4303</v>
      </c>
      <c r="Q347" s="588" t="s">
        <v>4304</v>
      </c>
      <c r="R347" s="588">
        <v>615779236</v>
      </c>
      <c r="S347" s="588">
        <v>1</v>
      </c>
      <c r="T347" s="588" t="s">
        <v>373</v>
      </c>
      <c r="U347" s="588" t="s">
        <v>4301</v>
      </c>
      <c r="V347" s="588" t="s">
        <v>833</v>
      </c>
      <c r="W347" s="588"/>
      <c r="X347" s="588" t="s">
        <v>4302</v>
      </c>
      <c r="Y347" s="317"/>
      <c r="Z347" s="318"/>
      <c r="AA347" s="256"/>
      <c r="AC347" s="308"/>
      <c r="AE347" s="278"/>
      <c r="AH347" s="581"/>
      <c r="AJ347" s="232"/>
      <c r="AK347" s="232"/>
      <c r="AQ347" s="590"/>
    </row>
    <row r="348" spans="7:45" ht="15.75">
      <c r="G348" s="386"/>
      <c r="H348" s="386"/>
      <c r="I348" s="386"/>
      <c r="J348" s="3"/>
      <c r="K348" s="3"/>
      <c r="L348" s="226"/>
      <c r="M348" s="226"/>
      <c r="O348" s="564"/>
      <c r="P348" s="588" t="s">
        <v>4305</v>
      </c>
      <c r="Q348" s="588" t="s">
        <v>4306</v>
      </c>
      <c r="R348" s="588">
        <v>615779241</v>
      </c>
      <c r="S348" s="588">
        <v>1</v>
      </c>
      <c r="T348" s="588" t="s">
        <v>373</v>
      </c>
      <c r="U348" s="588" t="s">
        <v>4301</v>
      </c>
      <c r="V348" s="588" t="s">
        <v>833</v>
      </c>
      <c r="W348" s="588"/>
      <c r="X348" s="588" t="s">
        <v>4302</v>
      </c>
      <c r="Y348" s="317"/>
      <c r="Z348" s="318"/>
      <c r="AA348" s="256"/>
      <c r="AC348" s="308"/>
      <c r="AE348" s="278"/>
      <c r="AH348" s="581"/>
      <c r="AJ348" s="232"/>
      <c r="AK348" s="232"/>
      <c r="AQ348" s="590"/>
    </row>
    <row r="349" spans="7:45" ht="15.75">
      <c r="G349" s="386"/>
      <c r="H349" s="386"/>
      <c r="I349" s="386"/>
      <c r="J349" s="3"/>
      <c r="K349" s="3"/>
      <c r="L349" s="226"/>
      <c r="M349" s="226"/>
      <c r="O349" s="564"/>
      <c r="P349" s="588" t="s">
        <v>4309</v>
      </c>
      <c r="Q349" s="588" t="s">
        <v>4310</v>
      </c>
      <c r="R349" s="588">
        <v>615779712</v>
      </c>
      <c r="S349" s="588">
        <v>0</v>
      </c>
      <c r="T349" s="588" t="s">
        <v>826</v>
      </c>
      <c r="U349" s="588" t="s">
        <v>4301</v>
      </c>
      <c r="V349" s="588" t="s">
        <v>4291</v>
      </c>
      <c r="W349" s="588"/>
      <c r="X349" s="588" t="s">
        <v>4302</v>
      </c>
      <c r="Y349" s="317"/>
      <c r="Z349" s="318"/>
      <c r="AA349" s="256"/>
      <c r="AC349" s="308"/>
      <c r="AE349" s="278"/>
      <c r="AH349" s="581"/>
      <c r="AJ349" s="232"/>
      <c r="AK349" s="232"/>
      <c r="AQ349" s="590"/>
    </row>
    <row r="350" spans="7:45" ht="15.75">
      <c r="G350" s="386"/>
      <c r="H350" s="386"/>
      <c r="I350" s="386"/>
      <c r="J350" s="3"/>
      <c r="K350" s="3"/>
      <c r="L350" s="226"/>
      <c r="M350" s="226"/>
      <c r="O350" s="564"/>
      <c r="P350" s="588" t="s">
        <v>4309</v>
      </c>
      <c r="Q350" s="588" t="s">
        <v>4310</v>
      </c>
      <c r="R350" s="588">
        <v>615779712</v>
      </c>
      <c r="S350" s="588">
        <v>0</v>
      </c>
      <c r="T350" s="588" t="s">
        <v>826</v>
      </c>
      <c r="U350" s="588" t="s">
        <v>4301</v>
      </c>
      <c r="V350" s="588" t="s">
        <v>4292</v>
      </c>
      <c r="W350" s="588"/>
      <c r="X350" s="588" t="s">
        <v>4302</v>
      </c>
      <c r="Y350" s="317"/>
      <c r="Z350" s="318"/>
      <c r="AA350" s="256"/>
      <c r="AC350" s="308"/>
      <c r="AE350" s="278"/>
      <c r="AH350" s="581"/>
      <c r="AJ350" s="232"/>
      <c r="AK350" s="232"/>
      <c r="AQ350" s="590"/>
    </row>
    <row r="351" spans="7:45" ht="15.75">
      <c r="G351" s="386"/>
      <c r="H351" s="386"/>
      <c r="I351" s="386"/>
      <c r="J351" s="3"/>
      <c r="K351" s="3"/>
      <c r="L351" s="226"/>
      <c r="M351" s="226"/>
      <c r="O351" s="564"/>
      <c r="P351" s="588" t="s">
        <v>4309</v>
      </c>
      <c r="Q351" s="588" t="s">
        <v>4310</v>
      </c>
      <c r="R351" s="588">
        <v>615779712</v>
      </c>
      <c r="S351" s="588">
        <v>0</v>
      </c>
      <c r="T351" s="588" t="s">
        <v>826</v>
      </c>
      <c r="U351" s="588" t="s">
        <v>4301</v>
      </c>
      <c r="V351" s="588" t="s">
        <v>4293</v>
      </c>
      <c r="W351" s="588"/>
      <c r="X351" s="588" t="s">
        <v>4302</v>
      </c>
      <c r="Y351" s="317"/>
      <c r="Z351" s="318"/>
      <c r="AA351" s="256"/>
      <c r="AC351" s="308"/>
      <c r="AE351" s="278"/>
      <c r="AH351" s="581"/>
      <c r="AJ351" s="232"/>
      <c r="AK351" s="232"/>
      <c r="AQ351" s="590"/>
    </row>
    <row r="352" spans="7:45" ht="15.75">
      <c r="G352" s="386"/>
      <c r="H352" s="386"/>
      <c r="I352" s="386"/>
      <c r="J352" s="3"/>
      <c r="K352" s="3"/>
      <c r="L352" s="226"/>
      <c r="M352" s="226"/>
      <c r="O352" s="564"/>
      <c r="P352" s="588" t="s">
        <v>4309</v>
      </c>
      <c r="Q352" s="588" t="s">
        <v>4310</v>
      </c>
      <c r="R352" s="588">
        <v>615779712</v>
      </c>
      <c r="S352" s="588">
        <v>0</v>
      </c>
      <c r="T352" s="588" t="s">
        <v>826</v>
      </c>
      <c r="U352" s="588" t="s">
        <v>4301</v>
      </c>
      <c r="V352" s="588" t="s">
        <v>828</v>
      </c>
      <c r="W352" s="588"/>
      <c r="X352" s="588" t="s">
        <v>4302</v>
      </c>
      <c r="Y352" s="317"/>
      <c r="Z352" s="318"/>
      <c r="AA352" s="256"/>
      <c r="AC352" s="308"/>
      <c r="AE352" s="278"/>
      <c r="AH352" s="581"/>
      <c r="AJ352" s="232"/>
      <c r="AK352" s="232"/>
      <c r="AQ352" s="590"/>
    </row>
    <row r="353" spans="7:45" ht="15.75">
      <c r="G353" s="386"/>
      <c r="H353" s="386"/>
      <c r="I353" s="386"/>
      <c r="J353" s="3"/>
      <c r="K353" s="3"/>
      <c r="L353" s="226"/>
      <c r="M353" s="226"/>
      <c r="O353" s="564"/>
      <c r="P353" s="588" t="s">
        <v>4309</v>
      </c>
      <c r="Q353" s="588" t="s">
        <v>4310</v>
      </c>
      <c r="R353" s="588">
        <v>615779712</v>
      </c>
      <c r="S353" s="588">
        <v>0</v>
      </c>
      <c r="T353" s="588" t="s">
        <v>826</v>
      </c>
      <c r="U353" s="588" t="s">
        <v>4301</v>
      </c>
      <c r="V353" s="587" t="s">
        <v>4311</v>
      </c>
      <c r="W353" s="588"/>
      <c r="X353" s="588" t="s">
        <v>4302</v>
      </c>
      <c r="Y353" s="317"/>
      <c r="Z353" s="318"/>
      <c r="AA353" s="256"/>
      <c r="AC353" s="308"/>
      <c r="AE353" s="278"/>
      <c r="AH353" s="581"/>
      <c r="AJ353" s="232"/>
      <c r="AK353" s="232"/>
      <c r="AQ353" s="590"/>
    </row>
    <row r="354" spans="7:45" ht="15.75">
      <c r="G354" s="386"/>
      <c r="H354" s="386"/>
      <c r="I354" s="386"/>
      <c r="J354" s="3"/>
      <c r="K354" s="3"/>
      <c r="L354" s="226"/>
      <c r="M354" s="226"/>
      <c r="O354" s="564"/>
      <c r="P354" s="588" t="s">
        <v>4309</v>
      </c>
      <c r="Q354" s="588" t="s">
        <v>4310</v>
      </c>
      <c r="R354" s="588">
        <v>615779712</v>
      </c>
      <c r="S354" s="588">
        <v>0</v>
      </c>
      <c r="T354" s="588" t="s">
        <v>4343</v>
      </c>
      <c r="U354" s="588" t="s">
        <v>4301</v>
      </c>
      <c r="V354" s="588" t="s">
        <v>4295</v>
      </c>
      <c r="W354" s="588"/>
      <c r="X354" s="588" t="s">
        <v>4302</v>
      </c>
      <c r="Y354" s="317"/>
      <c r="Z354" s="318"/>
      <c r="AA354" s="256"/>
      <c r="AC354" s="308"/>
      <c r="AE354" s="278"/>
      <c r="AH354" s="581"/>
      <c r="AJ354" s="232"/>
      <c r="AK354" s="232"/>
      <c r="AQ354" s="590"/>
    </row>
    <row r="355" spans="7:45" ht="15.75">
      <c r="G355" s="386"/>
      <c r="H355" s="386"/>
      <c r="I355" s="386"/>
      <c r="J355" s="3"/>
      <c r="K355" s="3"/>
      <c r="L355" s="419" t="str" cm="1">
        <f t="array" aca="1" ref="L355" ca="1">MID(met2utc(Q356),3,12)</f>
        <v>25-206/19:54</v>
      </c>
      <c r="M355" s="226">
        <f>(218-206)*3600/1000000</f>
        <v>4.3200000000000002E-2</v>
      </c>
      <c r="O355" s="564"/>
      <c r="P355" s="588" t="s">
        <v>4309</v>
      </c>
      <c r="Q355" s="588" t="s">
        <v>4310</v>
      </c>
      <c r="R355" s="588">
        <v>615779712</v>
      </c>
      <c r="S355" s="588">
        <v>0</v>
      </c>
      <c r="T355" s="588" t="s">
        <v>826</v>
      </c>
      <c r="U355" s="588" t="s">
        <v>4301</v>
      </c>
      <c r="V355" s="588" t="s">
        <v>1471</v>
      </c>
      <c r="W355" s="588"/>
      <c r="X355" s="588" t="s">
        <v>4302</v>
      </c>
      <c r="Y355" s="317"/>
      <c r="Z355" s="318"/>
      <c r="AA355" s="256"/>
      <c r="AC355" s="308"/>
      <c r="AE355" s="278"/>
      <c r="AH355" s="581"/>
      <c r="AJ355" s="232"/>
      <c r="AK355" s="232"/>
      <c r="AQ355" s="590"/>
    </row>
    <row r="356" spans="7:45" ht="15.75">
      <c r="G356" s="386"/>
      <c r="H356" s="386"/>
      <c r="I356" s="386"/>
      <c r="J356" s="3" t="s">
        <v>943</v>
      </c>
      <c r="K356" s="3" t="s">
        <v>1540</v>
      </c>
      <c r="L356" s="226" t="s">
        <v>4312</v>
      </c>
      <c r="M356" s="226" t="s">
        <v>4340</v>
      </c>
      <c r="N356" t="s">
        <v>4335</v>
      </c>
      <c r="O356" s="554" t="s">
        <v>4348</v>
      </c>
      <c r="P356" s="179" t="str">
        <f>MID(AL356,5,5)</f>
        <v/>
      </c>
      <c r="Q356" s="599">
        <f>R346-5</f>
        <v>615779211</v>
      </c>
      <c r="R356" s="404">
        <f>R358+20</f>
        <v>616808241</v>
      </c>
      <c r="S356" s="104">
        <f t="shared" ref="S356" si="219">R356-Q356</f>
        <v>1029030</v>
      </c>
      <c r="T356" s="104">
        <f>S356*$S$2</f>
        <v>520346.03020784812</v>
      </c>
      <c r="U356" s="3">
        <v>0</v>
      </c>
      <c r="V356" s="97">
        <f t="shared" ref="V356" si="220">T356+U356*$V$33</f>
        <v>520346.03020784812</v>
      </c>
      <c r="W356" s="396">
        <f>X343</f>
        <v>785753.98307786183</v>
      </c>
      <c r="X356" s="401">
        <f t="shared" ref="X356" si="221">W356-V356</f>
        <v>265407.95287001372</v>
      </c>
      <c r="Y356" s="317"/>
      <c r="Z356" s="318"/>
      <c r="AA356" s="256"/>
      <c r="AB356">
        <f>V356*8/1000000</f>
        <v>4.1627682416627847</v>
      </c>
      <c r="AC356" s="308">
        <f>AK356+AC343</f>
        <v>89.658725528208436</v>
      </c>
      <c r="AH356" s="581"/>
      <c r="AJ356" s="232">
        <f t="shared" ref="AJ356" si="222">X356*8/1000000</f>
        <v>2.1232636229601098</v>
      </c>
      <c r="AK356" s="232">
        <f t="shared" ref="AK356" si="223">V356*8/1000000</f>
        <v>4.1627682416627847</v>
      </c>
      <c r="AL356" s="600"/>
      <c r="AM356" s="600"/>
      <c r="AN356" s="600"/>
      <c r="AO356" s="600"/>
      <c r="AP356" s="600"/>
      <c r="AQ356" s="601"/>
    </row>
    <row r="357" spans="7:45" ht="15.75">
      <c r="G357" s="386"/>
      <c r="H357" s="386"/>
      <c r="I357" s="386"/>
      <c r="J357" s="3"/>
      <c r="K357" s="3"/>
      <c r="L357" s="226"/>
      <c r="M357" s="420" t="str" cm="1">
        <f t="array" aca="1" ref="M357" ca="1">MID(met2utc(R356),3,12)</f>
        <v>25-218/17:45</v>
      </c>
      <c r="O357" s="554"/>
      <c r="P357" s="582" t="s">
        <v>4315</v>
      </c>
      <c r="Q357" s="582" t="s">
        <v>4316</v>
      </c>
      <c r="R357" s="602">
        <v>616807877</v>
      </c>
      <c r="S357" s="582">
        <v>0</v>
      </c>
      <c r="T357" s="582" t="s">
        <v>826</v>
      </c>
      <c r="U357" s="582" t="s">
        <v>2176</v>
      </c>
      <c r="V357" s="582" t="s">
        <v>4317</v>
      </c>
      <c r="W357" s="582"/>
      <c r="X357" s="582" t="s">
        <v>4318</v>
      </c>
      <c r="Y357" s="317"/>
      <c r="Z357" s="318"/>
      <c r="AA357" s="256"/>
      <c r="AC357" s="308"/>
      <c r="AE357" s="278"/>
      <c r="AH357" s="581"/>
      <c r="AJ357" s="232"/>
      <c r="AK357" s="232"/>
      <c r="AQ357" s="590"/>
    </row>
    <row r="358" spans="7:45" ht="15.75">
      <c r="G358" s="386"/>
      <c r="H358" s="386"/>
      <c r="I358" s="386"/>
      <c r="J358" s="3"/>
      <c r="K358" s="3"/>
      <c r="L358" s="226"/>
      <c r="M358" s="226"/>
      <c r="O358" s="554" t="s">
        <v>4338</v>
      </c>
      <c r="P358" s="582" t="s">
        <v>4319</v>
      </c>
      <c r="Q358" s="582" t="s">
        <v>4320</v>
      </c>
      <c r="R358" s="603">
        <v>616808221</v>
      </c>
      <c r="S358" s="582">
        <v>1</v>
      </c>
      <c r="T358" s="582" t="s">
        <v>373</v>
      </c>
      <c r="U358" s="582" t="s">
        <v>1072</v>
      </c>
      <c r="V358" s="582" t="s">
        <v>833</v>
      </c>
      <c r="W358" s="582"/>
      <c r="X358" s="582" t="s">
        <v>4318</v>
      </c>
      <c r="Y358" s="317"/>
      <c r="Z358" s="318"/>
      <c r="AA358" s="256"/>
      <c r="AC358" s="308"/>
      <c r="AE358" s="278"/>
      <c r="AH358" s="581"/>
      <c r="AJ358" s="232"/>
      <c r="AK358" s="232"/>
      <c r="AQ358" s="590"/>
    </row>
    <row r="359" spans="7:45" ht="15.75">
      <c r="G359" s="386"/>
      <c r="H359" s="386"/>
      <c r="I359" s="386"/>
      <c r="J359" s="3"/>
      <c r="K359" s="3"/>
      <c r="L359" s="226"/>
      <c r="M359" s="226"/>
      <c r="O359" s="564" t="s">
        <v>4337</v>
      </c>
      <c r="P359" s="582" t="s">
        <v>4132</v>
      </c>
      <c r="Q359" s="582" t="s">
        <v>4133</v>
      </c>
      <c r="R359" s="604">
        <v>616842836</v>
      </c>
      <c r="S359" s="582">
        <v>7</v>
      </c>
      <c r="T359" s="582" t="s">
        <v>373</v>
      </c>
      <c r="U359" s="582" t="s">
        <v>4134</v>
      </c>
      <c r="V359" s="582" t="s">
        <v>816</v>
      </c>
      <c r="W359" s="582" t="s">
        <v>817</v>
      </c>
      <c r="X359" s="582" t="s">
        <v>4135</v>
      </c>
      <c r="Y359" s="317"/>
      <c r="Z359" s="318"/>
      <c r="AA359" s="256"/>
      <c r="AC359" s="308"/>
      <c r="AE359" s="278"/>
      <c r="AH359" s="581"/>
      <c r="AJ359" s="232"/>
      <c r="AK359" s="232"/>
      <c r="AQ359" s="590"/>
    </row>
    <row r="360" spans="7:45" ht="15.75">
      <c r="G360" s="386"/>
      <c r="H360" s="386"/>
      <c r="I360" s="386"/>
      <c r="J360" s="3"/>
      <c r="K360" s="3"/>
      <c r="L360" s="419" t="str" cm="1">
        <f t="array" aca="1" ref="L360" ca="1">MID(met2utc(Q361),3,12)</f>
        <v>25-219/03:21</v>
      </c>
      <c r="M360" s="226"/>
      <c r="O360" s="564"/>
      <c r="P360" s="583" t="s">
        <v>4321</v>
      </c>
      <c r="Q360" s="583" t="s">
        <v>4322</v>
      </c>
      <c r="R360" s="605">
        <v>616843328</v>
      </c>
      <c r="S360" s="583">
        <v>0</v>
      </c>
      <c r="T360" s="583" t="s">
        <v>826</v>
      </c>
      <c r="U360" s="583" t="s">
        <v>4134</v>
      </c>
      <c r="V360" s="583" t="s">
        <v>4311</v>
      </c>
      <c r="W360" s="583"/>
      <c r="X360" s="583" t="s">
        <v>4135</v>
      </c>
      <c r="Y360" s="317"/>
      <c r="Z360" s="318"/>
      <c r="AA360" s="256"/>
      <c r="AC360" s="308"/>
      <c r="AE360" s="278"/>
      <c r="AH360" s="581"/>
      <c r="AJ360" s="232"/>
      <c r="AK360" s="232"/>
      <c r="AQ360" s="590"/>
    </row>
    <row r="361" spans="7:45" ht="15.75">
      <c r="J361" s="3" t="s">
        <v>943</v>
      </c>
      <c r="K361" s="3" t="s">
        <v>1540</v>
      </c>
      <c r="L361" s="226" t="s">
        <v>4339</v>
      </c>
      <c r="M361" s="226" t="s">
        <v>4349</v>
      </c>
      <c r="N361" t="s">
        <v>4341</v>
      </c>
      <c r="O361" s="554" t="s">
        <v>4337</v>
      </c>
      <c r="P361" s="179" t="str">
        <f>MID(AL361,5,5)</f>
        <v/>
      </c>
      <c r="Q361" s="606">
        <f>R359-5</f>
        <v>616842831</v>
      </c>
      <c r="R361" s="104">
        <f>((W361)/$S$2)+Q361</f>
        <v>617367698.54945111</v>
      </c>
      <c r="S361" s="104">
        <f t="shared" ref="S361" si="224">R361-Q361</f>
        <v>524867.54945111275</v>
      </c>
      <c r="T361" s="104">
        <f>S361*$S$2</f>
        <v>265407.95286999206</v>
      </c>
      <c r="U361" s="3">
        <v>0</v>
      </c>
      <c r="V361" s="97">
        <f t="shared" si="207"/>
        <v>265407.95286999206</v>
      </c>
      <c r="W361" s="396">
        <f>X356</f>
        <v>265407.95287001372</v>
      </c>
      <c r="X361" s="266">
        <f t="shared" si="208"/>
        <v>2.1653249859809875E-8</v>
      </c>
      <c r="Y361" s="317"/>
      <c r="Z361" s="318"/>
      <c r="AA361" s="256"/>
      <c r="AB361">
        <f>V361*8/1000000</f>
        <v>2.1232636229599366</v>
      </c>
      <c r="AC361" s="308">
        <f>AK361+AC356</f>
        <v>91.781989151168375</v>
      </c>
      <c r="AH361" s="581"/>
      <c r="AJ361" s="232">
        <f t="shared" ref="AJ361" si="225">X361*8/1000000</f>
        <v>1.73225998878479E-13</v>
      </c>
      <c r="AK361" s="232">
        <f t="shared" ref="AK361" si="226">V361*8/1000000</f>
        <v>2.1232636229599366</v>
      </c>
      <c r="AL361" s="600"/>
      <c r="AM361" s="600"/>
      <c r="AN361" s="600"/>
      <c r="AO361" s="600"/>
      <c r="AP361" s="600"/>
      <c r="AQ361" s="601"/>
    </row>
    <row r="362" spans="7:45" ht="15.75">
      <c r="J362" s="3" t="s">
        <v>943</v>
      </c>
      <c r="K362" s="3" t="s">
        <v>1540</v>
      </c>
      <c r="L362" s="226" t="str">
        <f>M361</f>
        <v>25-225/05:09</v>
      </c>
      <c r="M362" s="226" t="s">
        <v>4350</v>
      </c>
      <c r="N362" t="s">
        <v>4341</v>
      </c>
      <c r="O362" s="564" t="str">
        <f>AI362</f>
        <v>216/21:24</v>
      </c>
      <c r="P362" s="179" t="str">
        <f>MID(AL362,5,5)</f>
        <v>216_2</v>
      </c>
      <c r="Q362" s="104">
        <f>R361-3</f>
        <v>617367695.54945111</v>
      </c>
      <c r="R362" s="104">
        <f>((W362)/$S$2)+Q362</f>
        <v>621546384.50990295</v>
      </c>
      <c r="S362" s="104">
        <f>R362-Q362</f>
        <v>4178688.9604518414</v>
      </c>
      <c r="T362" s="104">
        <f>S362*$S$2</f>
        <v>2113023.1499999762</v>
      </c>
      <c r="U362" s="3">
        <v>0</v>
      </c>
      <c r="V362" s="97">
        <f t="shared" ref="V362" si="227">T362+U362*$V$33</f>
        <v>2113023.1499999762</v>
      </c>
      <c r="W362" s="97">
        <f>AA362*1000000/8</f>
        <v>2113023.15</v>
      </c>
      <c r="X362" s="266">
        <f t="shared" ref="X362" si="228">W362-V362</f>
        <v>2.3748725652694702E-8</v>
      </c>
      <c r="Y362" s="317"/>
      <c r="Z362" s="318"/>
      <c r="AA362" s="256">
        <f>AR362</f>
        <v>16.904185200000001</v>
      </c>
      <c r="AC362" s="308">
        <f>AK362+AC343</f>
        <v>102.40014248654546</v>
      </c>
      <c r="AH362" s="581" t="str">
        <f>AL362</f>
        <v>TRK_216_2</v>
      </c>
      <c r="AI362" t="s">
        <v>4232</v>
      </c>
      <c r="AJ362" s="232">
        <f t="shared" ref="AJ362:AJ365" si="229">X362*8/1000000</f>
        <v>1.8998980522155762E-13</v>
      </c>
      <c r="AK362" s="232">
        <f t="shared" ref="AK362:AK365" si="230">V362*8/1000000</f>
        <v>16.904185199999809</v>
      </c>
      <c r="AL362" s="600" t="s">
        <v>4203</v>
      </c>
      <c r="AM362" s="600" t="s">
        <v>4204</v>
      </c>
      <c r="AN362" s="600">
        <v>0.265287</v>
      </c>
      <c r="AO362" s="600">
        <v>2.399654</v>
      </c>
      <c r="AP362" s="600">
        <v>2.1343670000000001</v>
      </c>
      <c r="AQ362" s="601">
        <v>18.782427999999999</v>
      </c>
      <c r="AR362">
        <f t="shared" ref="AR362:AR365" si="231">AQ362*0.9</f>
        <v>16.904185200000001</v>
      </c>
      <c r="AS362">
        <f>AR362+AS343</f>
        <v>169.19415090000001</v>
      </c>
    </row>
    <row r="363" spans="7:45" ht="15.75">
      <c r="J363" s="3" t="s">
        <v>943</v>
      </c>
      <c r="K363" s="3" t="s">
        <v>1540</v>
      </c>
      <c r="L363" s="226" t="str">
        <f>M362</f>
        <v>25-273/13:54</v>
      </c>
      <c r="M363" s="226" t="s">
        <v>4351</v>
      </c>
      <c r="N363" t="s">
        <v>4341</v>
      </c>
      <c r="O363" s="564" t="str">
        <f>AI363</f>
        <v>217/14:19</v>
      </c>
      <c r="P363" s="179" t="str">
        <f>MID(AL363,5,5)</f>
        <v>217_1</v>
      </c>
      <c r="Q363" s="104">
        <f>R362-3</f>
        <v>621546381.50990295</v>
      </c>
      <c r="R363" s="104">
        <f>((W363)/$S$2)+Q363</f>
        <v>622193452.3907274</v>
      </c>
      <c r="S363" s="104">
        <f t="shared" ref="S363" si="232">R363-Q363</f>
        <v>647070.88082444668</v>
      </c>
      <c r="T363" s="104">
        <f>S363*$S$2</f>
        <v>327202.08749997226</v>
      </c>
      <c r="U363" s="3">
        <v>0</v>
      </c>
      <c r="V363" s="97">
        <f t="shared" si="207"/>
        <v>327202.08749997226</v>
      </c>
      <c r="W363" s="97">
        <f>AA363*1000000/8</f>
        <v>327202.08749999997</v>
      </c>
      <c r="X363" s="266">
        <f t="shared" si="208"/>
        <v>2.7706846594810486E-8</v>
      </c>
      <c r="Y363" s="317"/>
      <c r="Z363" s="318"/>
      <c r="AA363" s="256">
        <f>AR363</f>
        <v>2.6176166999999997</v>
      </c>
      <c r="AC363" s="308">
        <f>AK363+AC362</f>
        <v>105.01775918654523</v>
      </c>
      <c r="AH363" s="581" t="str">
        <f>AL363</f>
        <v>TRK_217_1</v>
      </c>
      <c r="AI363" t="s">
        <v>4233</v>
      </c>
      <c r="AJ363" s="232">
        <f t="shared" si="229"/>
        <v>2.216547727584839E-13</v>
      </c>
      <c r="AK363" s="232">
        <f t="shared" si="230"/>
        <v>2.6176166999997781</v>
      </c>
      <c r="AL363" t="s">
        <v>4205</v>
      </c>
      <c r="AM363" t="s">
        <v>4206</v>
      </c>
      <c r="AN363">
        <v>0.24232699999999999</v>
      </c>
      <c r="AO363">
        <v>0.57283399999999995</v>
      </c>
      <c r="AP363">
        <v>0.330507</v>
      </c>
      <c r="AQ363" s="590">
        <v>2.9084629999999998</v>
      </c>
      <c r="AR363">
        <f t="shared" si="231"/>
        <v>2.6176166999999997</v>
      </c>
      <c r="AS363">
        <f>AS362+AR363</f>
        <v>171.81176760000002</v>
      </c>
    </row>
    <row r="364" spans="7:45" ht="15.75">
      <c r="J364" s="3" t="s">
        <v>943</v>
      </c>
      <c r="K364" s="3" t="s">
        <v>1540</v>
      </c>
      <c r="L364" s="226" t="str">
        <f t="shared" ref="L364:L365" si="233">M363</f>
        <v>25-281/01:38</v>
      </c>
      <c r="M364" s="226" t="s">
        <v>4352</v>
      </c>
      <c r="N364" t="s">
        <v>4341</v>
      </c>
      <c r="O364" s="564" t="str">
        <f>AI364</f>
        <v>218/03:29</v>
      </c>
      <c r="P364" s="179" t="str">
        <f>MID(AL364,5,5)</f>
        <v>218_1</v>
      </c>
      <c r="Q364" s="104">
        <f>R363-3</f>
        <v>622193449.3907274</v>
      </c>
      <c r="R364" s="104">
        <f>((W364)/$S$2)+Q364</f>
        <v>624386851.57853949</v>
      </c>
      <c r="S364" s="104">
        <f t="shared" ref="S364:S365" si="234">R364-Q364</f>
        <v>2193402.1878120899</v>
      </c>
      <c r="T364" s="104">
        <f>S364*$S$2</f>
        <v>1109130.0749999804</v>
      </c>
      <c r="U364" s="3">
        <v>0</v>
      </c>
      <c r="V364" s="97">
        <f t="shared" si="207"/>
        <v>1109130.0749999804</v>
      </c>
      <c r="W364" s="97">
        <f>AA364*1000000/8</f>
        <v>1109130.075</v>
      </c>
      <c r="X364" s="266">
        <f t="shared" si="208"/>
        <v>1.9557774066925049E-8</v>
      </c>
      <c r="Y364" s="317"/>
      <c r="Z364" s="318"/>
      <c r="AA364" s="256">
        <f>AR364</f>
        <v>8.8730405999999995</v>
      </c>
      <c r="AC364" s="308">
        <f>AK364+AC363</f>
        <v>113.89079978654507</v>
      </c>
      <c r="AH364" s="581" t="str">
        <f>AL364</f>
        <v>TRK_218_1</v>
      </c>
      <c r="AI364" t="s">
        <v>4234</v>
      </c>
      <c r="AJ364" s="232">
        <f t="shared" si="229"/>
        <v>1.5646219253540038E-13</v>
      </c>
      <c r="AK364" s="232">
        <f t="shared" si="230"/>
        <v>8.8730405999998432</v>
      </c>
      <c r="AL364" t="s">
        <v>4207</v>
      </c>
      <c r="AM364" t="s">
        <v>4208</v>
      </c>
      <c r="AN364">
        <v>0.23408999999999999</v>
      </c>
      <c r="AO364">
        <v>1.3544229999999999</v>
      </c>
      <c r="AP364">
        <v>1.120333</v>
      </c>
      <c r="AQ364" s="590">
        <v>9.8589339999999996</v>
      </c>
      <c r="AR364">
        <f t="shared" si="231"/>
        <v>8.8730405999999995</v>
      </c>
      <c r="AS364">
        <f>AS363+AR364</f>
        <v>180.68480820000002</v>
      </c>
    </row>
    <row r="365" spans="7:45" ht="15.75">
      <c r="J365" s="3" t="s">
        <v>943</v>
      </c>
      <c r="K365" s="3" t="s">
        <v>1540</v>
      </c>
      <c r="L365" s="226" t="str">
        <f t="shared" si="233"/>
        <v>25-306/10:55</v>
      </c>
      <c r="M365" s="226" t="s">
        <v>4353</v>
      </c>
      <c r="N365" t="s">
        <v>4341</v>
      </c>
      <c r="O365" s="564" t="str">
        <f>AI365</f>
        <v>218/11:19</v>
      </c>
      <c r="P365" s="179" t="str">
        <f>MID(AL365,5,5)</f>
        <v>218_2</v>
      </c>
      <c r="Q365" s="104">
        <f>R364-3</f>
        <v>624386848.57853949</v>
      </c>
      <c r="R365" s="104">
        <f>((W365)/$S$2)+Q365</f>
        <v>626639848.34333825</v>
      </c>
      <c r="S365" s="104">
        <f t="shared" si="234"/>
        <v>2252999.7647987604</v>
      </c>
      <c r="T365" s="104">
        <f>S365*$S$2</f>
        <v>1139266.5750000004</v>
      </c>
      <c r="U365" s="3">
        <v>0</v>
      </c>
      <c r="V365" s="97">
        <f t="shared" si="207"/>
        <v>1139266.5750000004</v>
      </c>
      <c r="W365" s="97">
        <f>AA365*1000000/8</f>
        <v>1139266.575</v>
      </c>
      <c r="X365" s="266">
        <f t="shared" si="208"/>
        <v>0</v>
      </c>
      <c r="Y365" s="317"/>
      <c r="Z365" s="318"/>
      <c r="AA365" s="256">
        <f>AR365</f>
        <v>9.1141325999999996</v>
      </c>
      <c r="AC365" s="308">
        <f>AK365+AC364</f>
        <v>123.00493238654508</v>
      </c>
      <c r="AH365" s="581" t="str">
        <f>AL365</f>
        <v>TRK_218_2</v>
      </c>
      <c r="AI365" t="s">
        <v>4235</v>
      </c>
      <c r="AJ365" s="232">
        <f t="shared" si="229"/>
        <v>0</v>
      </c>
      <c r="AK365" s="232">
        <f t="shared" si="230"/>
        <v>9.1141326000000031</v>
      </c>
      <c r="AL365" t="s">
        <v>4209</v>
      </c>
      <c r="AM365" t="s">
        <v>4210</v>
      </c>
      <c r="AN365">
        <v>0.186725</v>
      </c>
      <c r="AO365">
        <v>1.337499</v>
      </c>
      <c r="AP365">
        <v>1.150774</v>
      </c>
      <c r="AQ365" s="590">
        <v>10.126814</v>
      </c>
      <c r="AR365">
        <f t="shared" si="231"/>
        <v>9.1141325999999996</v>
      </c>
      <c r="AS365">
        <f>AS364+AR365</f>
        <v>189.79894080000003</v>
      </c>
    </row>
    <row r="366" spans="7:45">
      <c r="J366" s="3"/>
      <c r="K366" s="3"/>
      <c r="L366" s="3"/>
      <c r="M366" s="420" t="str" cm="1">
        <f t="array" aca="1" ref="M366" ca="1">MID(met2utc(R365),3,12)</f>
        <v>25-332/12:45</v>
      </c>
      <c r="N366" s="3"/>
      <c r="O366" s="3"/>
      <c r="P366" s="578" t="s">
        <v>4260</v>
      </c>
      <c r="Q366" s="607" t="s">
        <v>4261</v>
      </c>
      <c r="R366" s="607">
        <v>646883515</v>
      </c>
      <c r="S366" s="578">
        <v>0</v>
      </c>
      <c r="T366" s="578" t="s">
        <v>1124</v>
      </c>
      <c r="U366" s="578" t="s">
        <v>4262</v>
      </c>
      <c r="V366" s="578" t="s">
        <v>1288</v>
      </c>
      <c r="W366" s="578"/>
      <c r="X366" s="578" t="s">
        <v>4250</v>
      </c>
    </row>
    <row r="367" spans="7:45">
      <c r="J367" s="3"/>
      <c r="K367" s="3"/>
      <c r="P367" s="578" t="s">
        <v>4247</v>
      </c>
      <c r="Q367" s="607" t="s">
        <v>4248</v>
      </c>
      <c r="R367" s="607">
        <v>646884115</v>
      </c>
      <c r="S367" s="578">
        <v>0</v>
      </c>
      <c r="T367" s="578" t="s">
        <v>1124</v>
      </c>
      <c r="U367" s="578" t="s">
        <v>4249</v>
      </c>
      <c r="V367" s="607" t="s">
        <v>1517</v>
      </c>
      <c r="W367" s="578"/>
      <c r="X367" s="578" t="s">
        <v>4250</v>
      </c>
    </row>
    <row r="368" spans="7:45">
      <c r="H368" t="s">
        <v>768</v>
      </c>
      <c r="J368" s="3"/>
      <c r="K368" s="3"/>
      <c r="P368" s="578" t="s">
        <v>4251</v>
      </c>
      <c r="Q368" s="578" t="s">
        <v>4252</v>
      </c>
      <c r="R368" s="578">
        <v>646884118</v>
      </c>
      <c r="S368" s="578">
        <v>0</v>
      </c>
      <c r="T368" s="578" t="s">
        <v>1124</v>
      </c>
      <c r="U368" s="578" t="s">
        <v>4249</v>
      </c>
      <c r="V368" s="607" t="s">
        <v>1523</v>
      </c>
      <c r="W368" s="578"/>
      <c r="X368" s="578" t="s">
        <v>4250</v>
      </c>
    </row>
    <row r="369" spans="3:45">
      <c r="J369" s="3"/>
      <c r="K369" s="3"/>
      <c r="L369" s="3"/>
      <c r="M369" s="3"/>
      <c r="N369" s="3"/>
      <c r="O369" s="3"/>
      <c r="P369" s="578" t="s">
        <v>4253</v>
      </c>
      <c r="Q369" s="578" t="s">
        <v>4254</v>
      </c>
      <c r="R369" s="578">
        <v>646884121</v>
      </c>
      <c r="S369" s="578">
        <v>0</v>
      </c>
      <c r="T369" s="578" t="s">
        <v>1124</v>
      </c>
      <c r="U369" s="578" t="s">
        <v>4249</v>
      </c>
      <c r="V369" s="607" t="s">
        <v>1160</v>
      </c>
      <c r="W369" s="578"/>
      <c r="X369" s="578" t="s">
        <v>4250</v>
      </c>
    </row>
    <row r="370" spans="3:45">
      <c r="J370" s="3"/>
      <c r="K370" s="3"/>
      <c r="L370" s="3"/>
      <c r="M370" s="3"/>
      <c r="N370" s="3"/>
      <c r="O370" s="3"/>
      <c r="P370" s="578" t="s">
        <v>4255</v>
      </c>
      <c r="Q370" s="578" t="s">
        <v>4256</v>
      </c>
      <c r="R370" s="578">
        <v>646884124</v>
      </c>
      <c r="S370" s="578">
        <v>0</v>
      </c>
      <c r="T370" s="578" t="s">
        <v>1124</v>
      </c>
      <c r="U370" s="578" t="s">
        <v>4249</v>
      </c>
      <c r="V370" s="607" t="s">
        <v>1164</v>
      </c>
      <c r="W370" s="578"/>
      <c r="X370" s="578" t="s">
        <v>4250</v>
      </c>
    </row>
    <row r="371" spans="3:45">
      <c r="C371" s="291" t="s">
        <v>941</v>
      </c>
      <c r="D371" s="291" t="s">
        <v>942</v>
      </c>
      <c r="E371" s="291" t="s">
        <v>766</v>
      </c>
      <c r="F371" s="291" t="s">
        <v>764</v>
      </c>
      <c r="G371" s="291" t="s">
        <v>765</v>
      </c>
      <c r="H371" s="291" t="s">
        <v>768</v>
      </c>
      <c r="I371" s="291" t="s">
        <v>769</v>
      </c>
      <c r="J371" s="291" t="s">
        <v>943</v>
      </c>
      <c r="K371" s="291" t="s">
        <v>1540</v>
      </c>
      <c r="L371" s="3"/>
      <c r="M371" s="3"/>
      <c r="N371" s="3"/>
      <c r="O371" s="3"/>
      <c r="P371" s="578" t="s">
        <v>4257</v>
      </c>
      <c r="Q371" s="578" t="s">
        <v>4258</v>
      </c>
      <c r="R371" s="578">
        <v>646884715</v>
      </c>
      <c r="S371" s="578">
        <v>0</v>
      </c>
      <c r="T371" s="578" t="s">
        <v>1124</v>
      </c>
      <c r="U371" s="578" t="s">
        <v>4259</v>
      </c>
      <c r="V371" s="578" t="s">
        <v>1126</v>
      </c>
      <c r="W371" s="578"/>
      <c r="X371" s="578" t="s">
        <v>4250</v>
      </c>
    </row>
    <row r="372" spans="3:45">
      <c r="J372" s="3"/>
      <c r="K372" s="3"/>
      <c r="L372" s="3" t="s">
        <v>4382</v>
      </c>
      <c r="M372" s="419" t="str" cm="1">
        <f t="array" aca="1" ref="M372" ca="1">MID(met2utc(R373),3,12)</f>
        <v>26-208/16:54</v>
      </c>
      <c r="N372" s="3"/>
      <c r="O372" s="3"/>
      <c r="P372" s="578" t="s">
        <v>4263</v>
      </c>
      <c r="Q372" s="578" t="s">
        <v>4264</v>
      </c>
      <c r="R372" s="578">
        <v>646885315</v>
      </c>
      <c r="S372" s="578">
        <v>0</v>
      </c>
      <c r="T372" s="578" t="s">
        <v>1124</v>
      </c>
      <c r="U372" s="578" t="s">
        <v>4265</v>
      </c>
      <c r="V372" s="578" t="s">
        <v>4266</v>
      </c>
      <c r="W372" s="578"/>
      <c r="X372" s="578" t="s">
        <v>4250</v>
      </c>
    </row>
    <row r="373" spans="3:45" ht="15.75">
      <c r="C373" s="3">
        <v>103</v>
      </c>
      <c r="D373" s="3">
        <v>109</v>
      </c>
      <c r="E373" t="s">
        <v>766</v>
      </c>
      <c r="F373" t="s">
        <v>764</v>
      </c>
      <c r="G373" s="3" t="s">
        <v>765</v>
      </c>
      <c r="H373" t="s">
        <v>768</v>
      </c>
      <c r="I373" t="s">
        <v>769</v>
      </c>
      <c r="L373" s="410" t="s">
        <v>4381</v>
      </c>
      <c r="M373" s="257" t="s">
        <v>4269</v>
      </c>
      <c r="N373" t="s">
        <v>4272</v>
      </c>
      <c r="O373" s="564" t="str">
        <f>AI373</f>
        <v>218/21:19</v>
      </c>
      <c r="P373" s="179" t="str">
        <f>MID(AL373,5,5)</f>
        <v>218_3</v>
      </c>
      <c r="Q373" s="104">
        <f>R367-5</f>
        <v>646884110</v>
      </c>
      <c r="R373" s="104">
        <f>((W373-U373*$V$33)/$V$30)+Q373</f>
        <v>647477189.49812257</v>
      </c>
      <c r="S373" s="104">
        <f t="shared" si="206"/>
        <v>593079.4981225729</v>
      </c>
      <c r="T373" s="104">
        <f>S373*$V$30</f>
        <v>2930095.8749997877</v>
      </c>
      <c r="U373" s="3">
        <v>0</v>
      </c>
      <c r="V373" s="97">
        <f>T373+U373*$V$30</f>
        <v>2930095.8749997877</v>
      </c>
      <c r="W373" s="97">
        <f>AA373*1000000/8</f>
        <v>2930095.875</v>
      </c>
      <c r="X373" s="266">
        <f t="shared" si="208"/>
        <v>2.123415470123291E-7</v>
      </c>
      <c r="Y373" s="317"/>
      <c r="Z373" s="318"/>
      <c r="AA373" s="256">
        <f>AQ373</f>
        <v>23.440767000000001</v>
      </c>
      <c r="AC373" s="297">
        <f>AK373</f>
        <v>23.440766999998303</v>
      </c>
      <c r="AH373" s="581" t="str">
        <f>AL373</f>
        <v>TRK_218_3</v>
      </c>
      <c r="AI373" t="s">
        <v>4236</v>
      </c>
      <c r="AJ373" s="232">
        <f t="shared" si="189"/>
        <v>1.6987323760986329E-12</v>
      </c>
      <c r="AK373" s="232">
        <f t="shared" si="190"/>
        <v>23.440766999998303</v>
      </c>
      <c r="AL373" s="608" t="s">
        <v>4211</v>
      </c>
      <c r="AM373" s="608" t="s">
        <v>4212</v>
      </c>
      <c r="AN373" s="608">
        <v>0.19877600000000001</v>
      </c>
      <c r="AO373" s="608">
        <v>2.8624990000000001</v>
      </c>
      <c r="AP373" s="608">
        <v>2.6637230000000001</v>
      </c>
      <c r="AQ373" s="609">
        <v>23.440767000000001</v>
      </c>
      <c r="AR373">
        <f t="shared" si="191"/>
        <v>21.096690300000002</v>
      </c>
      <c r="AS373" t="e">
        <f>AR373+#REF!</f>
        <v>#REF!</v>
      </c>
    </row>
    <row r="374" spans="3:45" ht="15.75">
      <c r="C374" s="3">
        <v>103</v>
      </c>
      <c r="D374" s="3">
        <v>109</v>
      </c>
      <c r="E374" t="s">
        <v>766</v>
      </c>
      <c r="F374" t="s">
        <v>764</v>
      </c>
      <c r="G374" s="3" t="s">
        <v>765</v>
      </c>
      <c r="H374" t="s">
        <v>768</v>
      </c>
      <c r="I374" t="s">
        <v>769</v>
      </c>
      <c r="L374" s="257" t="str">
        <f>M373</f>
        <v>26-208/16:54</v>
      </c>
      <c r="M374" s="257" t="s">
        <v>4270</v>
      </c>
      <c r="N374" t="s">
        <v>4272</v>
      </c>
      <c r="O374" s="564" t="str">
        <f>AI374</f>
        <v>219/10:04</v>
      </c>
      <c r="P374" s="179" t="str">
        <f>MID(AL374,5,5)</f>
        <v>219_1</v>
      </c>
      <c r="Q374" s="104">
        <f>R373-1</f>
        <v>647477188.49812257</v>
      </c>
      <c r="R374" s="104">
        <f>((W374-U374*$V$33)/$V$30)+Q374</f>
        <v>647749391.16353357</v>
      </c>
      <c r="S374" s="104">
        <f t="shared" ref="S374:S377" si="235">R374-Q374</f>
        <v>272202.66541099548</v>
      </c>
      <c r="T374" s="104">
        <f>S374*$V$30</f>
        <v>1344811.1250000887</v>
      </c>
      <c r="U374" s="3">
        <v>0</v>
      </c>
      <c r="V374" s="97">
        <f>T374+U374*$V$30</f>
        <v>1344811.1250000887</v>
      </c>
      <c r="W374" s="97">
        <f t="shared" ref="W374:W375" si="236">AA374*1000000/8</f>
        <v>1344811.125</v>
      </c>
      <c r="X374" s="266">
        <f t="shared" ref="X374:X377" si="237">W374-V374</f>
        <v>-8.8708475232124329E-8</v>
      </c>
      <c r="Y374" s="317"/>
      <c r="Z374" s="318"/>
      <c r="AA374" s="256">
        <f>AQ374</f>
        <v>10.758489000000001</v>
      </c>
      <c r="AC374" s="297">
        <f>AC373+AK374</f>
        <v>34.199255999999011</v>
      </c>
      <c r="AH374" s="581" t="str">
        <f>AL374</f>
        <v>TRK_219_1</v>
      </c>
      <c r="AI374" t="s">
        <v>4237</v>
      </c>
      <c r="AJ374" s="232">
        <f t="shared" si="189"/>
        <v>-7.0966780185699461E-13</v>
      </c>
      <c r="AK374" s="232">
        <f t="shared" si="190"/>
        <v>10.75848900000071</v>
      </c>
      <c r="AL374" s="608" t="s">
        <v>673</v>
      </c>
      <c r="AM374" s="608" t="s">
        <v>4213</v>
      </c>
      <c r="AN374" s="608">
        <v>0.35693000000000003</v>
      </c>
      <c r="AO374" s="608">
        <v>1.5794859999999999</v>
      </c>
      <c r="AP374" s="608">
        <v>1.222556</v>
      </c>
      <c r="AQ374" s="609">
        <v>10.758489000000001</v>
      </c>
      <c r="AR374">
        <f t="shared" si="191"/>
        <v>9.6826401000000004</v>
      </c>
      <c r="AS374" t="e">
        <f>AS373+AR374</f>
        <v>#REF!</v>
      </c>
    </row>
    <row r="375" spans="3:45" ht="15.75">
      <c r="C375" s="3">
        <v>103</v>
      </c>
      <c r="D375" s="3">
        <v>109</v>
      </c>
      <c r="E375" t="s">
        <v>766</v>
      </c>
      <c r="F375" t="s">
        <v>764</v>
      </c>
      <c r="G375" s="3" t="s">
        <v>765</v>
      </c>
      <c r="H375" t="s">
        <v>768</v>
      </c>
      <c r="I375" t="s">
        <v>769</v>
      </c>
      <c r="L375" s="257" t="str">
        <f>M374</f>
        <v>26-211/20:31</v>
      </c>
      <c r="M375" s="257" t="s">
        <v>4271</v>
      </c>
      <c r="N375" t="s">
        <v>4272</v>
      </c>
      <c r="O375" s="564" t="str">
        <f>AI375</f>
        <v>220/03:04</v>
      </c>
      <c r="P375" s="179" t="str">
        <f>MID(AL375,5,5)</f>
        <v>220_1</v>
      </c>
      <c r="Q375" s="104">
        <f>R374-1</f>
        <v>647749390.16353357</v>
      </c>
      <c r="R375" s="104">
        <f>((W375-U375*$V$33)/$V$30)+Q375</f>
        <v>648431949.04522061</v>
      </c>
      <c r="S375" s="104">
        <f t="shared" si="235"/>
        <v>682558.8816870451</v>
      </c>
      <c r="T375" s="104">
        <f>S375*$V$30</f>
        <v>3372166.7500000866</v>
      </c>
      <c r="U375" s="3">
        <v>0</v>
      </c>
      <c r="V375" s="97">
        <f>T375+U375*$V$30</f>
        <v>3372166.7500000866</v>
      </c>
      <c r="W375" s="97">
        <f t="shared" si="236"/>
        <v>3372166.75</v>
      </c>
      <c r="X375" s="266">
        <f t="shared" si="237"/>
        <v>-8.6612999439239502E-8</v>
      </c>
      <c r="Y375" s="317"/>
      <c r="Z375" s="318"/>
      <c r="AA375" s="256">
        <f>AQ375</f>
        <v>26.977333999999999</v>
      </c>
      <c r="AC375" s="297">
        <f>AC374+AK375</f>
        <v>61.176589999999706</v>
      </c>
      <c r="AH375" s="581" t="str">
        <f>AL375</f>
        <v>TRK_220_1</v>
      </c>
      <c r="AI375" t="s">
        <v>4238</v>
      </c>
      <c r="AJ375" s="232">
        <f t="shared" si="189"/>
        <v>-6.92903995513916E-13</v>
      </c>
      <c r="AK375" s="232">
        <f t="shared" si="190"/>
        <v>26.977334000000692</v>
      </c>
      <c r="AL375" s="608" t="s">
        <v>4214</v>
      </c>
      <c r="AM375" s="608" t="s">
        <v>4215</v>
      </c>
      <c r="AN375" s="608">
        <v>0.22890099999999999</v>
      </c>
      <c r="AO375" s="608">
        <v>3.2945069999999999</v>
      </c>
      <c r="AP375" s="608">
        <v>3.0656059999999998</v>
      </c>
      <c r="AQ375" s="609">
        <v>26.977333999999999</v>
      </c>
      <c r="AR375">
        <f t="shared" si="191"/>
        <v>24.279600599999998</v>
      </c>
      <c r="AS375" t="e">
        <f>AS374+AR375</f>
        <v>#REF!</v>
      </c>
    </row>
    <row r="376" spans="3:45" ht="15.75">
      <c r="J376" s="3" t="s">
        <v>943</v>
      </c>
      <c r="K376" s="3" t="s">
        <v>1540</v>
      </c>
      <c r="L376" s="226" t="str">
        <f>M365</f>
        <v>25-332/12:45</v>
      </c>
      <c r="M376" s="226" t="s">
        <v>4354</v>
      </c>
      <c r="N376" t="s">
        <v>4341</v>
      </c>
      <c r="O376" s="564" t="str">
        <f>AI376</f>
        <v>221/03:04</v>
      </c>
      <c r="P376" s="179" t="str">
        <f>MID(AL376,5,5)</f>
        <v>221_1</v>
      </c>
      <c r="Q376" s="104">
        <f>R365-3</f>
        <v>626639845.34333825</v>
      </c>
      <c r="R376" s="104">
        <f>((W376)/$S$2)+Q376</f>
        <v>628472214.09533131</v>
      </c>
      <c r="S376" s="104">
        <f t="shared" si="235"/>
        <v>1832368.7519930601</v>
      </c>
      <c r="T376" s="104">
        <f>S376*$S$2</f>
        <v>926567.54999999795</v>
      </c>
      <c r="U376" s="3">
        <v>0</v>
      </c>
      <c r="V376" s="97">
        <f t="shared" ref="V376:V377" si="238">T376+U376*$V$33</f>
        <v>926567.54999999795</v>
      </c>
      <c r="W376" s="97">
        <f>AA376*1000000/8</f>
        <v>926567.54999999993</v>
      </c>
      <c r="X376" s="266">
        <f t="shared" si="237"/>
        <v>1.9790604710578918E-9</v>
      </c>
      <c r="Y376" s="317"/>
      <c r="Z376" s="318"/>
      <c r="AA376" s="256">
        <f>AR376</f>
        <v>7.4125403999999993</v>
      </c>
      <c r="AC376" s="308">
        <f>AK376+AC365</f>
        <v>130.41747278654506</v>
      </c>
      <c r="AH376" s="581" t="str">
        <f>AL376</f>
        <v>TRK_221_1</v>
      </c>
      <c r="AI376" t="s">
        <v>4239</v>
      </c>
      <c r="AJ376" s="232">
        <f t="shared" si="189"/>
        <v>1.5832483768463135E-14</v>
      </c>
      <c r="AK376" s="232">
        <f t="shared" si="190"/>
        <v>7.4125403999999833</v>
      </c>
      <c r="AL376" t="s">
        <v>4216</v>
      </c>
      <c r="AM376" t="s">
        <v>4217</v>
      </c>
      <c r="AN376">
        <v>0.27500799999999997</v>
      </c>
      <c r="AO376">
        <v>1.2109350000000001</v>
      </c>
      <c r="AP376">
        <v>0.93592699999999995</v>
      </c>
      <c r="AQ376" s="590">
        <v>8.2361559999999994</v>
      </c>
      <c r="AR376">
        <f t="shared" si="191"/>
        <v>7.4125403999999993</v>
      </c>
      <c r="AS376" t="e">
        <f>AS375+AR376</f>
        <v>#REF!</v>
      </c>
    </row>
    <row r="377" spans="3:45" ht="15.75">
      <c r="J377" s="3" t="s">
        <v>943</v>
      </c>
      <c r="K377" s="3" t="s">
        <v>1540</v>
      </c>
      <c r="L377" s="226" t="str">
        <f t="shared" ref="L377" si="239">M376</f>
        <v>25-342/17:45</v>
      </c>
      <c r="M377" s="226" t="s">
        <v>4355</v>
      </c>
      <c r="N377" t="s">
        <v>4341</v>
      </c>
      <c r="O377" s="564" t="str">
        <f>AI377</f>
        <v>221/09:44</v>
      </c>
      <c r="P377" s="179" t="str">
        <f>MID(AL377,5,5)</f>
        <v>221_2</v>
      </c>
      <c r="Q377" s="104">
        <f>R376-3</f>
        <v>628472211.09533131</v>
      </c>
      <c r="R377" s="104">
        <f>((W377)/$S$2)+Q377</f>
        <v>631293449.32854342</v>
      </c>
      <c r="S377" s="104">
        <f t="shared" si="235"/>
        <v>2821238.2332121134</v>
      </c>
      <c r="T377" s="104">
        <f>S377*$S$2</f>
        <v>1426605.7500000256</v>
      </c>
      <c r="U377" s="3">
        <v>0</v>
      </c>
      <c r="V377" s="97">
        <f t="shared" si="238"/>
        <v>1426605.7500000256</v>
      </c>
      <c r="W377" s="97">
        <f>AA377*1000000/8</f>
        <v>1426605.75</v>
      </c>
      <c r="X377" s="266">
        <f t="shared" si="237"/>
        <v>-2.5611370801925659E-8</v>
      </c>
      <c r="Y377" s="317"/>
      <c r="Z377" s="318"/>
      <c r="AA377" s="256">
        <f>AR377</f>
        <v>11.412846</v>
      </c>
      <c r="AC377" s="308">
        <f>AK377+AC376</f>
        <v>141.83031878654526</v>
      </c>
      <c r="AD377" s="278"/>
      <c r="AH377" s="581" t="str">
        <f>AL377</f>
        <v>TRK_221_2</v>
      </c>
      <c r="AI377" t="s">
        <v>4240</v>
      </c>
      <c r="AJ377" s="232">
        <f t="shared" si="189"/>
        <v>-2.0489096641540528E-13</v>
      </c>
      <c r="AK377" s="232">
        <f>V377*8/1000000</f>
        <v>11.412846000000204</v>
      </c>
      <c r="AL377" t="s">
        <v>4218</v>
      </c>
      <c r="AM377" t="s">
        <v>4219</v>
      </c>
      <c r="AN377">
        <v>0.179698</v>
      </c>
      <c r="AO377">
        <v>1.620714</v>
      </c>
      <c r="AP377">
        <v>1.4410160000000001</v>
      </c>
      <c r="AQ377" s="590">
        <v>12.68094</v>
      </c>
      <c r="AR377">
        <f t="shared" si="191"/>
        <v>11.412846</v>
      </c>
      <c r="AS377" s="610" t="e">
        <f>AS376+AR377</f>
        <v>#REF!</v>
      </c>
    </row>
    <row r="378" spans="3:45">
      <c r="M378" s="420" t="str" cm="1">
        <f t="array" aca="1" ref="M378" ca="1">MID(met2utc(R377),3,12)</f>
        <v>26-021/09:25</v>
      </c>
      <c r="AK378" s="232"/>
      <c r="AQ378" s="590">
        <f>SUM(AQ307:AQ377)</f>
        <v>292.98139800000007</v>
      </c>
      <c r="AR378" s="610">
        <f>SUM(AR307:AR377)</f>
        <v>263.68325820000001</v>
      </c>
    </row>
    <row r="380" spans="3:45" ht="15.75">
      <c r="I380" t="s">
        <v>769</v>
      </c>
      <c r="J380" s="3" t="s">
        <v>943</v>
      </c>
      <c r="K380" s="3" t="s">
        <v>1540</v>
      </c>
      <c r="L380" s="226" t="str">
        <f>M377</f>
        <v>26-021/09:25</v>
      </c>
      <c r="M380" s="226" t="s">
        <v>4366</v>
      </c>
      <c r="N380" t="s">
        <v>4341</v>
      </c>
      <c r="O380" s="564" t="s">
        <v>4368</v>
      </c>
      <c r="P380" s="179" t="s">
        <v>4365</v>
      </c>
      <c r="Q380" s="104">
        <f>R377-3</f>
        <v>631293446.32854342</v>
      </c>
      <c r="R380" s="104">
        <f>((W380)/$S$2)+Q380</f>
        <v>634259828.14063001</v>
      </c>
      <c r="S380" s="104">
        <f t="shared" ref="S380" si="240">R380-Q380</f>
        <v>2966381.8120865822</v>
      </c>
      <c r="T380" s="104">
        <f>S380*$S$2</f>
        <v>1500000.0000000156</v>
      </c>
      <c r="U380" s="3">
        <v>0</v>
      </c>
      <c r="V380" s="97">
        <f t="shared" ref="V380" si="241">T380+U380*$V$33</f>
        <v>1500000.0000000156</v>
      </c>
      <c r="W380" s="97">
        <f>AA380*1000000/8</f>
        <v>1500000</v>
      </c>
      <c r="X380" s="266">
        <f t="shared" ref="X380" si="242">W380-V380</f>
        <v>-1.5599653124809265E-8</v>
      </c>
      <c r="Y380" s="317"/>
      <c r="Z380" s="318"/>
      <c r="AA380" s="256">
        <v>12</v>
      </c>
    </row>
    <row r="381" spans="3:45" ht="15.75">
      <c r="M381" s="420" t="str" cm="1">
        <f t="array" aca="1" ref="M381" ca="1">MID(met2utc(R380),3,12)</f>
        <v>26-055/17:25</v>
      </c>
      <c r="O381" s="564" t="s">
        <v>4367</v>
      </c>
    </row>
    <row r="383" spans="3:45">
      <c r="Q383" s="18"/>
    </row>
    <row r="385" spans="1:26" ht="15.75" thickBot="1"/>
    <row r="386" spans="1:26">
      <c r="A386" s="511" t="s">
        <v>8518</v>
      </c>
      <c r="B386" s="611"/>
      <c r="C386" s="612"/>
      <c r="D386" s="612"/>
      <c r="E386" s="612" t="s">
        <v>766</v>
      </c>
      <c r="F386" s="612" t="s">
        <v>764</v>
      </c>
      <c r="G386" s="612" t="s">
        <v>765</v>
      </c>
      <c r="H386" s="612" t="s">
        <v>768</v>
      </c>
      <c r="I386" s="612" t="s">
        <v>769</v>
      </c>
      <c r="J386" s="612" t="s">
        <v>943</v>
      </c>
      <c r="K386" s="612" t="s">
        <v>1540</v>
      </c>
      <c r="L386" s="612"/>
      <c r="M386" s="512" t="s">
        <v>8519</v>
      </c>
      <c r="N386" s="512" t="s">
        <v>8521</v>
      </c>
      <c r="O386" s="514" t="s">
        <v>8520</v>
      </c>
      <c r="P386" s="507" t="s">
        <v>837</v>
      </c>
      <c r="Q386" s="508" t="s">
        <v>65</v>
      </c>
      <c r="R386" s="507" t="s">
        <v>66</v>
      </c>
      <c r="S386" s="507" t="s">
        <v>67</v>
      </c>
      <c r="T386" s="509" t="s">
        <v>68</v>
      </c>
      <c r="U386" s="513" t="s">
        <v>176</v>
      </c>
      <c r="V386" s="509" t="s">
        <v>265</v>
      </c>
      <c r="W386" s="507" t="s">
        <v>266</v>
      </c>
      <c r="X386" s="510" t="s">
        <v>70</v>
      </c>
    </row>
    <row r="387" spans="1:26">
      <c r="A387" s="613"/>
      <c r="B387" s="613"/>
      <c r="C387" s="614" t="str">
        <f t="shared" ref="C387:D387" si="243">TRIM(C276)</f>
        <v>104</v>
      </c>
      <c r="D387" s="614" t="str">
        <f t="shared" si="243"/>
        <v>105</v>
      </c>
      <c r="E387" s="614" t="str">
        <f t="shared" ref="E387:F387" si="244">TRIM(E276)</f>
        <v>HSK3</v>
      </c>
      <c r="F387" s="614" t="str">
        <f t="shared" si="244"/>
        <v>DT1</v>
      </c>
      <c r="G387" s="614" t="str">
        <f t="shared" ref="G387" si="245">TRIM(G276)</f>
        <v>DT2</v>
      </c>
      <c r="H387" s="614" t="str">
        <f t="shared" ref="H387:K387" si="246">TRIM(H276)</f>
        <v>DT3</v>
      </c>
      <c r="I387" s="614" t="s">
        <v>769</v>
      </c>
      <c r="J387" s="614" t="str">
        <f t="shared" si="246"/>
        <v/>
      </c>
      <c r="K387" s="614" t="str">
        <f t="shared" si="246"/>
        <v/>
      </c>
      <c r="N387" s="615" cm="1">
        <f t="array" ref="N387">peprate(E387:K387,Q387)</f>
        <v>6.9040277777777792</v>
      </c>
      <c r="O387" s="616">
        <f>Q387-Q276</f>
        <v>8032.3544540405273</v>
      </c>
      <c r="P387" s="515" t="str">
        <f>P276</f>
        <v>194_1</v>
      </c>
      <c r="Q387" s="521" cm="1">
        <f t="array" ref="Q387">R387-T387/peprate(E387:K387,R387)</f>
        <v>644195703.5963105</v>
      </c>
      <c r="R387" s="524">
        <f>R276</f>
        <v>644288041</v>
      </c>
      <c r="S387" s="617">
        <f t="shared" ref="S387:S391" si="247">R387-Q387</f>
        <v>92337.40368950367</v>
      </c>
      <c r="T387" s="618">
        <f>T276</f>
        <v>637500</v>
      </c>
      <c r="U387" s="517">
        <f>U276</f>
        <v>0</v>
      </c>
      <c r="V387" s="617">
        <f>T387+U387*$V$33</f>
        <v>637500</v>
      </c>
      <c r="W387" s="618">
        <f>W276</f>
        <v>1153666.25</v>
      </c>
      <c r="X387" s="619">
        <f t="shared" ref="X387" si="248">W387-V387</f>
        <v>516166.25</v>
      </c>
      <c r="Y387" s="515" t="s">
        <v>8522</v>
      </c>
    </row>
    <row r="388" spans="1:26">
      <c r="A388" s="613"/>
      <c r="B388" s="613"/>
      <c r="C388" s="614" t="str">
        <f t="shared" ref="C388:D388" si="249">TRIM(C277)</f>
        <v>104</v>
      </c>
      <c r="D388" s="614" t="str">
        <f t="shared" si="249"/>
        <v>105</v>
      </c>
      <c r="E388" s="614" t="str">
        <f t="shared" ref="E388:K388" si="250">TRIM(E277)</f>
        <v/>
      </c>
      <c r="F388" s="614" t="str">
        <f t="shared" si="250"/>
        <v/>
      </c>
      <c r="G388" s="614" t="str">
        <f t="shared" si="250"/>
        <v>DT2</v>
      </c>
      <c r="H388" s="614" t="str">
        <f t="shared" si="250"/>
        <v/>
      </c>
      <c r="I388" s="614" t="str">
        <f t="shared" si="250"/>
        <v/>
      </c>
      <c r="J388" s="614" t="str">
        <f t="shared" si="250"/>
        <v/>
      </c>
      <c r="K388" s="614" t="str">
        <f t="shared" si="250"/>
        <v/>
      </c>
      <c r="N388" s="615" cm="1">
        <f t="array" ref="N388">peprate(E388:K388,Q388)</f>
        <v>5.0501562500000006</v>
      </c>
      <c r="O388" s="620">
        <f t="shared" ref="O388:O391" si="251">R388-R277</f>
        <v>-6746.5624434947968</v>
      </c>
      <c r="P388" s="515" t="str">
        <f t="shared" ref="P388:Q391" si="252">P277</f>
        <v/>
      </c>
      <c r="Q388" s="524">
        <f t="shared" si="252"/>
        <v>644923310</v>
      </c>
      <c r="R388" s="522" cm="1">
        <f t="array" ref="R388">((W388-U388*$V$33)/peprate(E388:K388,Q388))+Q388</f>
        <v>644986435.02707219</v>
      </c>
      <c r="S388" s="617">
        <f t="shared" si="247"/>
        <v>63125.027072191238</v>
      </c>
      <c r="T388" s="617" cm="1">
        <f t="array" ref="T388">S388*peprate(E388:K388,Q388)</f>
        <v>318791.25000004581</v>
      </c>
      <c r="U388" s="517">
        <f t="shared" ref="U388:U391" si="253">U277</f>
        <v>1</v>
      </c>
      <c r="V388" s="617">
        <f t="shared" ref="V388:V391" si="254">T388+U388*$V$33</f>
        <v>516166.25000004581</v>
      </c>
      <c r="W388" s="618">
        <f t="shared" ref="W388:W391" si="255">W277</f>
        <v>516166.25</v>
      </c>
      <c r="X388" s="619">
        <f t="shared" ref="X388:X391" si="256">W388-V388</f>
        <v>-4.5809429138898849E-8</v>
      </c>
      <c r="Y388" s="520" t="s">
        <v>8523</v>
      </c>
    </row>
    <row r="389" spans="1:26">
      <c r="A389" s="613"/>
      <c r="B389" s="613"/>
      <c r="C389" s="614" t="str">
        <f t="shared" ref="C389:D389" si="257">TRIM(C278)</f>
        <v>104</v>
      </c>
      <c r="D389" s="614" t="str">
        <f t="shared" si="257"/>
        <v>105</v>
      </c>
      <c r="E389" s="614" t="str">
        <f t="shared" ref="E389:K389" si="258">TRIM(E278)</f>
        <v/>
      </c>
      <c r="F389" s="614" t="str">
        <f t="shared" si="258"/>
        <v/>
      </c>
      <c r="G389" s="614" t="str">
        <f t="shared" si="258"/>
        <v>DT2</v>
      </c>
      <c r="H389" s="614" t="str">
        <f t="shared" si="258"/>
        <v/>
      </c>
      <c r="I389" s="614" t="str">
        <f t="shared" si="258"/>
        <v/>
      </c>
      <c r="J389" s="614" t="str">
        <f t="shared" si="258"/>
        <v/>
      </c>
      <c r="K389" s="614" t="str">
        <f t="shared" si="258"/>
        <v/>
      </c>
      <c r="N389" s="615" cm="1">
        <f t="array" ref="N389">peprate(E389:K389,Q389)</f>
        <v>5.0501562500000006</v>
      </c>
      <c r="O389" s="620">
        <f t="shared" si="251"/>
        <v>-39758.908571720123</v>
      </c>
      <c r="P389" s="515" t="str">
        <f t="shared" si="252"/>
        <v>194_2</v>
      </c>
      <c r="Q389" s="524">
        <f t="shared" si="252"/>
        <v>644993180.58951569</v>
      </c>
      <c r="R389" s="522" cm="1">
        <f t="array" ref="R389">((W389-U389*$V$33)/peprate(E389:K389,Q389))+Q389</f>
        <v>645365189.62388957</v>
      </c>
      <c r="S389" s="617">
        <f t="shared" si="247"/>
        <v>372009.03437387943</v>
      </c>
      <c r="T389" s="617" cm="1">
        <f t="array" ref="T389">S389*peprate(E389:K389,Q389)</f>
        <v>1878703.7499997122</v>
      </c>
      <c r="U389" s="517">
        <f t="shared" si="253"/>
        <v>0</v>
      </c>
      <c r="V389" s="617">
        <f t="shared" si="254"/>
        <v>1878703.7499997122</v>
      </c>
      <c r="W389" s="618">
        <f t="shared" si="255"/>
        <v>1878703.75</v>
      </c>
      <c r="X389" s="619">
        <f t="shared" si="256"/>
        <v>2.8777867555618286E-7</v>
      </c>
      <c r="Y389" s="519" t="str">
        <f>"cpy src row"</f>
        <v>cpy src row</v>
      </c>
    </row>
    <row r="390" spans="1:26">
      <c r="A390" s="613"/>
      <c r="B390" s="613"/>
      <c r="C390" s="614" t="str">
        <f t="shared" ref="C390:D390" si="259">TRIM(C279)</f>
        <v>104</v>
      </c>
      <c r="D390" s="614" t="str">
        <f t="shared" si="259"/>
        <v>105</v>
      </c>
      <c r="E390" s="614" t="str">
        <f t="shared" ref="E390:K390" si="260">TRIM(E279)</f>
        <v/>
      </c>
      <c r="F390" s="614" t="str">
        <f t="shared" si="260"/>
        <v/>
      </c>
      <c r="G390" s="614" t="str">
        <f t="shared" si="260"/>
        <v>DT2</v>
      </c>
      <c r="H390" s="614" t="str">
        <f t="shared" si="260"/>
        <v/>
      </c>
      <c r="I390" s="614" t="str">
        <f t="shared" si="260"/>
        <v/>
      </c>
      <c r="J390" s="614" t="str">
        <f t="shared" si="260"/>
        <v/>
      </c>
      <c r="K390" s="614" t="str">
        <f t="shared" si="260"/>
        <v/>
      </c>
      <c r="N390" s="615" cm="1">
        <f t="array" ref="N390">peprate(E390:K390,Q390)</f>
        <v>5.0501562500000006</v>
      </c>
      <c r="O390" s="620">
        <f t="shared" si="251"/>
        <v>-24061.578065037727</v>
      </c>
      <c r="P390" s="515" t="str">
        <f t="shared" si="252"/>
        <v>195_1</v>
      </c>
      <c r="Q390" s="524">
        <f t="shared" si="252"/>
        <v>645404947.53246129</v>
      </c>
      <c r="R390" s="522" cm="1">
        <f t="array" ref="R390">((W390-U390*$V$33)/peprate(E390:K390,Q390))+Q390</f>
        <v>645630082.59635162</v>
      </c>
      <c r="S390" s="617">
        <f t="shared" si="247"/>
        <v>225135.06389033794</v>
      </c>
      <c r="T390" s="617" cm="1">
        <f t="array" ref="T390">S390*peprate(E390:K390,Q390)</f>
        <v>1136967.2499999397</v>
      </c>
      <c r="U390" s="517">
        <f t="shared" si="253"/>
        <v>0</v>
      </c>
      <c r="V390" s="617">
        <f t="shared" si="254"/>
        <v>1136967.2499999397</v>
      </c>
      <c r="W390" s="618">
        <f t="shared" si="255"/>
        <v>1136967.25</v>
      </c>
      <c r="X390" s="619">
        <f t="shared" si="256"/>
        <v>6.0303136706352234E-8</v>
      </c>
      <c r="Y390" s="3"/>
      <c r="Z390" s="621" t="s">
        <v>2572</v>
      </c>
    </row>
    <row r="391" spans="1:26">
      <c r="A391" s="613"/>
      <c r="B391" s="613"/>
      <c r="C391" s="614" t="str">
        <f t="shared" ref="C391:D391" si="261">TRIM(C280)</f>
        <v>104</v>
      </c>
      <c r="D391" s="614" t="str">
        <f t="shared" si="261"/>
        <v>105</v>
      </c>
      <c r="E391" s="614" t="str">
        <f t="shared" ref="E391:K391" si="262">TRIM(E280)</f>
        <v/>
      </c>
      <c r="F391" s="614" t="str">
        <f t="shared" si="262"/>
        <v/>
      </c>
      <c r="G391" s="614" t="str">
        <f t="shared" si="262"/>
        <v>DT2</v>
      </c>
      <c r="H391" s="614" t="str">
        <f t="shared" si="262"/>
        <v/>
      </c>
      <c r="I391" s="614" t="str">
        <f t="shared" si="262"/>
        <v/>
      </c>
      <c r="J391" s="614" t="str">
        <f t="shared" si="262"/>
        <v/>
      </c>
      <c r="K391" s="614" t="str">
        <f t="shared" si="262"/>
        <v/>
      </c>
      <c r="N391" s="615" cm="1">
        <f t="array" ref="N391">peprate(E391:K391,Q391)</f>
        <v>5.0501562500000006</v>
      </c>
      <c r="O391" s="620">
        <f t="shared" si="251"/>
        <v>-41519.618175625801</v>
      </c>
      <c r="P391" s="515" t="str">
        <f t="shared" si="252"/>
        <v>196_1</v>
      </c>
      <c r="Q391" s="524">
        <f t="shared" si="252"/>
        <v>645654143.17441666</v>
      </c>
      <c r="R391" s="522" cm="1">
        <f t="array" ref="R391">((W391-U391*$V$33)/peprate(E391:K391,Q391))+Q391</f>
        <v>646042626.50104642</v>
      </c>
      <c r="S391" s="617">
        <f t="shared" si="247"/>
        <v>388483.32662975788</v>
      </c>
      <c r="T391" s="617" cm="1">
        <f t="array" ref="T391">S391*peprate(E391:K391,Q391)</f>
        <v>1961901.5000000633</v>
      </c>
      <c r="U391" s="517">
        <f t="shared" si="253"/>
        <v>0</v>
      </c>
      <c r="V391" s="617">
        <f t="shared" si="254"/>
        <v>1961901.5000000633</v>
      </c>
      <c r="W391" s="618">
        <f t="shared" si="255"/>
        <v>1961901.5</v>
      </c>
      <c r="X391" s="619">
        <f t="shared" si="256"/>
        <v>-6.3329935073852539E-8</v>
      </c>
      <c r="Y391" s="3"/>
    </row>
    <row r="392" spans="1:26" ht="15.75" thickBot="1">
      <c r="A392" s="622"/>
      <c r="B392" s="622"/>
      <c r="C392" s="623"/>
      <c r="D392" s="623"/>
      <c r="E392" s="623"/>
      <c r="F392" s="623"/>
      <c r="G392" s="623"/>
      <c r="H392" s="623"/>
      <c r="I392" s="623"/>
      <c r="J392" s="623"/>
      <c r="K392" s="623"/>
      <c r="L392" s="624"/>
      <c r="M392" s="624"/>
      <c r="N392" s="625"/>
      <c r="O392" s="626"/>
      <c r="P392" s="516"/>
      <c r="Q392" s="525"/>
      <c r="R392" s="523"/>
      <c r="S392" s="627"/>
      <c r="T392" s="627"/>
      <c r="U392" s="518"/>
      <c r="V392" s="627"/>
      <c r="W392" s="628"/>
      <c r="X392" s="629"/>
      <c r="Y392" s="3"/>
    </row>
    <row r="393" spans="1:26">
      <c r="Q393" s="630"/>
      <c r="R393" s="631"/>
      <c r="U393" s="17"/>
    </row>
    <row r="394" spans="1:26">
      <c r="Q394" s="630"/>
      <c r="R394" s="631"/>
      <c r="U394" s="17"/>
      <c r="Z394" s="632" t="s">
        <v>1132</v>
      </c>
    </row>
    <row r="395" spans="1:26">
      <c r="Q395" s="630"/>
      <c r="R395" s="631"/>
      <c r="U395" s="17"/>
    </row>
    <row r="396" spans="1:26">
      <c r="Q396" s="5"/>
      <c r="R396" s="631"/>
      <c r="Z396" s="632" t="s">
        <v>2546</v>
      </c>
    </row>
    <row r="397" spans="1:26">
      <c r="Q397" s="5"/>
      <c r="R397" s="631"/>
    </row>
    <row r="398" spans="1:26">
      <c r="Q398" s="5"/>
      <c r="R398" s="631"/>
    </row>
    <row r="399" spans="1:26">
      <c r="Q399" s="5"/>
    </row>
    <row r="400" spans="1:26">
      <c r="Q400" s="5"/>
    </row>
    <row r="401" spans="17:17">
      <c r="Q401" s="5"/>
    </row>
    <row r="402" spans="17:17">
      <c r="Q402" s="5"/>
    </row>
    <row r="403" spans="17:17">
      <c r="Q403" s="5"/>
    </row>
    <row r="404" spans="17:17">
      <c r="Q404" s="5"/>
    </row>
    <row r="405" spans="17:17">
      <c r="Q405" s="5"/>
    </row>
    <row r="406" spans="17:17">
      <c r="Q406" s="5"/>
    </row>
    <row r="407" spans="17:17">
      <c r="Q407" s="5"/>
    </row>
    <row r="408" spans="17:17">
      <c r="Q408" s="5"/>
    </row>
    <row r="409" spans="17:17">
      <c r="Q409" s="5"/>
    </row>
    <row r="410" spans="17:17">
      <c r="Q410" s="5"/>
    </row>
    <row r="411" spans="17:17">
      <c r="Q411" s="5"/>
    </row>
    <row r="412" spans="17:17">
      <c r="Q412" s="5"/>
    </row>
    <row r="413" spans="17:17">
      <c r="Q413" s="5"/>
    </row>
    <row r="414" spans="17:17">
      <c r="Q414" s="5"/>
    </row>
    <row r="415" spans="17:17">
      <c r="Q415" s="5"/>
    </row>
    <row r="416" spans="17:17">
      <c r="Q416" s="5"/>
    </row>
  </sheetData>
  <dataConsolidate/>
  <phoneticPr fontId="65" type="noConversion"/>
  <conditionalFormatting sqref="C1:K1048576">
    <cfRule type="expression" dxfId="33" priority="2" stopIfTrue="1">
      <formula>_xlfn.TEXTJOIN("",FALSE,$E1:$K1)="HSK3DT1DT2DT3DT4SDT1HSK4"</formula>
    </cfRule>
  </conditionalFormatting>
  <conditionalFormatting sqref="E2:K1048576">
    <cfRule type="expression" dxfId="32" priority="8">
      <formula>NOT(OR(EXACT(E2,""),EXACT(E2,E$1)))</formula>
    </cfRule>
  </conditionalFormatting>
  <conditionalFormatting sqref="C2:K1048576">
    <cfRule type="expression" dxfId="31" priority="4">
      <formula>AND(_xlfn.TEXTJOIN("",FALSE,$E2:$I2) &lt;&gt;"",_xlfn.TEXTJOIN("",FALSE,$J2:$K2) &lt;&gt; "")</formula>
    </cfRule>
  </conditionalFormatting>
  <conditionalFormatting sqref="AO10:AS31">
    <cfRule type="expression" dxfId="30" priority="1">
      <formula>MOD(AO10,1)&lt;&gt;0</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161925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395">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395">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3" t="s">
        <v>1739</v>
      </c>
      <c r="C2" s="333" t="s">
        <v>1740</v>
      </c>
      <c r="D2" s="333" t="s">
        <v>1741</v>
      </c>
      <c r="E2" s="333" t="s">
        <v>1742</v>
      </c>
      <c r="F2" s="333" t="s">
        <v>1743</v>
      </c>
      <c r="H2" s="334" t="s">
        <v>1744</v>
      </c>
      <c r="I2" s="335" t="s">
        <v>1745</v>
      </c>
      <c r="J2" s="333" t="s">
        <v>1746</v>
      </c>
      <c r="K2" s="3"/>
      <c r="L2" s="333" t="s">
        <v>1747</v>
      </c>
      <c r="M2" s="333" t="s">
        <v>1748</v>
      </c>
      <c r="N2" s="333" t="s">
        <v>1746</v>
      </c>
    </row>
    <row r="3" spans="2:22">
      <c r="B3" s="336" t="s">
        <v>1749</v>
      </c>
      <c r="C3" s="336" t="s">
        <v>1750</v>
      </c>
      <c r="D3" s="336">
        <v>75</v>
      </c>
      <c r="E3" s="336">
        <f t="shared" ref="E3:E8" si="0">D3*8</f>
        <v>600</v>
      </c>
      <c r="F3" s="336">
        <v>1</v>
      </c>
      <c r="H3" s="336" t="s">
        <v>1751</v>
      </c>
      <c r="I3" s="336">
        <v>0</v>
      </c>
      <c r="J3" s="336"/>
      <c r="L3" s="336" t="s">
        <v>1751</v>
      </c>
      <c r="M3" s="336">
        <v>0</v>
      </c>
      <c r="N3" s="336">
        <v>0</v>
      </c>
    </row>
    <row r="4" spans="2:22">
      <c r="B4" s="336" t="s">
        <v>1752</v>
      </c>
      <c r="C4" s="336" t="s">
        <v>1753</v>
      </c>
      <c r="D4" s="336">
        <v>33</v>
      </c>
      <c r="E4" s="336">
        <f t="shared" si="0"/>
        <v>264</v>
      </c>
      <c r="F4" s="337" t="s">
        <v>1754</v>
      </c>
      <c r="H4" s="336" t="s">
        <v>1755</v>
      </c>
      <c r="I4" s="336">
        <f>1/(24*60*60)</f>
        <v>1.1574074074074073E-5</v>
      </c>
      <c r="J4" s="336">
        <v>86400</v>
      </c>
      <c r="L4" s="336" t="s">
        <v>1755</v>
      </c>
      <c r="M4" s="336">
        <f t="shared" ref="M4:M15" si="1">1/N4</f>
        <v>1.1574074074074073E-5</v>
      </c>
      <c r="N4" s="336">
        <v>86400</v>
      </c>
    </row>
    <row r="5" spans="2:22">
      <c r="B5" s="336" t="s">
        <v>1756</v>
      </c>
      <c r="C5" s="336" t="s">
        <v>1757</v>
      </c>
      <c r="D5" s="336">
        <v>35</v>
      </c>
      <c r="E5" s="336">
        <f t="shared" si="0"/>
        <v>280</v>
      </c>
      <c r="F5" s="336">
        <v>64</v>
      </c>
      <c r="H5" s="336" t="s">
        <v>1758</v>
      </c>
      <c r="I5" s="336">
        <f>1/(12*60*60)</f>
        <v>2.3148148148148147E-5</v>
      </c>
      <c r="J5" s="336">
        <v>43200</v>
      </c>
      <c r="L5" s="336" t="s">
        <v>1758</v>
      </c>
      <c r="M5" s="336">
        <f t="shared" si="1"/>
        <v>2.3148148148148147E-5</v>
      </c>
      <c r="N5" s="336">
        <v>43200</v>
      </c>
    </row>
    <row r="6" spans="2:22">
      <c r="B6" s="336" t="s">
        <v>1759</v>
      </c>
      <c r="C6" s="336" t="s">
        <v>1760</v>
      </c>
      <c r="D6" s="336">
        <v>87</v>
      </c>
      <c r="E6" s="336">
        <f t="shared" si="0"/>
        <v>696</v>
      </c>
      <c r="F6" s="336">
        <v>1</v>
      </c>
      <c r="H6" s="336" t="s">
        <v>1761</v>
      </c>
      <c r="I6" s="336">
        <f>1/(6*60*60)</f>
        <v>4.6296296296296294E-5</v>
      </c>
      <c r="J6" s="336">
        <v>21600</v>
      </c>
      <c r="L6" s="336" t="s">
        <v>1761</v>
      </c>
      <c r="M6" s="336">
        <f t="shared" si="1"/>
        <v>4.6227810650887573E-5</v>
      </c>
      <c r="N6" s="336">
        <v>21632</v>
      </c>
    </row>
    <row r="7" spans="2:22">
      <c r="B7" s="336" t="s">
        <v>1762</v>
      </c>
      <c r="C7" s="336" t="s">
        <v>1763</v>
      </c>
      <c r="D7" s="336">
        <v>216</v>
      </c>
      <c r="E7" s="336">
        <f t="shared" si="0"/>
        <v>1728</v>
      </c>
      <c r="F7" s="336">
        <v>1</v>
      </c>
      <c r="H7" s="336" t="s">
        <v>1764</v>
      </c>
      <c r="I7" s="336">
        <f>1/(3*60*60)</f>
        <v>9.2592592592592588E-5</v>
      </c>
      <c r="J7" s="336">
        <v>10800</v>
      </c>
      <c r="L7" s="336" t="s">
        <v>1764</v>
      </c>
      <c r="M7" s="336">
        <f t="shared" si="1"/>
        <v>9.2455621301775146E-5</v>
      </c>
      <c r="N7" s="336">
        <v>10816</v>
      </c>
    </row>
    <row r="8" spans="2:22">
      <c r="B8" s="336" t="s">
        <v>1765</v>
      </c>
      <c r="C8" s="336" t="s">
        <v>1766</v>
      </c>
      <c r="D8" s="336">
        <v>204</v>
      </c>
      <c r="E8" s="336">
        <f t="shared" si="0"/>
        <v>1632</v>
      </c>
      <c r="F8" s="336">
        <v>63</v>
      </c>
      <c r="H8" s="336" t="s">
        <v>1767</v>
      </c>
      <c r="I8" s="336">
        <f>1/(2*60*60)</f>
        <v>1.3888888888888889E-4</v>
      </c>
      <c r="J8" s="336">
        <v>7200</v>
      </c>
      <c r="L8" s="336" t="s">
        <v>1767</v>
      </c>
      <c r="M8" s="336">
        <f t="shared" si="1"/>
        <v>1.3827433628318584E-4</v>
      </c>
      <c r="N8" s="336">
        <v>7232</v>
      </c>
    </row>
    <row r="9" spans="2:22">
      <c r="H9" s="336" t="s">
        <v>1768</v>
      </c>
      <c r="I9" s="336">
        <f>1/(60*60)</f>
        <v>2.7777777777777778E-4</v>
      </c>
      <c r="J9" s="336">
        <v>3600</v>
      </c>
      <c r="L9" s="336" t="s">
        <v>1768</v>
      </c>
      <c r="M9" s="336">
        <f t="shared" si="1"/>
        <v>2.7412280701754384E-4</v>
      </c>
      <c r="N9" s="336">
        <v>3648</v>
      </c>
    </row>
    <row r="10" spans="2:22">
      <c r="H10" s="336" t="s">
        <v>1769</v>
      </c>
      <c r="I10" s="336">
        <f>1/(30*60)</f>
        <v>5.5555555555555556E-4</v>
      </c>
      <c r="J10" s="336">
        <v>1800</v>
      </c>
      <c r="L10" s="336" t="s">
        <v>1769</v>
      </c>
      <c r="M10" s="336">
        <f t="shared" si="1"/>
        <v>5.3879310344827585E-4</v>
      </c>
      <c r="N10" s="336">
        <f>1856</f>
        <v>1856</v>
      </c>
    </row>
    <row r="11" spans="2:22">
      <c r="H11" s="336" t="s">
        <v>1770</v>
      </c>
      <c r="I11" s="336">
        <f>1/(20*60)</f>
        <v>8.3333333333333339E-4</v>
      </c>
      <c r="J11" s="336">
        <f>1200</f>
        <v>1200</v>
      </c>
      <c r="L11" s="336" t="s">
        <v>1770</v>
      </c>
      <c r="M11" s="336">
        <f t="shared" si="1"/>
        <v>7.8125000000000004E-4</v>
      </c>
      <c r="N11" s="336">
        <f>20*64</f>
        <v>1280</v>
      </c>
    </row>
    <row r="12" spans="2:22">
      <c r="H12" s="336" t="s">
        <v>1771</v>
      </c>
      <c r="I12" s="336">
        <f>1/(10*60)</f>
        <v>1.6666666666666668E-3</v>
      </c>
      <c r="J12" s="336">
        <v>600</v>
      </c>
      <c r="L12" s="336" t="s">
        <v>1771</v>
      </c>
      <c r="M12" s="336">
        <f t="shared" si="1"/>
        <v>1.5625000000000001E-3</v>
      </c>
      <c r="N12" s="336">
        <f>10*64</f>
        <v>640</v>
      </c>
    </row>
    <row r="13" spans="2:22">
      <c r="H13" s="336" t="s">
        <v>1772</v>
      </c>
      <c r="I13" s="336">
        <f>1/(5*60)</f>
        <v>3.3333333333333335E-3</v>
      </c>
      <c r="J13" s="336">
        <v>300</v>
      </c>
      <c r="L13" s="336" t="s">
        <v>1772</v>
      </c>
      <c r="M13" s="336">
        <f t="shared" si="1"/>
        <v>3.1250000000000002E-3</v>
      </c>
      <c r="N13" s="336">
        <f>5*64</f>
        <v>320</v>
      </c>
    </row>
    <row r="14" spans="2:22">
      <c r="H14" s="336" t="s">
        <v>1773</v>
      </c>
      <c r="I14" s="336">
        <f>1/(2*60)</f>
        <v>8.3333333333333332E-3</v>
      </c>
      <c r="J14" s="336">
        <v>120</v>
      </c>
      <c r="L14" s="336" t="s">
        <v>1773</v>
      </c>
      <c r="M14" s="336">
        <f t="shared" si="1"/>
        <v>7.8125E-3</v>
      </c>
      <c r="N14" s="336">
        <f>2*64</f>
        <v>128</v>
      </c>
    </row>
    <row r="15" spans="2:22">
      <c r="H15" s="336" t="s">
        <v>1774</v>
      </c>
      <c r="I15" s="336">
        <f>1/64</f>
        <v>1.5625E-2</v>
      </c>
      <c r="J15" s="336">
        <v>64</v>
      </c>
      <c r="L15" s="336" t="s">
        <v>1774</v>
      </c>
      <c r="M15" s="336">
        <f t="shared" si="1"/>
        <v>1.5625E-2</v>
      </c>
      <c r="N15" s="336">
        <v>64</v>
      </c>
      <c r="T15" s="5"/>
      <c r="V15" s="278"/>
    </row>
    <row r="16" spans="2:22">
      <c r="H16" s="336" t="s">
        <v>1775</v>
      </c>
      <c r="I16" s="336">
        <f>1/32</f>
        <v>3.125E-2</v>
      </c>
      <c r="J16" s="336">
        <v>32</v>
      </c>
      <c r="T16" s="5"/>
      <c r="V16" s="278"/>
    </row>
    <row r="17" spans="2:22">
      <c r="H17" s="336" t="s">
        <v>1776</v>
      </c>
      <c r="I17" s="336">
        <f>1/16</f>
        <v>6.25E-2</v>
      </c>
      <c r="J17" s="336">
        <v>16</v>
      </c>
      <c r="P17" s="183"/>
      <c r="T17" s="5"/>
      <c r="V17" s="278"/>
    </row>
    <row r="18" spans="2:22">
      <c r="H18" s="336" t="s">
        <v>1777</v>
      </c>
      <c r="I18" s="336">
        <f>1/8</f>
        <v>0.125</v>
      </c>
      <c r="J18" s="336">
        <v>8</v>
      </c>
      <c r="P18" s="183"/>
    </row>
    <row r="19" spans="2:22">
      <c r="H19" s="336" t="s">
        <v>1778</v>
      </c>
      <c r="I19" s="336">
        <f>1/4</f>
        <v>0.25</v>
      </c>
      <c r="J19" s="336">
        <v>4</v>
      </c>
    </row>
    <row r="20" spans="2:22">
      <c r="H20" s="336" t="s">
        <v>1779</v>
      </c>
      <c r="I20" s="336">
        <f>1/2</f>
        <v>0.5</v>
      </c>
      <c r="J20" s="336">
        <v>2</v>
      </c>
    </row>
    <row r="21" spans="2:22">
      <c r="H21" s="336" t="s">
        <v>1780</v>
      </c>
      <c r="I21" s="336">
        <f>1</f>
        <v>1</v>
      </c>
      <c r="J21" s="336">
        <v>1</v>
      </c>
    </row>
    <row r="25" spans="2:22" ht="18.75">
      <c r="B25" s="643" t="s">
        <v>1781</v>
      </c>
      <c r="C25" s="643"/>
      <c r="D25" s="643"/>
      <c r="E25" s="643"/>
      <c r="F25" s="643"/>
      <c r="G25" s="643"/>
      <c r="H25" s="643"/>
      <c r="I25" s="643"/>
      <c r="J25" s="91"/>
    </row>
    <row r="26" spans="2:22">
      <c r="B26" s="338"/>
      <c r="C26" s="339" t="s">
        <v>1740</v>
      </c>
      <c r="D26" s="339" t="s">
        <v>1782</v>
      </c>
      <c r="E26" s="339" t="s">
        <v>1783</v>
      </c>
      <c r="F26" s="339" t="s">
        <v>1784</v>
      </c>
      <c r="G26" s="339" t="s">
        <v>1785</v>
      </c>
      <c r="H26" s="339" t="s">
        <v>1786</v>
      </c>
      <c r="I26" s="339" t="s">
        <v>1787</v>
      </c>
      <c r="J26" s="91"/>
    </row>
    <row r="27" spans="2:22">
      <c r="B27" s="336" t="s">
        <v>1788</v>
      </c>
      <c r="C27" s="336" t="s">
        <v>1750</v>
      </c>
      <c r="D27" s="336">
        <f>$E$3</f>
        <v>600</v>
      </c>
      <c r="E27" s="336" t="s">
        <v>1768</v>
      </c>
      <c r="F27" s="336">
        <f>$I$9*$F$3</f>
        <v>2.7777777777777778E-4</v>
      </c>
      <c r="G27" s="336">
        <f>D27*F27</f>
        <v>0.16666666666666666</v>
      </c>
      <c r="H27" s="336">
        <v>86400</v>
      </c>
      <c r="I27" s="336">
        <f>G27*H27/1000000</f>
        <v>1.44E-2</v>
      </c>
      <c r="J27" s="91"/>
    </row>
    <row r="28" spans="2:22">
      <c r="B28" s="336" t="s">
        <v>1789</v>
      </c>
      <c r="C28" s="336" t="s">
        <v>1757</v>
      </c>
      <c r="D28" s="336">
        <f>$E$5</f>
        <v>280</v>
      </c>
      <c r="E28" s="340" t="s">
        <v>1774</v>
      </c>
      <c r="F28" s="336">
        <f>$M$15*$F$5</f>
        <v>1</v>
      </c>
      <c r="G28" s="336">
        <f>D28*F28</f>
        <v>280</v>
      </c>
      <c r="H28" s="336">
        <v>86400</v>
      </c>
      <c r="I28" s="336">
        <f>G28*H28/1000000</f>
        <v>24.192</v>
      </c>
      <c r="J28" s="91"/>
    </row>
    <row r="29" spans="2:22">
      <c r="B29" s="336" t="s">
        <v>1759</v>
      </c>
      <c r="C29" s="336" t="s">
        <v>1760</v>
      </c>
      <c r="D29" s="336">
        <f>$E$6</f>
        <v>696</v>
      </c>
      <c r="E29" s="336" t="s">
        <v>1768</v>
      </c>
      <c r="F29" s="336">
        <f>$M$9*$F$6</f>
        <v>2.7412280701754384E-4</v>
      </c>
      <c r="G29" s="336">
        <f>D29*F29</f>
        <v>0.19078947368421051</v>
      </c>
      <c r="H29" s="336">
        <v>86400</v>
      </c>
      <c r="I29" s="336">
        <f>G29*H29/1000000</f>
        <v>1.6484210526315785E-2</v>
      </c>
      <c r="J29" s="91"/>
    </row>
    <row r="30" spans="2:22" ht="15" customHeight="1">
      <c r="B30" s="336" t="s">
        <v>1762</v>
      </c>
      <c r="C30" s="336" t="s">
        <v>1763</v>
      </c>
      <c r="D30" s="336">
        <f>$E$7</f>
        <v>1728</v>
      </c>
      <c r="E30" s="336" t="s">
        <v>1790</v>
      </c>
      <c r="F30" s="336">
        <v>0</v>
      </c>
      <c r="G30" s="336">
        <f>D30*F30</f>
        <v>0</v>
      </c>
      <c r="H30" s="336">
        <v>0</v>
      </c>
      <c r="I30" s="336">
        <f>G30*H30/1000000</f>
        <v>0</v>
      </c>
      <c r="J30" s="648" t="s">
        <v>1791</v>
      </c>
      <c r="K30" s="648"/>
      <c r="L30" s="648"/>
      <c r="M30" s="648"/>
      <c r="N30" s="648"/>
    </row>
    <row r="31" spans="2:22">
      <c r="B31" s="336" t="s">
        <v>1765</v>
      </c>
      <c r="C31" s="336" t="s">
        <v>1766</v>
      </c>
      <c r="D31" s="336">
        <f>$E$8</f>
        <v>1632</v>
      </c>
      <c r="E31" s="336" t="s">
        <v>1790</v>
      </c>
      <c r="F31" s="336">
        <v>0</v>
      </c>
      <c r="G31" s="336">
        <f>D31*F31</f>
        <v>0</v>
      </c>
      <c r="H31" s="336">
        <v>0</v>
      </c>
      <c r="I31" s="336">
        <f>G31*H31/1000000</f>
        <v>0</v>
      </c>
      <c r="J31" s="648"/>
      <c r="K31" s="648"/>
      <c r="L31" s="648"/>
      <c r="M31" s="648"/>
      <c r="N31" s="648"/>
    </row>
    <row r="32" spans="2:22" ht="15.75">
      <c r="B32" s="647"/>
      <c r="C32" s="647"/>
      <c r="D32" s="647"/>
      <c r="E32" s="647"/>
      <c r="F32" s="647"/>
      <c r="G32" s="647"/>
      <c r="H32" s="340" t="s">
        <v>1792</v>
      </c>
      <c r="I32" s="340">
        <f>SUM(I27:I31)</f>
        <v>24.222884210526313</v>
      </c>
      <c r="J32" s="341"/>
      <c r="K32" s="342"/>
      <c r="L32" s="342"/>
      <c r="M32" s="342"/>
      <c r="N32" s="342"/>
    </row>
    <row r="33" spans="2:16" ht="15.75">
      <c r="J33" s="342"/>
      <c r="K33" s="342"/>
      <c r="L33" s="342"/>
      <c r="M33" s="342"/>
      <c r="N33" s="342"/>
    </row>
    <row r="34" spans="2:16" ht="15.75">
      <c r="J34" s="342"/>
      <c r="K34" s="342"/>
      <c r="L34" s="342"/>
      <c r="M34" s="342"/>
      <c r="N34" s="342"/>
    </row>
    <row r="35" spans="2:16" ht="15.75">
      <c r="J35" s="342"/>
      <c r="K35" s="342"/>
      <c r="L35" s="342"/>
      <c r="M35" s="342"/>
      <c r="N35" s="342"/>
    </row>
    <row r="36" spans="2:16" ht="15.75">
      <c r="J36" s="342"/>
      <c r="K36" s="342"/>
      <c r="L36" s="342"/>
      <c r="M36" s="342"/>
      <c r="N36" s="342"/>
    </row>
    <row r="37" spans="2:16" ht="15.75">
      <c r="J37" s="342"/>
      <c r="K37" s="342"/>
      <c r="L37" s="342"/>
      <c r="M37" s="342"/>
      <c r="N37" s="342"/>
    </row>
    <row r="38" spans="2:16" ht="18.75">
      <c r="B38" s="643" t="s">
        <v>1793</v>
      </c>
      <c r="C38" s="643"/>
      <c r="D38" s="643"/>
      <c r="E38" s="643"/>
      <c r="F38" s="643"/>
      <c r="G38" s="643"/>
      <c r="H38" s="643"/>
      <c r="I38" s="643"/>
      <c r="J38" s="343"/>
      <c r="K38" s="342"/>
      <c r="L38" s="342"/>
      <c r="M38" s="342"/>
      <c r="N38" s="342"/>
      <c r="P38" t="s">
        <v>204</v>
      </c>
    </row>
    <row r="39" spans="2:16" ht="15.75">
      <c r="B39" s="338"/>
      <c r="C39" s="339" t="s">
        <v>1740</v>
      </c>
      <c r="D39" s="339" t="s">
        <v>1782</v>
      </c>
      <c r="E39" s="339" t="s">
        <v>1783</v>
      </c>
      <c r="F39" s="339" t="s">
        <v>1784</v>
      </c>
      <c r="G39" s="339" t="s">
        <v>1785</v>
      </c>
      <c r="H39" s="339" t="s">
        <v>1786</v>
      </c>
      <c r="I39" s="339" t="s">
        <v>1787</v>
      </c>
      <c r="J39" s="343"/>
      <c r="K39" s="342"/>
      <c r="L39" s="342"/>
      <c r="M39" s="342"/>
      <c r="N39" s="342"/>
    </row>
    <row r="40" spans="2:16" ht="15.75">
      <c r="B40" s="336" t="s">
        <v>1788</v>
      </c>
      <c r="C40" s="336" t="s">
        <v>1750</v>
      </c>
      <c r="D40" s="336">
        <f>$E$3</f>
        <v>600</v>
      </c>
      <c r="E40" s="336" t="s">
        <v>1768</v>
      </c>
      <c r="F40" s="336">
        <f>$I$9*$F$3</f>
        <v>2.7777777777777778E-4</v>
      </c>
      <c r="G40" s="336">
        <f>D40*F40</f>
        <v>0.16666666666666666</v>
      </c>
      <c r="H40" s="336">
        <v>86400</v>
      </c>
      <c r="I40" s="336">
        <f>G40*H40/1000000</f>
        <v>1.44E-2</v>
      </c>
      <c r="J40" s="342"/>
      <c r="K40" s="342"/>
      <c r="L40" s="342"/>
      <c r="M40" s="342"/>
      <c r="N40" s="342"/>
    </row>
    <row r="41" spans="2:16" ht="15.75">
      <c r="B41" s="336" t="s">
        <v>1789</v>
      </c>
      <c r="C41" s="336" t="s">
        <v>1757</v>
      </c>
      <c r="D41" s="336">
        <f>$E$5</f>
        <v>280</v>
      </c>
      <c r="E41" s="340" t="s">
        <v>1774</v>
      </c>
      <c r="F41" s="336">
        <f>$M$15*$F$5</f>
        <v>1</v>
      </c>
      <c r="G41" s="336">
        <f>D41*F41</f>
        <v>280</v>
      </c>
      <c r="H41" s="336">
        <v>86400</v>
      </c>
      <c r="I41" s="336">
        <f>G41*H41/1000000</f>
        <v>24.192</v>
      </c>
      <c r="J41" s="342"/>
      <c r="K41" s="342"/>
      <c r="L41" s="342"/>
      <c r="M41" s="342"/>
      <c r="N41" s="342"/>
    </row>
    <row r="42" spans="2:16" ht="15.75">
      <c r="B42" s="336" t="s">
        <v>1759</v>
      </c>
      <c r="C42" s="336" t="s">
        <v>1760</v>
      </c>
      <c r="D42" s="336">
        <f>$E$6</f>
        <v>696</v>
      </c>
      <c r="E42" s="336" t="s">
        <v>1768</v>
      </c>
      <c r="F42" s="336">
        <f>$M$9*$F$6</f>
        <v>2.7412280701754384E-4</v>
      </c>
      <c r="G42" s="336">
        <f>D42*F42</f>
        <v>0.19078947368421051</v>
      </c>
      <c r="H42" s="336">
        <v>86400</v>
      </c>
      <c r="I42" s="336">
        <f>G42*H42/1000000</f>
        <v>1.6484210526315785E-2</v>
      </c>
      <c r="J42" s="342"/>
      <c r="K42" s="342"/>
      <c r="L42" s="342"/>
      <c r="M42" s="342"/>
      <c r="N42" s="342"/>
    </row>
    <row r="43" spans="2:16" ht="15" customHeight="1">
      <c r="B43" s="336" t="s">
        <v>1762</v>
      </c>
      <c r="C43" s="336" t="s">
        <v>1763</v>
      </c>
      <c r="D43" s="336">
        <f>$E$7</f>
        <v>1728</v>
      </c>
      <c r="E43" s="336" t="s">
        <v>1755</v>
      </c>
      <c r="F43" s="336">
        <f>$M$4*$F$7</f>
        <v>1.1574074074074073E-5</v>
      </c>
      <c r="G43" s="336">
        <f>D43*F43</f>
        <v>0.02</v>
      </c>
      <c r="H43" s="336">
        <v>86400</v>
      </c>
      <c r="I43" s="336">
        <f>G43*H43/1000000</f>
        <v>1.7279999999999999E-3</v>
      </c>
      <c r="J43" s="649" t="s">
        <v>1794</v>
      </c>
      <c r="K43" s="649"/>
      <c r="L43" s="649"/>
      <c r="M43" s="649"/>
      <c r="N43" s="649"/>
      <c r="O43" s="276"/>
    </row>
    <row r="44" spans="2:16">
      <c r="B44" s="336" t="s">
        <v>1765</v>
      </c>
      <c r="C44" s="336" t="s">
        <v>1766</v>
      </c>
      <c r="D44" s="336">
        <f>$E$8</f>
        <v>1632</v>
      </c>
      <c r="E44" s="336" t="s">
        <v>1755</v>
      </c>
      <c r="F44" s="336">
        <f>$M$4*$F$8</f>
        <v>7.2916666666666659E-4</v>
      </c>
      <c r="G44" s="336">
        <f>D44*F44</f>
        <v>1.19</v>
      </c>
      <c r="H44" s="336">
        <v>86400</v>
      </c>
      <c r="I44" s="336">
        <f>G44*H44/1000000</f>
        <v>0.102816</v>
      </c>
      <c r="J44" s="649"/>
      <c r="K44" s="649"/>
      <c r="L44" s="649"/>
      <c r="M44" s="649"/>
      <c r="N44" s="649"/>
      <c r="O44" s="276"/>
    </row>
    <row r="45" spans="2:16">
      <c r="B45" s="647"/>
      <c r="C45" s="647"/>
      <c r="D45" s="647"/>
      <c r="E45" s="647"/>
      <c r="F45" s="647"/>
      <c r="G45" s="647"/>
      <c r="H45" s="340" t="s">
        <v>1792</v>
      </c>
      <c r="I45" s="340">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643" t="s">
        <v>1795</v>
      </c>
      <c r="C47" s="643"/>
      <c r="D47" s="643"/>
      <c r="E47" s="643"/>
      <c r="F47" s="643"/>
      <c r="G47" s="643"/>
      <c r="H47" s="643"/>
      <c r="I47" s="643"/>
      <c r="J47" s="344"/>
    </row>
    <row r="48" spans="2:16">
      <c r="B48" s="338"/>
      <c r="C48" s="339" t="s">
        <v>1740</v>
      </c>
      <c r="D48" s="339" t="s">
        <v>1782</v>
      </c>
      <c r="E48" s="339" t="s">
        <v>1783</v>
      </c>
      <c r="F48" s="339" t="s">
        <v>1784</v>
      </c>
      <c r="G48" s="339" t="s">
        <v>1785</v>
      </c>
      <c r="H48" s="339" t="s">
        <v>1786</v>
      </c>
      <c r="I48" s="339" t="s">
        <v>1787</v>
      </c>
      <c r="J48" s="145"/>
    </row>
    <row r="49" spans="2:11">
      <c r="B49" s="336" t="s">
        <v>1788</v>
      </c>
      <c r="C49" s="336" t="s">
        <v>1750</v>
      </c>
      <c r="D49" s="336">
        <f>$E$3</f>
        <v>600</v>
      </c>
      <c r="E49" s="336" t="s">
        <v>1768</v>
      </c>
      <c r="F49" s="336">
        <f>$I$9*$F$3</f>
        <v>2.7777777777777778E-4</v>
      </c>
      <c r="G49" s="336">
        <f>D49*F49</f>
        <v>0.16666666666666666</v>
      </c>
      <c r="H49" s="336">
        <v>86400</v>
      </c>
      <c r="I49" s="336">
        <f>G49*H49/1000000</f>
        <v>1.44E-2</v>
      </c>
    </row>
    <row r="50" spans="2:11">
      <c r="B50" s="336" t="s">
        <v>1789</v>
      </c>
      <c r="C50" s="336" t="s">
        <v>1757</v>
      </c>
      <c r="D50" s="336">
        <f>$E$5</f>
        <v>280</v>
      </c>
      <c r="E50" s="340" t="s">
        <v>1773</v>
      </c>
      <c r="F50" s="336">
        <f>$M$14*$F$5</f>
        <v>0.5</v>
      </c>
      <c r="G50" s="336">
        <f>D50*F50</f>
        <v>140</v>
      </c>
      <c r="H50" s="336">
        <v>86400</v>
      </c>
      <c r="I50" s="336">
        <f>G50*H50/1000000</f>
        <v>12.096</v>
      </c>
    </row>
    <row r="51" spans="2:11">
      <c r="B51" s="336" t="s">
        <v>1759</v>
      </c>
      <c r="C51" s="336" t="s">
        <v>1760</v>
      </c>
      <c r="D51" s="336">
        <f>$E$6</f>
        <v>696</v>
      </c>
      <c r="E51" s="336" t="s">
        <v>1768</v>
      </c>
      <c r="F51" s="336">
        <f>$M$9*$F$6</f>
        <v>2.7412280701754384E-4</v>
      </c>
      <c r="G51" s="336">
        <f>D51*F51</f>
        <v>0.19078947368421051</v>
      </c>
      <c r="H51" s="336">
        <v>86400</v>
      </c>
      <c r="I51" s="336">
        <f>G51*H51/1000000</f>
        <v>1.6484210526315785E-2</v>
      </c>
    </row>
    <row r="52" spans="2:11">
      <c r="B52" s="336" t="s">
        <v>1762</v>
      </c>
      <c r="C52" s="336" t="s">
        <v>1763</v>
      </c>
      <c r="D52" s="336">
        <f>$E$7</f>
        <v>1728</v>
      </c>
      <c r="E52" s="336" t="s">
        <v>1755</v>
      </c>
      <c r="F52" s="336">
        <f>$M$4*$F$7</f>
        <v>1.1574074074074073E-5</v>
      </c>
      <c r="G52" s="336">
        <f>D52*F52</f>
        <v>0.02</v>
      </c>
      <c r="H52" s="336">
        <v>86400</v>
      </c>
      <c r="I52" s="336">
        <f>G52*H52/1000000</f>
        <v>1.7279999999999999E-3</v>
      </c>
    </row>
    <row r="53" spans="2:11">
      <c r="B53" s="336" t="s">
        <v>1765</v>
      </c>
      <c r="C53" s="336" t="s">
        <v>1766</v>
      </c>
      <c r="D53" s="336">
        <f>$E$8</f>
        <v>1632</v>
      </c>
      <c r="E53" s="336" t="s">
        <v>1755</v>
      </c>
      <c r="F53" s="336">
        <f>$M$4*$F$8</f>
        <v>7.2916666666666659E-4</v>
      </c>
      <c r="G53" s="336">
        <f>D53*F53</f>
        <v>1.19</v>
      </c>
      <c r="H53" s="336">
        <v>86400</v>
      </c>
      <c r="I53" s="336">
        <f>G53*H53/1000000</f>
        <v>0.102816</v>
      </c>
    </row>
    <row r="54" spans="2:11">
      <c r="B54" s="647"/>
      <c r="C54" s="647"/>
      <c r="D54" s="647"/>
      <c r="E54" s="647"/>
      <c r="F54" s="647"/>
      <c r="G54" s="647"/>
      <c r="H54" s="340" t="s">
        <v>1792</v>
      </c>
      <c r="I54" s="340">
        <f>SUM(I49:I53)</f>
        <v>12.231428210526317</v>
      </c>
      <c r="J54" s="91">
        <f>I54*1000000/86400</f>
        <v>141.56745614035088</v>
      </c>
      <c r="K54">
        <f>J54/8</f>
        <v>17.695932017543861</v>
      </c>
    </row>
    <row r="55" spans="2:11">
      <c r="I55" s="91"/>
      <c r="J55" s="3" t="s">
        <v>6</v>
      </c>
      <c r="K55" s="3" t="s">
        <v>4119</v>
      </c>
    </row>
    <row r="56" spans="2:11" ht="18.75">
      <c r="B56" s="643" t="s">
        <v>1796</v>
      </c>
      <c r="C56" s="643"/>
      <c r="D56" s="643"/>
      <c r="E56" s="643"/>
      <c r="F56" s="643"/>
      <c r="G56" s="643"/>
      <c r="H56" s="643"/>
      <c r="I56" s="643"/>
      <c r="J56" s="344"/>
    </row>
    <row r="57" spans="2:11">
      <c r="B57" s="338"/>
      <c r="C57" s="339" t="s">
        <v>1740</v>
      </c>
      <c r="D57" s="339" t="s">
        <v>1782</v>
      </c>
      <c r="E57" s="339" t="s">
        <v>1783</v>
      </c>
      <c r="F57" s="339" t="s">
        <v>1784</v>
      </c>
      <c r="G57" s="339" t="s">
        <v>1785</v>
      </c>
      <c r="H57" s="339" t="s">
        <v>1786</v>
      </c>
      <c r="I57" s="339" t="s">
        <v>1787</v>
      </c>
      <c r="J57" s="145"/>
    </row>
    <row r="58" spans="2:11">
      <c r="B58" s="336" t="s">
        <v>1788</v>
      </c>
      <c r="C58" s="336" t="s">
        <v>1750</v>
      </c>
      <c r="D58" s="336">
        <f>$E$3</f>
        <v>600</v>
      </c>
      <c r="E58" s="336" t="s">
        <v>1768</v>
      </c>
      <c r="F58" s="336">
        <f>$I$9*$F$3</f>
        <v>2.7777777777777778E-4</v>
      </c>
      <c r="G58" s="336">
        <f>D58*F58</f>
        <v>0.16666666666666666</v>
      </c>
      <c r="H58" s="336">
        <v>86400</v>
      </c>
      <c r="I58" s="336">
        <f>G58*H58/1000000</f>
        <v>1.44E-2</v>
      </c>
    </row>
    <row r="59" spans="2:11">
      <c r="B59" s="336" t="s">
        <v>1789</v>
      </c>
      <c r="C59" s="336" t="s">
        <v>1757</v>
      </c>
      <c r="D59" s="336">
        <f>$E$5</f>
        <v>280</v>
      </c>
      <c r="E59" s="340" t="s">
        <v>1772</v>
      </c>
      <c r="F59" s="336">
        <f>$M$13*$F$5</f>
        <v>0.2</v>
      </c>
      <c r="G59" s="336">
        <f>D59*F59</f>
        <v>56</v>
      </c>
      <c r="H59" s="336">
        <v>86400</v>
      </c>
      <c r="I59" s="336">
        <f>G59*H59/1000000</f>
        <v>4.8384</v>
      </c>
    </row>
    <row r="60" spans="2:11">
      <c r="B60" s="336" t="s">
        <v>1759</v>
      </c>
      <c r="C60" s="336" t="s">
        <v>1760</v>
      </c>
      <c r="D60" s="336">
        <f>$E$6</f>
        <v>696</v>
      </c>
      <c r="E60" s="336" t="s">
        <v>1768</v>
      </c>
      <c r="F60" s="336">
        <f>$M$9*$F$6</f>
        <v>2.7412280701754384E-4</v>
      </c>
      <c r="G60" s="336">
        <f>D60*F60</f>
        <v>0.19078947368421051</v>
      </c>
      <c r="H60" s="336">
        <v>86400</v>
      </c>
      <c r="I60" s="336">
        <f>G60*H60/1000000</f>
        <v>1.6484210526315785E-2</v>
      </c>
    </row>
    <row r="61" spans="2:11">
      <c r="B61" s="336" t="s">
        <v>1762</v>
      </c>
      <c r="C61" s="336" t="s">
        <v>1763</v>
      </c>
      <c r="D61" s="336">
        <f>$E$7</f>
        <v>1728</v>
      </c>
      <c r="E61" s="336" t="s">
        <v>1755</v>
      </c>
      <c r="F61" s="336">
        <f>$M$4*$F$7</f>
        <v>1.1574074074074073E-5</v>
      </c>
      <c r="G61" s="336">
        <f>D61*F61</f>
        <v>0.02</v>
      </c>
      <c r="H61" s="336">
        <v>86400</v>
      </c>
      <c r="I61" s="336">
        <f>G61*H61/1000000</f>
        <v>1.7279999999999999E-3</v>
      </c>
    </row>
    <row r="62" spans="2:11">
      <c r="B62" s="336" t="s">
        <v>1765</v>
      </c>
      <c r="C62" s="336" t="s">
        <v>1766</v>
      </c>
      <c r="D62" s="336">
        <f>$E$8</f>
        <v>1632</v>
      </c>
      <c r="E62" s="336" t="s">
        <v>1755</v>
      </c>
      <c r="F62" s="336">
        <f>$M$4*$F$8</f>
        <v>7.2916666666666659E-4</v>
      </c>
      <c r="G62" s="336">
        <f>D62*F62</f>
        <v>1.19</v>
      </c>
      <c r="H62" s="336">
        <v>86400</v>
      </c>
      <c r="I62" s="336">
        <f>G62*H62/1000000</f>
        <v>0.102816</v>
      </c>
    </row>
    <row r="63" spans="2:11">
      <c r="B63" s="647"/>
      <c r="C63" s="647"/>
      <c r="D63" s="647"/>
      <c r="E63" s="647"/>
      <c r="F63" s="647"/>
      <c r="G63" s="647"/>
      <c r="H63" s="340" t="s">
        <v>1792</v>
      </c>
      <c r="I63" s="340">
        <f>SUM(I58:I62)</f>
        <v>4.9738282105263156</v>
      </c>
      <c r="J63" s="91">
        <f>I63*1000000/86400</f>
        <v>57.56745614035087</v>
      </c>
      <c r="K63">
        <f>J63/8</f>
        <v>7.1959320175438588</v>
      </c>
    </row>
    <row r="64" spans="2:11">
      <c r="I64" s="91"/>
      <c r="J64" s="3" t="s">
        <v>6</v>
      </c>
      <c r="K64" s="3" t="s">
        <v>4119</v>
      </c>
    </row>
    <row r="65" spans="2:11" ht="18.75">
      <c r="B65" s="643" t="s">
        <v>1797</v>
      </c>
      <c r="C65" s="643"/>
      <c r="D65" s="643"/>
      <c r="E65" s="643"/>
      <c r="F65" s="643"/>
      <c r="G65" s="643"/>
      <c r="H65" s="643"/>
      <c r="I65" s="643"/>
      <c r="J65" s="344"/>
    </row>
    <row r="66" spans="2:11">
      <c r="B66" s="338"/>
      <c r="C66" s="339" t="s">
        <v>1740</v>
      </c>
      <c r="D66" s="339" t="s">
        <v>1782</v>
      </c>
      <c r="E66" s="339" t="s">
        <v>1783</v>
      </c>
      <c r="F66" s="339" t="s">
        <v>1784</v>
      </c>
      <c r="G66" s="339" t="s">
        <v>1785</v>
      </c>
      <c r="H66" s="339" t="s">
        <v>1786</v>
      </c>
      <c r="I66" s="339" t="s">
        <v>1787</v>
      </c>
      <c r="J66" s="145"/>
    </row>
    <row r="67" spans="2:11">
      <c r="B67" s="336" t="s">
        <v>1788</v>
      </c>
      <c r="C67" s="336" t="s">
        <v>1750</v>
      </c>
      <c r="D67" s="336">
        <f>$E$3</f>
        <v>600</v>
      </c>
      <c r="E67" s="336" t="s">
        <v>1768</v>
      </c>
      <c r="F67" s="336">
        <f>$I$9*$F$3</f>
        <v>2.7777777777777778E-4</v>
      </c>
      <c r="G67" s="336">
        <f>D67*F67</f>
        <v>0.16666666666666666</v>
      </c>
      <c r="H67" s="336">
        <v>86400</v>
      </c>
      <c r="I67" s="336">
        <f>G67*H67/1000000</f>
        <v>1.44E-2</v>
      </c>
    </row>
    <row r="68" spans="2:11">
      <c r="B68" s="336" t="s">
        <v>1789</v>
      </c>
      <c r="C68" s="336" t="s">
        <v>1757</v>
      </c>
      <c r="D68" s="336">
        <f>$E$5</f>
        <v>280</v>
      </c>
      <c r="E68" s="340" t="s">
        <v>1771</v>
      </c>
      <c r="F68" s="336">
        <f>$M$12*$F$5</f>
        <v>0.1</v>
      </c>
      <c r="G68" s="336">
        <f>D68*F68</f>
        <v>28</v>
      </c>
      <c r="H68" s="336">
        <v>86400</v>
      </c>
      <c r="I68" s="336">
        <f>G68*H68/1000000</f>
        <v>2.4192</v>
      </c>
    </row>
    <row r="69" spans="2:11">
      <c r="B69" s="336" t="s">
        <v>1759</v>
      </c>
      <c r="C69" s="336" t="s">
        <v>1760</v>
      </c>
      <c r="D69" s="336">
        <f>$E$6</f>
        <v>696</v>
      </c>
      <c r="E69" s="336" t="s">
        <v>1768</v>
      </c>
      <c r="F69" s="336">
        <f>$M$9*$F$6</f>
        <v>2.7412280701754384E-4</v>
      </c>
      <c r="G69" s="336">
        <f>D69*F69</f>
        <v>0.19078947368421051</v>
      </c>
      <c r="H69" s="336">
        <v>86400</v>
      </c>
      <c r="I69" s="336">
        <f>G69*H69/1000000</f>
        <v>1.6484210526315785E-2</v>
      </c>
    </row>
    <row r="70" spans="2:11">
      <c r="B70" s="336" t="s">
        <v>1762</v>
      </c>
      <c r="C70" s="336" t="s">
        <v>1763</v>
      </c>
      <c r="D70" s="336">
        <f>$E$7</f>
        <v>1728</v>
      </c>
      <c r="E70" s="336" t="s">
        <v>1755</v>
      </c>
      <c r="F70" s="336">
        <f>$M$4*$F$7</f>
        <v>1.1574074074074073E-5</v>
      </c>
      <c r="G70" s="336">
        <f>D70*F70</f>
        <v>0.02</v>
      </c>
      <c r="H70" s="336">
        <v>86400</v>
      </c>
      <c r="I70" s="336">
        <f>G70*H70/1000000</f>
        <v>1.7279999999999999E-3</v>
      </c>
    </row>
    <row r="71" spans="2:11">
      <c r="B71" s="336" t="s">
        <v>1765</v>
      </c>
      <c r="C71" s="336" t="s">
        <v>1766</v>
      </c>
      <c r="D71" s="336">
        <f>$E$8</f>
        <v>1632</v>
      </c>
      <c r="E71" s="336" t="s">
        <v>1755</v>
      </c>
      <c r="F71" s="336">
        <f>$M$4*$F$8</f>
        <v>7.2916666666666659E-4</v>
      </c>
      <c r="G71" s="336">
        <f>D71*F71</f>
        <v>1.19</v>
      </c>
      <c r="H71" s="336">
        <v>86400</v>
      </c>
      <c r="I71" s="336">
        <f>G71*H71/1000000</f>
        <v>0.102816</v>
      </c>
      <c r="K71" t="s">
        <v>4120</v>
      </c>
    </row>
    <row r="72" spans="2:11">
      <c r="B72" s="647"/>
      <c r="C72" s="647"/>
      <c r="D72" s="647"/>
      <c r="E72" s="647"/>
      <c r="F72" s="647"/>
      <c r="G72" s="647"/>
      <c r="H72" s="340" t="s">
        <v>1792</v>
      </c>
      <c r="I72" s="340">
        <f>SUM(I67:I71)</f>
        <v>2.5546282105263156</v>
      </c>
      <c r="J72" s="91">
        <f>I72*1000000/86400</f>
        <v>29.567456140350874</v>
      </c>
      <c r="K72" s="386">
        <f>J72/8</f>
        <v>3.6959320175438592</v>
      </c>
    </row>
    <row r="73" spans="2:11">
      <c r="J73" s="3" t="s">
        <v>6</v>
      </c>
      <c r="K73" s="3" t="s">
        <v>4119</v>
      </c>
    </row>
    <row r="74" spans="2:11" ht="18.75">
      <c r="B74" s="643" t="s">
        <v>1798</v>
      </c>
      <c r="C74" s="643"/>
      <c r="D74" s="643"/>
      <c r="E74" s="643"/>
      <c r="F74" s="643"/>
      <c r="G74" s="643"/>
      <c r="H74" s="643"/>
      <c r="I74" s="643"/>
      <c r="J74" s="344"/>
    </row>
    <row r="75" spans="2:11">
      <c r="B75" s="338"/>
      <c r="C75" s="339" t="s">
        <v>1740</v>
      </c>
      <c r="D75" s="339" t="s">
        <v>1782</v>
      </c>
      <c r="E75" s="339" t="s">
        <v>1783</v>
      </c>
      <c r="F75" s="339" t="s">
        <v>1784</v>
      </c>
      <c r="G75" s="339" t="s">
        <v>1785</v>
      </c>
      <c r="H75" s="339" t="s">
        <v>1786</v>
      </c>
      <c r="I75" s="339" t="s">
        <v>1787</v>
      </c>
      <c r="J75" s="145"/>
    </row>
    <row r="76" spans="2:11">
      <c r="B76" s="336" t="s">
        <v>1788</v>
      </c>
      <c r="C76" s="336" t="s">
        <v>1750</v>
      </c>
      <c r="D76" s="336">
        <f>$E$3</f>
        <v>600</v>
      </c>
      <c r="E76" s="336" t="s">
        <v>1768</v>
      </c>
      <c r="F76" s="336">
        <f>$I$9*$F$3</f>
        <v>2.7777777777777778E-4</v>
      </c>
      <c r="G76" s="336">
        <f>D76*F76</f>
        <v>0.16666666666666666</v>
      </c>
      <c r="H76" s="336">
        <v>86400</v>
      </c>
      <c r="I76" s="336">
        <f>G76*H76/1000000</f>
        <v>1.44E-2</v>
      </c>
    </row>
    <row r="77" spans="2:11">
      <c r="B77" s="336" t="s">
        <v>1789</v>
      </c>
      <c r="C77" s="336" t="s">
        <v>1757</v>
      </c>
      <c r="D77" s="336">
        <f>$E$5</f>
        <v>280</v>
      </c>
      <c r="E77" s="340" t="s">
        <v>1770</v>
      </c>
      <c r="F77" s="336">
        <f>$M$11*$F$5</f>
        <v>0.05</v>
      </c>
      <c r="G77" s="336">
        <f>D77*F77</f>
        <v>14</v>
      </c>
      <c r="H77" s="336">
        <v>86400</v>
      </c>
      <c r="I77" s="336">
        <f>G77*H77/1000000</f>
        <v>1.2096</v>
      </c>
    </row>
    <row r="78" spans="2:11">
      <c r="B78" s="336" t="s">
        <v>1759</v>
      </c>
      <c r="C78" s="336" t="s">
        <v>1760</v>
      </c>
      <c r="D78" s="336">
        <f>$E$6</f>
        <v>696</v>
      </c>
      <c r="E78" s="336" t="s">
        <v>1768</v>
      </c>
      <c r="F78" s="336">
        <f>$M$9*$F$6</f>
        <v>2.7412280701754384E-4</v>
      </c>
      <c r="G78" s="336">
        <f>D78*F78</f>
        <v>0.19078947368421051</v>
      </c>
      <c r="H78" s="336">
        <v>86400</v>
      </c>
      <c r="I78" s="336">
        <f>G78*H78/1000000</f>
        <v>1.6484210526315785E-2</v>
      </c>
    </row>
    <row r="79" spans="2:11">
      <c r="B79" s="336" t="s">
        <v>1762</v>
      </c>
      <c r="C79" s="336" t="s">
        <v>1763</v>
      </c>
      <c r="D79" s="336">
        <f>$E$7</f>
        <v>1728</v>
      </c>
      <c r="E79" s="336" t="s">
        <v>1755</v>
      </c>
      <c r="F79" s="336">
        <f>$M$4*$F$7</f>
        <v>1.1574074074074073E-5</v>
      </c>
      <c r="G79" s="336">
        <f>D79*F79</f>
        <v>0.02</v>
      </c>
      <c r="H79" s="336">
        <v>86400</v>
      </c>
      <c r="I79" s="336">
        <f>G79*H79/1000000</f>
        <v>1.7279999999999999E-3</v>
      </c>
    </row>
    <row r="80" spans="2:11">
      <c r="B80" s="336" t="s">
        <v>1765</v>
      </c>
      <c r="C80" s="336" t="s">
        <v>1766</v>
      </c>
      <c r="D80" s="336">
        <f>$E$8</f>
        <v>1632</v>
      </c>
      <c r="E80" s="336" t="s">
        <v>1755</v>
      </c>
      <c r="F80" s="336">
        <f>$M$4*$F$8</f>
        <v>7.2916666666666659E-4</v>
      </c>
      <c r="G80" s="336">
        <f>D80*F80</f>
        <v>1.19</v>
      </c>
      <c r="H80" s="336">
        <v>86400</v>
      </c>
      <c r="I80" s="336">
        <f>G80*H80/1000000</f>
        <v>0.102816</v>
      </c>
    </row>
    <row r="81" spans="2:11">
      <c r="B81" s="647"/>
      <c r="C81" s="647"/>
      <c r="D81" s="647"/>
      <c r="E81" s="647"/>
      <c r="F81" s="647"/>
      <c r="G81" s="647"/>
      <c r="H81" s="340" t="s">
        <v>1792</v>
      </c>
      <c r="I81" s="340">
        <f>SUM(I76:I80)</f>
        <v>1.3450282105263158</v>
      </c>
      <c r="J81" s="91">
        <f>I81*1000000/86400</f>
        <v>15.567456140350876</v>
      </c>
      <c r="K81">
        <f>J81/8</f>
        <v>1.9459320175438595</v>
      </c>
    </row>
    <row r="82" spans="2:11">
      <c r="I82" s="91"/>
      <c r="J82" s="3" t="s">
        <v>6</v>
      </c>
      <c r="K82" s="3" t="s">
        <v>4119</v>
      </c>
    </row>
    <row r="83" spans="2:11" ht="18.75">
      <c r="B83" s="643" t="s">
        <v>1799</v>
      </c>
      <c r="C83" s="643"/>
      <c r="D83" s="643"/>
      <c r="E83" s="643"/>
      <c r="F83" s="643"/>
      <c r="G83" s="643"/>
      <c r="H83" s="643"/>
      <c r="I83" s="643"/>
      <c r="J83" s="344"/>
    </row>
    <row r="84" spans="2:11">
      <c r="B84" s="338"/>
      <c r="C84" s="339" t="s">
        <v>1740</v>
      </c>
      <c r="D84" s="339" t="s">
        <v>1782</v>
      </c>
      <c r="E84" s="339" t="s">
        <v>1783</v>
      </c>
      <c r="F84" s="339" t="s">
        <v>1784</v>
      </c>
      <c r="G84" s="339" t="s">
        <v>1785</v>
      </c>
      <c r="H84" s="339" t="s">
        <v>1786</v>
      </c>
      <c r="I84" s="339" t="s">
        <v>1787</v>
      </c>
      <c r="J84" s="145"/>
    </row>
    <row r="85" spans="2:11">
      <c r="B85" s="336" t="s">
        <v>1788</v>
      </c>
      <c r="C85" s="336" t="s">
        <v>1750</v>
      </c>
      <c r="D85" s="336">
        <f>$E$3</f>
        <v>600</v>
      </c>
      <c r="E85" s="336" t="s">
        <v>1768</v>
      </c>
      <c r="F85" s="336">
        <f>$I$9*$F$3</f>
        <v>2.7777777777777778E-4</v>
      </c>
      <c r="G85" s="336">
        <f>D85*F85</f>
        <v>0.16666666666666666</v>
      </c>
      <c r="H85" s="336">
        <v>86400</v>
      </c>
      <c r="I85" s="336">
        <f>G85*H85/1000000</f>
        <v>1.44E-2</v>
      </c>
    </row>
    <row r="86" spans="2:11">
      <c r="B86" s="336" t="s">
        <v>1789</v>
      </c>
      <c r="C86" s="336" t="s">
        <v>1757</v>
      </c>
      <c r="D86" s="336">
        <f>$E$5</f>
        <v>280</v>
      </c>
      <c r="E86" s="340" t="s">
        <v>1769</v>
      </c>
      <c r="F86" s="336">
        <f>$M$10*$F$5</f>
        <v>3.4482758620689655E-2</v>
      </c>
      <c r="G86" s="336">
        <f>D86*F86</f>
        <v>9.6551724137931032</v>
      </c>
      <c r="H86" s="336">
        <v>86400</v>
      </c>
      <c r="I86" s="336">
        <f>G86*H86/1000000</f>
        <v>0.8342068965517242</v>
      </c>
    </row>
    <row r="87" spans="2:11">
      <c r="B87" s="336" t="s">
        <v>1759</v>
      </c>
      <c r="C87" s="336" t="s">
        <v>1760</v>
      </c>
      <c r="D87" s="336">
        <f>$E$6</f>
        <v>696</v>
      </c>
      <c r="E87" s="336" t="s">
        <v>1768</v>
      </c>
      <c r="F87" s="336">
        <f>$M$9*$F$6</f>
        <v>2.7412280701754384E-4</v>
      </c>
      <c r="G87" s="336">
        <f>D87*F87</f>
        <v>0.19078947368421051</v>
      </c>
      <c r="H87" s="336">
        <v>86400</v>
      </c>
      <c r="I87" s="336">
        <f>G87*H87/1000000</f>
        <v>1.6484210526315785E-2</v>
      </c>
    </row>
    <row r="88" spans="2:11">
      <c r="B88" s="336" t="s">
        <v>1762</v>
      </c>
      <c r="C88" s="336" t="s">
        <v>1763</v>
      </c>
      <c r="D88" s="336">
        <f>$E$7</f>
        <v>1728</v>
      </c>
      <c r="E88" s="336" t="s">
        <v>1755</v>
      </c>
      <c r="F88" s="336">
        <f>$M$4*$F$7</f>
        <v>1.1574074074074073E-5</v>
      </c>
      <c r="G88" s="336">
        <f>D88*F88</f>
        <v>0.02</v>
      </c>
      <c r="H88" s="336">
        <v>86400</v>
      </c>
      <c r="I88" s="336">
        <f>G88*H88/1000000</f>
        <v>1.7279999999999999E-3</v>
      </c>
    </row>
    <row r="89" spans="2:11">
      <c r="B89" s="336" t="s">
        <v>1765</v>
      </c>
      <c r="C89" s="336" t="s">
        <v>1766</v>
      </c>
      <c r="D89" s="336">
        <f>$E$8</f>
        <v>1632</v>
      </c>
      <c r="E89" s="336" t="s">
        <v>1755</v>
      </c>
      <c r="F89" s="336">
        <f>$M$4*$F$8</f>
        <v>7.2916666666666659E-4</v>
      </c>
      <c r="G89" s="336">
        <f>D89*F89</f>
        <v>1.19</v>
      </c>
      <c r="H89" s="336">
        <v>86400</v>
      </c>
      <c r="I89" s="336">
        <f>G89*H89/1000000</f>
        <v>0.102816</v>
      </c>
    </row>
    <row r="90" spans="2:11">
      <c r="B90" s="336"/>
      <c r="C90" s="336"/>
      <c r="D90" s="336"/>
      <c r="E90" s="336"/>
      <c r="F90" s="336"/>
      <c r="G90" s="336"/>
      <c r="H90" s="340" t="s">
        <v>1792</v>
      </c>
      <c r="I90" s="340">
        <f>SUM(I85:I89)</f>
        <v>0.9696351070780399</v>
      </c>
      <c r="J90" s="91">
        <f>I90*1000000/86400</f>
        <v>11.222628554143981</v>
      </c>
      <c r="K90">
        <f>J90/8</f>
        <v>1.4028285692679976</v>
      </c>
    </row>
    <row r="91" spans="2:11" ht="15" customHeight="1">
      <c r="J91" s="3" t="s">
        <v>6</v>
      </c>
      <c r="K91" s="3" t="s">
        <v>4119</v>
      </c>
    </row>
    <row r="92" spans="2:11" ht="18.75">
      <c r="B92" s="643" t="s">
        <v>1800</v>
      </c>
      <c r="C92" s="643"/>
      <c r="D92" s="643"/>
      <c r="E92" s="643"/>
      <c r="F92" s="643"/>
      <c r="G92" s="643"/>
      <c r="H92" s="643"/>
      <c r="I92" s="643"/>
      <c r="J92" s="344"/>
    </row>
    <row r="93" spans="2:11">
      <c r="B93" s="338"/>
      <c r="C93" s="339" t="s">
        <v>1740</v>
      </c>
      <c r="D93" s="339" t="s">
        <v>1782</v>
      </c>
      <c r="E93" s="339" t="s">
        <v>1783</v>
      </c>
      <c r="F93" s="339" t="s">
        <v>1784</v>
      </c>
      <c r="G93" s="339" t="s">
        <v>1785</v>
      </c>
      <c r="H93" s="339" t="s">
        <v>1786</v>
      </c>
      <c r="I93" s="339" t="s">
        <v>1787</v>
      </c>
      <c r="J93" s="145"/>
    </row>
    <row r="94" spans="2:11">
      <c r="B94" s="336" t="s">
        <v>1788</v>
      </c>
      <c r="C94" s="336" t="s">
        <v>1750</v>
      </c>
      <c r="D94" s="336">
        <f>$E$3</f>
        <v>600</v>
      </c>
      <c r="E94" s="336" t="s">
        <v>1768</v>
      </c>
      <c r="F94" s="336">
        <f>$I$9*$F$3</f>
        <v>2.7777777777777778E-4</v>
      </c>
      <c r="G94" s="336">
        <f>D94*F94</f>
        <v>0.16666666666666666</v>
      </c>
      <c r="H94" s="336">
        <v>86400</v>
      </c>
      <c r="I94" s="336">
        <f>G94*H94/1000000</f>
        <v>1.44E-2</v>
      </c>
    </row>
    <row r="95" spans="2:11">
      <c r="B95" s="336" t="s">
        <v>1789</v>
      </c>
      <c r="C95" s="336" t="s">
        <v>1757</v>
      </c>
      <c r="D95" s="336">
        <f>$E$5</f>
        <v>280</v>
      </c>
      <c r="E95" s="345" t="s">
        <v>1768</v>
      </c>
      <c r="F95" s="336">
        <f>$M$9*$F$5</f>
        <v>1.7543859649122806E-2</v>
      </c>
      <c r="G95" s="336">
        <f>D95*F95</f>
        <v>4.9122807017543852</v>
      </c>
      <c r="H95" s="336">
        <v>86400</v>
      </c>
      <c r="I95" s="336">
        <f>G95*H95/1000000</f>
        <v>0.42442105263157887</v>
      </c>
    </row>
    <row r="96" spans="2:11">
      <c r="B96" s="336" t="s">
        <v>1759</v>
      </c>
      <c r="C96" s="336" t="s">
        <v>1760</v>
      </c>
      <c r="D96" s="336">
        <f>$E$6</f>
        <v>696</v>
      </c>
      <c r="E96" s="336" t="s">
        <v>1768</v>
      </c>
      <c r="F96" s="336">
        <f>$M$9*$F$6</f>
        <v>2.7412280701754384E-4</v>
      </c>
      <c r="G96" s="336">
        <f>D96*F96</f>
        <v>0.19078947368421051</v>
      </c>
      <c r="H96" s="336">
        <v>86400</v>
      </c>
      <c r="I96" s="336">
        <f>G96*H96/1000000</f>
        <v>1.6484210526315785E-2</v>
      </c>
    </row>
    <row r="97" spans="2:11">
      <c r="B97" s="336" t="s">
        <v>1762</v>
      </c>
      <c r="C97" s="336" t="s">
        <v>1763</v>
      </c>
      <c r="D97" s="336">
        <f>$E$7</f>
        <v>1728</v>
      </c>
      <c r="E97" s="336" t="s">
        <v>1755</v>
      </c>
      <c r="F97" s="336">
        <f>$M$4*$F$7</f>
        <v>1.1574074074074073E-5</v>
      </c>
      <c r="G97" s="336">
        <f>D97*F97</f>
        <v>0.02</v>
      </c>
      <c r="H97" s="336">
        <v>86400</v>
      </c>
      <c r="I97" s="336">
        <f>G97*H97/1000000</f>
        <v>1.7279999999999999E-3</v>
      </c>
    </row>
    <row r="98" spans="2:11">
      <c r="B98" s="336" t="s">
        <v>1765</v>
      </c>
      <c r="C98" s="336" t="s">
        <v>1766</v>
      </c>
      <c r="D98" s="336">
        <f>$E$8</f>
        <v>1632</v>
      </c>
      <c r="E98" s="336" t="s">
        <v>1755</v>
      </c>
      <c r="F98" s="336">
        <f>$M$4*$F$8</f>
        <v>7.2916666666666659E-4</v>
      </c>
      <c r="G98" s="336">
        <f>D98*F98</f>
        <v>1.19</v>
      </c>
      <c r="H98" s="336">
        <v>86400</v>
      </c>
      <c r="I98" s="336">
        <f>G98*H98/1000000</f>
        <v>0.102816</v>
      </c>
    </row>
    <row r="99" spans="2:11">
      <c r="B99" s="647"/>
      <c r="C99" s="647"/>
      <c r="D99" s="647"/>
      <c r="E99" s="647"/>
      <c r="F99" s="647"/>
      <c r="G99" s="647"/>
      <c r="H99" s="340" t="s">
        <v>1792</v>
      </c>
      <c r="I99" s="340">
        <f>SUM(I94:I98)</f>
        <v>0.55984926315789463</v>
      </c>
      <c r="J99" s="91">
        <f>I99*1000000/86400</f>
        <v>6.4797368421052619</v>
      </c>
      <c r="K99">
        <f>J99/8</f>
        <v>0.80996710526315774</v>
      </c>
    </row>
    <row r="100" spans="2:11" ht="15" customHeight="1">
      <c r="J100" s="3" t="s">
        <v>6</v>
      </c>
      <c r="K100" s="3" t="s">
        <v>4119</v>
      </c>
    </row>
    <row r="101" spans="2:11" ht="18.75">
      <c r="B101" s="643" t="s">
        <v>1801</v>
      </c>
      <c r="C101" s="643"/>
      <c r="D101" s="643"/>
      <c r="E101" s="643"/>
      <c r="F101" s="643"/>
      <c r="G101" s="643"/>
      <c r="H101" s="643"/>
      <c r="I101" s="643"/>
      <c r="J101" s="344"/>
    </row>
    <row r="102" spans="2:11">
      <c r="B102" s="338"/>
      <c r="C102" s="339" t="s">
        <v>1740</v>
      </c>
      <c r="D102" s="339" t="s">
        <v>1782</v>
      </c>
      <c r="E102" s="339" t="s">
        <v>1783</v>
      </c>
      <c r="F102" s="339" t="s">
        <v>1784</v>
      </c>
      <c r="G102" s="339" t="s">
        <v>1785</v>
      </c>
      <c r="H102" s="339" t="s">
        <v>1786</v>
      </c>
      <c r="I102" s="339" t="s">
        <v>1787</v>
      </c>
      <c r="J102" s="145"/>
    </row>
    <row r="103" spans="2:11">
      <c r="B103" s="336" t="s">
        <v>1788</v>
      </c>
      <c r="C103" s="336" t="s">
        <v>1750</v>
      </c>
      <c r="D103" s="336">
        <f>$E$3</f>
        <v>600</v>
      </c>
      <c r="E103" s="336" t="s">
        <v>1768</v>
      </c>
      <c r="F103" s="336">
        <f>$I$9*$F$3</f>
        <v>2.7777777777777778E-4</v>
      </c>
      <c r="G103" s="336">
        <f>D103*F103</f>
        <v>0.16666666666666666</v>
      </c>
      <c r="H103" s="336">
        <v>86400</v>
      </c>
      <c r="I103" s="336">
        <f>G103*H103/1000000</f>
        <v>1.44E-2</v>
      </c>
    </row>
    <row r="104" spans="2:11">
      <c r="B104" s="336" t="s">
        <v>1789</v>
      </c>
      <c r="C104" s="336" t="s">
        <v>1757</v>
      </c>
      <c r="D104" s="336">
        <f>$E$5</f>
        <v>280</v>
      </c>
      <c r="E104" s="345" t="s">
        <v>1767</v>
      </c>
      <c r="F104" s="336">
        <f>$M$8*$F$5</f>
        <v>8.8495575221238937E-3</v>
      </c>
      <c r="G104" s="336">
        <f>D104*F104</f>
        <v>2.4778761061946901</v>
      </c>
      <c r="H104" s="336">
        <v>86400</v>
      </c>
      <c r="I104" s="336">
        <f>G104*H104/1000000</f>
        <v>0.21408849557522122</v>
      </c>
    </row>
    <row r="105" spans="2:11">
      <c r="B105" s="336" t="s">
        <v>1759</v>
      </c>
      <c r="C105" s="336" t="s">
        <v>1760</v>
      </c>
      <c r="D105" s="336">
        <f>$E$6</f>
        <v>696</v>
      </c>
      <c r="E105" s="336" t="s">
        <v>1768</v>
      </c>
      <c r="F105" s="336">
        <f>$M$9*$F$6</f>
        <v>2.7412280701754384E-4</v>
      </c>
      <c r="G105" s="336">
        <f>D105*F105</f>
        <v>0.19078947368421051</v>
      </c>
      <c r="H105" s="336">
        <v>86400</v>
      </c>
      <c r="I105" s="336">
        <f>G105*H105/1000000</f>
        <v>1.6484210526315785E-2</v>
      </c>
    </row>
    <row r="106" spans="2:11">
      <c r="B106" s="336" t="s">
        <v>1762</v>
      </c>
      <c r="C106" s="336" t="s">
        <v>1763</v>
      </c>
      <c r="D106" s="336">
        <f>$E$7</f>
        <v>1728</v>
      </c>
      <c r="E106" s="336" t="s">
        <v>1755</v>
      </c>
      <c r="F106" s="336">
        <f>$M$4*$F$7</f>
        <v>1.1574074074074073E-5</v>
      </c>
      <c r="G106" s="336">
        <f>D106*F106</f>
        <v>0.02</v>
      </c>
      <c r="H106" s="336">
        <v>86400</v>
      </c>
      <c r="I106" s="336">
        <f>G106*H106/1000000</f>
        <v>1.7279999999999999E-3</v>
      </c>
    </row>
    <row r="107" spans="2:11">
      <c r="B107" s="336" t="s">
        <v>1765</v>
      </c>
      <c r="C107" s="336" t="s">
        <v>1766</v>
      </c>
      <c r="D107" s="336">
        <f>$E$8</f>
        <v>1632</v>
      </c>
      <c r="E107" s="336" t="s">
        <v>1755</v>
      </c>
      <c r="F107" s="336">
        <f>$M$4*$F$8</f>
        <v>7.2916666666666659E-4</v>
      </c>
      <c r="G107" s="336">
        <f>D107*F107</f>
        <v>1.19</v>
      </c>
      <c r="H107" s="336">
        <v>86400</v>
      </c>
      <c r="I107" s="336">
        <f>G107*H107/1000000</f>
        <v>0.102816</v>
      </c>
      <c r="K107" t="s">
        <v>4128</v>
      </c>
    </row>
    <row r="108" spans="2:11">
      <c r="B108" s="647"/>
      <c r="C108" s="647"/>
      <c r="D108" s="647"/>
      <c r="E108" s="647"/>
      <c r="F108" s="647"/>
      <c r="G108" s="647"/>
      <c r="H108" s="340" t="s">
        <v>1792</v>
      </c>
      <c r="I108" s="340">
        <f>SUM(I103:I107)</f>
        <v>0.34951670610153701</v>
      </c>
      <c r="J108" s="91">
        <f>I108*1000000/86400</f>
        <v>4.0453322465455672</v>
      </c>
      <c r="K108" s="386">
        <f>J108/8</f>
        <v>0.5056665308181959</v>
      </c>
    </row>
    <row r="109" spans="2:11" ht="15" customHeight="1">
      <c r="J109" s="3" t="s">
        <v>6</v>
      </c>
      <c r="K109" s="3" t="s">
        <v>4119</v>
      </c>
    </row>
    <row r="110" spans="2:11" ht="18.75">
      <c r="B110" s="643" t="s">
        <v>1802</v>
      </c>
      <c r="C110" s="643"/>
      <c r="D110" s="643"/>
      <c r="E110" s="643"/>
      <c r="F110" s="643"/>
      <c r="G110" s="643"/>
      <c r="H110" s="643"/>
      <c r="I110" s="643"/>
      <c r="J110" s="344"/>
    </row>
    <row r="111" spans="2:11">
      <c r="B111" s="338"/>
      <c r="C111" s="339" t="s">
        <v>1740</v>
      </c>
      <c r="D111" s="339" t="s">
        <v>1782</v>
      </c>
      <c r="E111" s="339" t="s">
        <v>1783</v>
      </c>
      <c r="F111" s="339" t="s">
        <v>1784</v>
      </c>
      <c r="G111" s="339" t="s">
        <v>1785</v>
      </c>
      <c r="H111" s="339" t="s">
        <v>1786</v>
      </c>
      <c r="I111" s="339" t="s">
        <v>1787</v>
      </c>
      <c r="J111" s="145"/>
    </row>
    <row r="112" spans="2:11">
      <c r="B112" s="336" t="s">
        <v>1788</v>
      </c>
      <c r="C112" s="336" t="s">
        <v>1750</v>
      </c>
      <c r="D112" s="336">
        <f>$E$3</f>
        <v>600</v>
      </c>
      <c r="E112" s="336" t="s">
        <v>1768</v>
      </c>
      <c r="F112" s="336">
        <f>$I$9*$F$3</f>
        <v>2.7777777777777778E-4</v>
      </c>
      <c r="G112" s="336">
        <f>D112*F112</f>
        <v>0.16666666666666666</v>
      </c>
      <c r="H112" s="336">
        <v>86400</v>
      </c>
      <c r="I112" s="336">
        <f>G112*H112/1000000</f>
        <v>1.44E-2</v>
      </c>
    </row>
    <row r="113" spans="2:11">
      <c r="B113" s="336" t="s">
        <v>1789</v>
      </c>
      <c r="C113" s="336" t="s">
        <v>1757</v>
      </c>
      <c r="D113" s="336">
        <f>$E$5</f>
        <v>280</v>
      </c>
      <c r="E113" s="345" t="s">
        <v>1764</v>
      </c>
      <c r="F113" s="336">
        <f>$M$7*$F$5</f>
        <v>5.9171597633136093E-3</v>
      </c>
      <c r="G113" s="336">
        <f>D113*F113</f>
        <v>1.6568047337278107</v>
      </c>
      <c r="H113" s="336">
        <v>86400</v>
      </c>
      <c r="I113" s="336">
        <f>G113*H113/1000000</f>
        <v>0.14314792899408285</v>
      </c>
    </row>
    <row r="114" spans="2:11">
      <c r="B114" s="336" t="s">
        <v>1759</v>
      </c>
      <c r="C114" s="336" t="s">
        <v>1760</v>
      </c>
      <c r="D114" s="336">
        <f>$E$6</f>
        <v>696</v>
      </c>
      <c r="E114" s="336" t="s">
        <v>1768</v>
      </c>
      <c r="F114" s="336">
        <f>$M$9*$F$6</f>
        <v>2.7412280701754384E-4</v>
      </c>
      <c r="G114" s="336">
        <f>D114*F114</f>
        <v>0.19078947368421051</v>
      </c>
      <c r="H114" s="336">
        <v>86400</v>
      </c>
      <c r="I114" s="336">
        <f>G114*H114/1000000</f>
        <v>1.6484210526315785E-2</v>
      </c>
    </row>
    <row r="115" spans="2:11">
      <c r="B115" s="336" t="s">
        <v>1762</v>
      </c>
      <c r="C115" s="336" t="s">
        <v>1763</v>
      </c>
      <c r="D115" s="336">
        <f>$E$7</f>
        <v>1728</v>
      </c>
      <c r="E115" s="336" t="s">
        <v>1755</v>
      </c>
      <c r="F115" s="336">
        <f>$M$4*$F$7</f>
        <v>1.1574074074074073E-5</v>
      </c>
      <c r="G115" s="336">
        <f>D115*F115</f>
        <v>0.02</v>
      </c>
      <c r="H115" s="336">
        <v>86400</v>
      </c>
      <c r="I115" s="336">
        <f>G115*H115/1000000</f>
        <v>1.7279999999999999E-3</v>
      </c>
    </row>
    <row r="116" spans="2:11">
      <c r="B116" s="336" t="s">
        <v>1765</v>
      </c>
      <c r="C116" s="336" t="s">
        <v>1766</v>
      </c>
      <c r="D116" s="336">
        <f>$E$8</f>
        <v>1632</v>
      </c>
      <c r="E116" s="336" t="s">
        <v>1755</v>
      </c>
      <c r="F116" s="336">
        <f>$M$4*$F$8</f>
        <v>7.2916666666666659E-4</v>
      </c>
      <c r="G116" s="336">
        <f>D116*F116</f>
        <v>1.19</v>
      </c>
      <c r="H116" s="336">
        <v>86400</v>
      </c>
      <c r="I116" s="336">
        <f>G116*H116/1000000</f>
        <v>0.102816</v>
      </c>
    </row>
    <row r="117" spans="2:11">
      <c r="B117" s="647"/>
      <c r="C117" s="647"/>
      <c r="D117" s="647"/>
      <c r="E117" s="647"/>
      <c r="F117" s="647"/>
      <c r="G117" s="647"/>
      <c r="H117" s="340" t="s">
        <v>1792</v>
      </c>
      <c r="I117" s="340">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643" t="s">
        <v>1803</v>
      </c>
      <c r="C119" s="643"/>
      <c r="D119" s="643"/>
      <c r="E119" s="643"/>
      <c r="F119" s="643"/>
      <c r="G119" s="643"/>
      <c r="H119" s="643"/>
      <c r="I119" s="643"/>
      <c r="J119" s="344"/>
    </row>
    <row r="120" spans="2:11">
      <c r="B120" s="338"/>
      <c r="C120" s="339" t="s">
        <v>1740</v>
      </c>
      <c r="D120" s="339" t="s">
        <v>1782</v>
      </c>
      <c r="E120" s="339" t="s">
        <v>1783</v>
      </c>
      <c r="F120" s="339" t="s">
        <v>1784</v>
      </c>
      <c r="G120" s="339" t="s">
        <v>1785</v>
      </c>
      <c r="H120" s="339" t="s">
        <v>1786</v>
      </c>
      <c r="I120" s="339" t="s">
        <v>1787</v>
      </c>
      <c r="J120" s="145"/>
    </row>
    <row r="121" spans="2:11">
      <c r="B121" s="336" t="s">
        <v>1788</v>
      </c>
      <c r="C121" s="336" t="s">
        <v>1750</v>
      </c>
      <c r="D121" s="336">
        <f>$E$3</f>
        <v>600</v>
      </c>
      <c r="E121" s="336" t="s">
        <v>1768</v>
      </c>
      <c r="F121" s="336">
        <f>$I$9*$F$3</f>
        <v>2.7777777777777778E-4</v>
      </c>
      <c r="G121" s="336">
        <f>D121*F121</f>
        <v>0.16666666666666666</v>
      </c>
      <c r="H121" s="336">
        <v>86400</v>
      </c>
      <c r="I121" s="336">
        <f>G121*H121/1000000</f>
        <v>1.44E-2</v>
      </c>
    </row>
    <row r="122" spans="2:11">
      <c r="B122" s="336" t="s">
        <v>1789</v>
      </c>
      <c r="C122" s="336" t="s">
        <v>1757</v>
      </c>
      <c r="D122" s="336">
        <f>$E$5</f>
        <v>280</v>
      </c>
      <c r="E122" s="345" t="s">
        <v>1761</v>
      </c>
      <c r="F122" s="336">
        <f>$M$6*$F$5</f>
        <v>2.9585798816568047E-3</v>
      </c>
      <c r="G122" s="336">
        <f>D122*F122</f>
        <v>0.82840236686390534</v>
      </c>
      <c r="H122" s="336">
        <v>86400</v>
      </c>
      <c r="I122" s="336">
        <f>G122*H122/1000000</f>
        <v>7.1573964497041426E-2</v>
      </c>
    </row>
    <row r="123" spans="2:11">
      <c r="B123" s="336" t="s">
        <v>1759</v>
      </c>
      <c r="C123" s="336" t="s">
        <v>1760</v>
      </c>
      <c r="D123" s="336">
        <f>$E$6</f>
        <v>696</v>
      </c>
      <c r="E123" s="336" t="s">
        <v>1768</v>
      </c>
      <c r="F123" s="336">
        <f>$M$9*$F$6</f>
        <v>2.7412280701754384E-4</v>
      </c>
      <c r="G123" s="336">
        <f>D123*F123</f>
        <v>0.19078947368421051</v>
      </c>
      <c r="H123" s="336">
        <v>86400</v>
      </c>
      <c r="I123" s="336">
        <f>G123*H123/1000000</f>
        <v>1.6484210526315785E-2</v>
      </c>
    </row>
    <row r="124" spans="2:11">
      <c r="B124" s="336" t="s">
        <v>1762</v>
      </c>
      <c r="C124" s="336" t="s">
        <v>1763</v>
      </c>
      <c r="D124" s="336">
        <f>$E$7</f>
        <v>1728</v>
      </c>
      <c r="E124" s="336" t="s">
        <v>1755</v>
      </c>
      <c r="F124" s="336">
        <f>$M$4*$F$7</f>
        <v>1.1574074074074073E-5</v>
      </c>
      <c r="G124" s="336">
        <f>D124*F124</f>
        <v>0.02</v>
      </c>
      <c r="H124" s="336">
        <v>86400</v>
      </c>
      <c r="I124" s="336">
        <f>G124*H124/1000000</f>
        <v>1.7279999999999999E-3</v>
      </c>
    </row>
    <row r="125" spans="2:11">
      <c r="B125" s="336" t="s">
        <v>1765</v>
      </c>
      <c r="C125" s="336" t="s">
        <v>1766</v>
      </c>
      <c r="D125" s="336">
        <f>$E$8</f>
        <v>1632</v>
      </c>
      <c r="E125" s="336" t="s">
        <v>1755</v>
      </c>
      <c r="F125" s="336">
        <f>$M$4*$F$8</f>
        <v>7.2916666666666659E-4</v>
      </c>
      <c r="G125" s="336">
        <f>D125*F125</f>
        <v>1.19</v>
      </c>
      <c r="H125" s="336">
        <v>86400</v>
      </c>
      <c r="I125" s="336">
        <f>G125*H125/1000000</f>
        <v>0.102816</v>
      </c>
    </row>
    <row r="126" spans="2:11">
      <c r="B126" s="647"/>
      <c r="C126" s="647"/>
      <c r="D126" s="647"/>
      <c r="E126" s="647"/>
      <c r="F126" s="647"/>
      <c r="G126" s="647"/>
      <c r="H126" s="340" t="s">
        <v>1792</v>
      </c>
      <c r="I126" s="340">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643" t="s">
        <v>1804</v>
      </c>
      <c r="C128" s="643"/>
      <c r="D128" s="643"/>
      <c r="E128" s="643"/>
      <c r="F128" s="643"/>
      <c r="G128" s="643"/>
      <c r="H128" s="643"/>
      <c r="I128" s="643"/>
      <c r="J128" s="344"/>
    </row>
    <row r="129" spans="2:11">
      <c r="B129" s="338"/>
      <c r="C129" s="339" t="s">
        <v>1740</v>
      </c>
      <c r="D129" s="339" t="s">
        <v>1782</v>
      </c>
      <c r="E129" s="339" t="s">
        <v>1783</v>
      </c>
      <c r="F129" s="339" t="s">
        <v>1784</v>
      </c>
      <c r="G129" s="339" t="s">
        <v>1785</v>
      </c>
      <c r="H129" s="339" t="s">
        <v>1786</v>
      </c>
      <c r="I129" s="339" t="s">
        <v>1787</v>
      </c>
      <c r="J129" s="145"/>
    </row>
    <row r="130" spans="2:11">
      <c r="B130" s="336" t="s">
        <v>1788</v>
      </c>
      <c r="C130" s="336" t="s">
        <v>1750</v>
      </c>
      <c r="D130" s="336">
        <f>$E$3</f>
        <v>600</v>
      </c>
      <c r="E130" s="336" t="s">
        <v>1768</v>
      </c>
      <c r="F130" s="336">
        <f>$I$9*$F$3</f>
        <v>2.7777777777777778E-4</v>
      </c>
      <c r="G130" s="336">
        <f>D130*F130</f>
        <v>0.16666666666666666</v>
      </c>
      <c r="H130" s="336">
        <v>86400</v>
      </c>
      <c r="I130" s="336">
        <f>G130*H130/1000000</f>
        <v>1.44E-2</v>
      </c>
    </row>
    <row r="131" spans="2:11">
      <c r="B131" s="336" t="s">
        <v>1789</v>
      </c>
      <c r="C131" s="336" t="s">
        <v>1757</v>
      </c>
      <c r="D131" s="336">
        <f>$E$5</f>
        <v>280</v>
      </c>
      <c r="E131" s="345" t="s">
        <v>1758</v>
      </c>
      <c r="F131" s="336">
        <f>$M$5*$F$5</f>
        <v>1.4814814814814814E-3</v>
      </c>
      <c r="G131" s="336">
        <f>D131*F131</f>
        <v>0.4148148148148148</v>
      </c>
      <c r="H131" s="336">
        <v>86400</v>
      </c>
      <c r="I131" s="336">
        <f>G131*H131/1000000</f>
        <v>3.5839999999999997E-2</v>
      </c>
    </row>
    <row r="132" spans="2:11">
      <c r="B132" s="336" t="s">
        <v>1759</v>
      </c>
      <c r="C132" s="336" t="s">
        <v>1760</v>
      </c>
      <c r="D132" s="336">
        <f>$E$6</f>
        <v>696</v>
      </c>
      <c r="E132" s="336" t="s">
        <v>1768</v>
      </c>
      <c r="F132" s="336">
        <f>$M$9*$F$6</f>
        <v>2.7412280701754384E-4</v>
      </c>
      <c r="G132" s="336">
        <f>D132*F132</f>
        <v>0.19078947368421051</v>
      </c>
      <c r="H132" s="336">
        <v>86400</v>
      </c>
      <c r="I132" s="336">
        <f>G132*H132/1000000</f>
        <v>1.6484210526315785E-2</v>
      </c>
    </row>
    <row r="133" spans="2:11">
      <c r="B133" s="336" t="s">
        <v>1762</v>
      </c>
      <c r="C133" s="336" t="s">
        <v>1763</v>
      </c>
      <c r="D133" s="336">
        <f>$E$7</f>
        <v>1728</v>
      </c>
      <c r="E133" s="336" t="s">
        <v>1755</v>
      </c>
      <c r="F133" s="336">
        <f>$M$4*$F$7</f>
        <v>1.1574074074074073E-5</v>
      </c>
      <c r="G133" s="336">
        <f>D133*F133</f>
        <v>0.02</v>
      </c>
      <c r="H133" s="336">
        <v>86400</v>
      </c>
      <c r="I133" s="336">
        <f>G133*H133/1000000</f>
        <v>1.7279999999999999E-3</v>
      </c>
    </row>
    <row r="134" spans="2:11">
      <c r="B134" s="336" t="s">
        <v>1765</v>
      </c>
      <c r="C134" s="336" t="s">
        <v>1766</v>
      </c>
      <c r="D134" s="336">
        <f>$E$8</f>
        <v>1632</v>
      </c>
      <c r="E134" s="336" t="s">
        <v>1755</v>
      </c>
      <c r="F134" s="336">
        <f>$M$4*$F$8</f>
        <v>7.2916666666666659E-4</v>
      </c>
      <c r="G134" s="336">
        <f>D134*F134</f>
        <v>1.19</v>
      </c>
      <c r="H134" s="336">
        <v>86400</v>
      </c>
      <c r="I134" s="336">
        <f>G134*H134/1000000</f>
        <v>0.102816</v>
      </c>
    </row>
    <row r="135" spans="2:11">
      <c r="B135" s="647"/>
      <c r="C135" s="647"/>
      <c r="D135" s="647"/>
      <c r="E135" s="647"/>
      <c r="F135" s="647"/>
      <c r="G135" s="647"/>
      <c r="H135" s="340" t="s">
        <v>1792</v>
      </c>
      <c r="I135" s="340">
        <f>SUM(I130:I134)</f>
        <v>0.17126821052631577</v>
      </c>
      <c r="J135" s="91">
        <f>I135*1000000/86400</f>
        <v>1.9822709551656921</v>
      </c>
      <c r="K135">
        <f>J135/8</f>
        <v>0.24778386939571151</v>
      </c>
    </row>
    <row r="136" spans="2:11" ht="15" customHeight="1">
      <c r="J136" s="3" t="s">
        <v>6</v>
      </c>
      <c r="K136" s="3" t="s">
        <v>4119</v>
      </c>
    </row>
    <row r="137" spans="2:11" ht="18.75">
      <c r="B137" s="643" t="s">
        <v>1805</v>
      </c>
      <c r="C137" s="643"/>
      <c r="D137" s="643"/>
      <c r="E137" s="643"/>
      <c r="F137" s="643"/>
      <c r="G137" s="643"/>
      <c r="H137" s="643"/>
      <c r="I137" s="643"/>
      <c r="J137" s="344"/>
    </row>
    <row r="138" spans="2:11">
      <c r="B138" s="338"/>
      <c r="C138" s="339" t="s">
        <v>1740</v>
      </c>
      <c r="D138" s="339" t="s">
        <v>1782</v>
      </c>
      <c r="E138" s="339" t="s">
        <v>1783</v>
      </c>
      <c r="F138" s="339" t="s">
        <v>1784</v>
      </c>
      <c r="G138" s="339" t="s">
        <v>1785</v>
      </c>
      <c r="H138" s="339" t="s">
        <v>1786</v>
      </c>
      <c r="I138" s="339" t="s">
        <v>1787</v>
      </c>
      <c r="J138" s="145"/>
    </row>
    <row r="139" spans="2:11">
      <c r="B139" s="336" t="s">
        <v>1788</v>
      </c>
      <c r="C139" s="336" t="s">
        <v>1750</v>
      </c>
      <c r="D139" s="336">
        <f>$E$3</f>
        <v>600</v>
      </c>
      <c r="E139" s="336" t="s">
        <v>1768</v>
      </c>
      <c r="F139" s="336">
        <f>$I$9*$F$3</f>
        <v>2.7777777777777778E-4</v>
      </c>
      <c r="G139" s="336">
        <f>D139*F139</f>
        <v>0.16666666666666666</v>
      </c>
      <c r="H139" s="336">
        <v>86400</v>
      </c>
      <c r="I139" s="336">
        <f>G139*H139/1000000</f>
        <v>1.44E-2</v>
      </c>
    </row>
    <row r="140" spans="2:11">
      <c r="B140" s="336" t="s">
        <v>1789</v>
      </c>
      <c r="C140" s="336" t="s">
        <v>1757</v>
      </c>
      <c r="D140" s="336">
        <f>$E$5</f>
        <v>280</v>
      </c>
      <c r="E140" s="345" t="s">
        <v>1755</v>
      </c>
      <c r="F140" s="336">
        <f>$M$4*$F$5</f>
        <v>7.407407407407407E-4</v>
      </c>
      <c r="G140" s="336">
        <f>D140*F140</f>
        <v>0.2074074074074074</v>
      </c>
      <c r="H140" s="336">
        <v>86400</v>
      </c>
      <c r="I140" s="336">
        <f>G140*H140/1000000</f>
        <v>1.7919999999999998E-2</v>
      </c>
    </row>
    <row r="141" spans="2:11">
      <c r="B141" s="336" t="s">
        <v>1759</v>
      </c>
      <c r="C141" s="336" t="s">
        <v>1760</v>
      </c>
      <c r="D141" s="336">
        <f>$E$6</f>
        <v>696</v>
      </c>
      <c r="E141" s="336" t="s">
        <v>1768</v>
      </c>
      <c r="F141" s="336">
        <f>$M$9*$F$6</f>
        <v>2.7412280701754384E-4</v>
      </c>
      <c r="G141" s="336">
        <f>D141*F141</f>
        <v>0.19078947368421051</v>
      </c>
      <c r="H141" s="336">
        <v>86400</v>
      </c>
      <c r="I141" s="336">
        <f>G141*H141/1000000</f>
        <v>1.6484210526315785E-2</v>
      </c>
    </row>
    <row r="142" spans="2:11">
      <c r="B142" s="336" t="s">
        <v>1762</v>
      </c>
      <c r="C142" s="336" t="s">
        <v>1763</v>
      </c>
      <c r="D142" s="336">
        <f>$E$7</f>
        <v>1728</v>
      </c>
      <c r="E142" s="336" t="s">
        <v>1755</v>
      </c>
      <c r="F142" s="336">
        <f>$M$4*$F$7</f>
        <v>1.1574074074074073E-5</v>
      </c>
      <c r="G142" s="336">
        <f>D142*F142</f>
        <v>0.02</v>
      </c>
      <c r="H142" s="336">
        <v>86400</v>
      </c>
      <c r="I142" s="336">
        <f>G142*H142/1000000</f>
        <v>1.7279999999999999E-3</v>
      </c>
    </row>
    <row r="143" spans="2:11">
      <c r="B143" s="336" t="s">
        <v>1765</v>
      </c>
      <c r="C143" s="336" t="s">
        <v>1766</v>
      </c>
      <c r="D143" s="336">
        <f>$E$8</f>
        <v>1632</v>
      </c>
      <c r="E143" s="336" t="s">
        <v>1755</v>
      </c>
      <c r="F143" s="336">
        <f>$M$4*$F$8</f>
        <v>7.2916666666666659E-4</v>
      </c>
      <c r="G143" s="336">
        <f>D143*F143</f>
        <v>1.19</v>
      </c>
      <c r="H143" s="336">
        <v>86400</v>
      </c>
      <c r="I143" s="336">
        <f>G143*H143/1000000</f>
        <v>0.102816</v>
      </c>
    </row>
    <row r="144" spans="2:11">
      <c r="B144" s="644"/>
      <c r="C144" s="644"/>
      <c r="D144" s="644"/>
      <c r="E144" s="644"/>
      <c r="F144" s="644"/>
      <c r="G144" s="644"/>
      <c r="H144" s="340" t="s">
        <v>1792</v>
      </c>
      <c r="I144" s="340">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645" t="s">
        <v>1806</v>
      </c>
      <c r="C149" s="645"/>
      <c r="D149" s="645"/>
      <c r="E149" s="645"/>
      <c r="F149" s="645"/>
      <c r="G149" s="645"/>
      <c r="H149" s="645"/>
      <c r="I149" s="645"/>
      <c r="J149" s="646" t="s">
        <v>1807</v>
      </c>
      <c r="K149" s="646"/>
      <c r="L149" s="646"/>
      <c r="M149" s="646"/>
    </row>
    <row r="150" spans="2:13">
      <c r="B150" s="338"/>
      <c r="C150" s="339" t="s">
        <v>1740</v>
      </c>
      <c r="D150" s="339" t="s">
        <v>1782</v>
      </c>
      <c r="E150" s="339" t="s">
        <v>1783</v>
      </c>
      <c r="F150" s="339" t="s">
        <v>1784</v>
      </c>
      <c r="G150" s="339" t="s">
        <v>1785</v>
      </c>
      <c r="H150" s="339" t="s">
        <v>1786</v>
      </c>
      <c r="I150" s="339" t="s">
        <v>1787</v>
      </c>
      <c r="J150" s="145"/>
    </row>
    <row r="151" spans="2:13">
      <c r="B151" s="336" t="s">
        <v>1788</v>
      </c>
      <c r="C151" s="336" t="s">
        <v>1750</v>
      </c>
      <c r="D151" s="336">
        <f>$E$3</f>
        <v>600</v>
      </c>
      <c r="E151" s="336" t="s">
        <v>1780</v>
      </c>
      <c r="F151" s="336">
        <f>$I$21*$F$3</f>
        <v>1</v>
      </c>
      <c r="G151" s="336">
        <f>D151*F151</f>
        <v>600</v>
      </c>
      <c r="H151" s="336">
        <v>7200</v>
      </c>
      <c r="I151" s="336">
        <f>G151*H151/1000000</f>
        <v>4.32</v>
      </c>
    </row>
    <row r="152" spans="2:13">
      <c r="B152" s="336" t="s">
        <v>1789</v>
      </c>
      <c r="C152" s="336" t="s">
        <v>1757</v>
      </c>
      <c r="D152" s="336">
        <f>$E$5</f>
        <v>280</v>
      </c>
      <c r="E152" s="336" t="s">
        <v>1774</v>
      </c>
      <c r="F152" s="336">
        <f>$M$15*$F$5</f>
        <v>1</v>
      </c>
      <c r="G152" s="336">
        <f>D152*F152</f>
        <v>280</v>
      </c>
      <c r="H152" s="336">
        <v>7200</v>
      </c>
      <c r="I152" s="336">
        <f>G152*H152/1000000</f>
        <v>2.016</v>
      </c>
    </row>
    <row r="153" spans="2:13">
      <c r="B153" s="336" t="s">
        <v>1759</v>
      </c>
      <c r="C153" s="336" t="s">
        <v>1760</v>
      </c>
      <c r="D153" s="336">
        <f>$E$6</f>
        <v>696</v>
      </c>
      <c r="E153" s="336" t="s">
        <v>1751</v>
      </c>
      <c r="F153" s="336">
        <f>$M$3*$F$6</f>
        <v>0</v>
      </c>
      <c r="G153" s="336">
        <f>D153*F153</f>
        <v>0</v>
      </c>
      <c r="H153" s="336">
        <v>0</v>
      </c>
      <c r="I153" s="336">
        <f>G153*H153/1000000</f>
        <v>0</v>
      </c>
    </row>
    <row r="154" spans="2:13">
      <c r="B154" s="336" t="s">
        <v>1762</v>
      </c>
      <c r="C154" s="336" t="s">
        <v>1763</v>
      </c>
      <c r="D154" s="336">
        <f>$E$7</f>
        <v>1728</v>
      </c>
      <c r="E154" s="336" t="s">
        <v>1751</v>
      </c>
      <c r="F154" s="336">
        <v>0</v>
      </c>
      <c r="G154" s="336">
        <f>D154*F154</f>
        <v>0</v>
      </c>
      <c r="H154" s="336">
        <v>0</v>
      </c>
      <c r="I154" s="336">
        <f>G154*H154/1000000</f>
        <v>0</v>
      </c>
    </row>
    <row r="155" spans="2:13">
      <c r="B155" s="336" t="s">
        <v>1765</v>
      </c>
      <c r="C155" s="336" t="s">
        <v>1766</v>
      </c>
      <c r="D155" s="336">
        <f>$E$8</f>
        <v>1632</v>
      </c>
      <c r="E155" s="336" t="s">
        <v>1751</v>
      </c>
      <c r="F155" s="336">
        <v>0</v>
      </c>
      <c r="G155" s="336">
        <f>D155*F155</f>
        <v>0</v>
      </c>
      <c r="H155" s="336">
        <v>0</v>
      </c>
      <c r="I155" s="336">
        <f>G155*H155/1000000</f>
        <v>0</v>
      </c>
    </row>
    <row r="156" spans="2:13">
      <c r="B156" s="647"/>
      <c r="C156" s="647"/>
      <c r="D156" s="647"/>
      <c r="E156" s="647"/>
      <c r="F156" s="647"/>
      <c r="G156" s="647"/>
      <c r="H156" s="340" t="s">
        <v>1792</v>
      </c>
      <c r="I156" s="340">
        <f>SUM(I151:I155)+(15000/1000000)</f>
        <v>6.351</v>
      </c>
      <c r="J156" s="91"/>
    </row>
    <row r="162" spans="2:7" ht="72" customHeight="1">
      <c r="B162" s="640" t="s">
        <v>1808</v>
      </c>
      <c r="C162" s="346" t="s">
        <v>1809</v>
      </c>
      <c r="D162" s="347" t="s">
        <v>1810</v>
      </c>
      <c r="E162" s="641" t="s">
        <v>1811</v>
      </c>
      <c r="F162" s="641"/>
      <c r="G162" s="641"/>
    </row>
    <row r="163" spans="2:7" ht="78.75" customHeight="1">
      <c r="B163" s="640"/>
      <c r="C163" s="1" t="s">
        <v>1812</v>
      </c>
      <c r="D163" s="347" t="s">
        <v>1813</v>
      </c>
    </row>
    <row r="164" spans="2:7" ht="18">
      <c r="B164" s="348" t="s">
        <v>1751</v>
      </c>
      <c r="C164" s="349">
        <v>0</v>
      </c>
      <c r="D164" s="350">
        <f t="shared" ref="D164:D176" si="2">C164*365.25/1000</f>
        <v>0</v>
      </c>
    </row>
    <row r="165" spans="2:7" ht="18">
      <c r="B165" s="348" t="s">
        <v>1755</v>
      </c>
      <c r="C165" s="351">
        <f>$I$144</f>
        <v>0.15334821052631578</v>
      </c>
      <c r="D165" s="352">
        <f t="shared" si="2"/>
        <v>5.6010433894736839E-2</v>
      </c>
    </row>
    <row r="166" spans="2:7" ht="18">
      <c r="B166" s="348" t="s">
        <v>1758</v>
      </c>
      <c r="C166" s="351">
        <f>$I$135</f>
        <v>0.17126821052631577</v>
      </c>
      <c r="D166" s="352">
        <f t="shared" si="2"/>
        <v>6.2555713894736839E-2</v>
      </c>
    </row>
    <row r="167" spans="2:7" ht="18">
      <c r="B167" s="348" t="s">
        <v>1761</v>
      </c>
      <c r="C167" s="351">
        <f>$I$126</f>
        <v>0.20700217502335722</v>
      </c>
      <c r="D167" s="352">
        <f t="shared" si="2"/>
        <v>7.5607544427281223E-2</v>
      </c>
    </row>
    <row r="168" spans="2:7" ht="18">
      <c r="B168" s="348" t="s">
        <v>1764</v>
      </c>
      <c r="C168" s="351">
        <f>$I$117</f>
        <v>0.27857613952039867</v>
      </c>
      <c r="D168" s="352">
        <f t="shared" si="2"/>
        <v>0.10174993495982561</v>
      </c>
    </row>
    <row r="169" spans="2:7" ht="18">
      <c r="B169" s="348" t="s">
        <v>1767</v>
      </c>
      <c r="C169" s="351">
        <f>$I$108</f>
        <v>0.34951670610153701</v>
      </c>
      <c r="D169" s="352">
        <f t="shared" si="2"/>
        <v>0.12766097690358638</v>
      </c>
    </row>
    <row r="170" spans="2:7" ht="18">
      <c r="B170" s="348" t="s">
        <v>1768</v>
      </c>
      <c r="C170" s="351">
        <f>$I$99</f>
        <v>0.55984926315789463</v>
      </c>
      <c r="D170" s="352">
        <f t="shared" si="2"/>
        <v>0.20448494336842099</v>
      </c>
    </row>
    <row r="171" spans="2:7" ht="18">
      <c r="B171" s="348" t="s">
        <v>1769</v>
      </c>
      <c r="C171" s="351">
        <f>$I$90</f>
        <v>0.9696351070780399</v>
      </c>
      <c r="D171" s="352">
        <f t="shared" si="2"/>
        <v>0.35415922286025409</v>
      </c>
    </row>
    <row r="172" spans="2:7" ht="18">
      <c r="B172" s="348" t="s">
        <v>1770</v>
      </c>
      <c r="C172" s="351">
        <f>$I$81</f>
        <v>1.3450282105263158</v>
      </c>
      <c r="D172" s="352">
        <f t="shared" si="2"/>
        <v>0.49127155389473687</v>
      </c>
    </row>
    <row r="173" spans="2:7" ht="18">
      <c r="B173" s="348" t="s">
        <v>1771</v>
      </c>
      <c r="C173" s="351">
        <f>$I$72</f>
        <v>2.5546282105263156</v>
      </c>
      <c r="D173" s="352">
        <f t="shared" si="2"/>
        <v>0.9330779538947368</v>
      </c>
    </row>
    <row r="174" spans="2:7" ht="18">
      <c r="B174" s="348" t="s">
        <v>1772</v>
      </c>
      <c r="C174" s="351">
        <f>$I$63</f>
        <v>4.9738282105263156</v>
      </c>
      <c r="D174" s="352">
        <f t="shared" si="2"/>
        <v>1.8166907538947368</v>
      </c>
    </row>
    <row r="175" spans="2:7" ht="18">
      <c r="B175" s="348" t="s">
        <v>1773</v>
      </c>
      <c r="C175" s="351">
        <f>$I$54</f>
        <v>12.231428210526317</v>
      </c>
      <c r="D175" s="352">
        <f t="shared" si="2"/>
        <v>4.4675291538947377</v>
      </c>
    </row>
    <row r="176" spans="2:7" ht="18">
      <c r="B176" s="348" t="s">
        <v>1774</v>
      </c>
      <c r="C176" s="351">
        <f>$I$45</f>
        <v>24.327428210526314</v>
      </c>
      <c r="D176" s="352">
        <f t="shared" si="2"/>
        <v>8.885593153894737</v>
      </c>
    </row>
    <row r="179" spans="2:11" ht="32.25" customHeight="1">
      <c r="B179" s="640" t="s">
        <v>1808</v>
      </c>
      <c r="C179" s="346" t="s">
        <v>1809</v>
      </c>
      <c r="D179" s="347" t="s">
        <v>1810</v>
      </c>
    </row>
    <row r="180" spans="2:11" ht="36">
      <c r="B180" s="640"/>
      <c r="C180" s="1" t="s">
        <v>1814</v>
      </c>
      <c r="D180" s="347" t="s">
        <v>1815</v>
      </c>
    </row>
    <row r="181" spans="2:11" ht="36">
      <c r="B181" s="348" t="s">
        <v>1816</v>
      </c>
      <c r="C181" s="353">
        <f>$I$32</f>
        <v>24.222884210526313</v>
      </c>
      <c r="D181" s="353">
        <f>C181*365.25/1000</f>
        <v>8.847408457894737</v>
      </c>
    </row>
    <row r="189" spans="2:11" ht="21" customHeight="1">
      <c r="B189" s="642" t="s">
        <v>1817</v>
      </c>
      <c r="C189" s="642"/>
      <c r="D189" s="642"/>
      <c r="E189" s="642"/>
      <c r="F189" s="642"/>
      <c r="G189" s="642"/>
      <c r="H189" s="642"/>
      <c r="I189" s="354"/>
      <c r="J189" s="354"/>
      <c r="K189" s="354"/>
    </row>
    <row r="190" spans="2:11" ht="15.75" customHeight="1"/>
    <row r="191" spans="2:11" ht="15.75">
      <c r="B191" s="355"/>
      <c r="C191" s="356" t="s">
        <v>1783</v>
      </c>
      <c r="D191" s="357" t="s">
        <v>1818</v>
      </c>
      <c r="F191" s="355"/>
      <c r="G191" s="356" t="s">
        <v>1783</v>
      </c>
      <c r="H191" s="357" t="s">
        <v>1818</v>
      </c>
    </row>
    <row r="192" spans="2:11" ht="15.75">
      <c r="B192" s="358"/>
      <c r="C192" s="359" t="s">
        <v>1774</v>
      </c>
      <c r="D192" s="360">
        <f>$C$176</f>
        <v>24.327428210526314</v>
      </c>
      <c r="F192" s="358"/>
      <c r="G192" s="359" t="s">
        <v>1774</v>
      </c>
      <c r="H192" s="360">
        <f>$C$176</f>
        <v>24.327428210526314</v>
      </c>
    </row>
    <row r="193" spans="1:8" ht="15.75">
      <c r="B193" s="358"/>
      <c r="C193" s="359" t="s">
        <v>1773</v>
      </c>
      <c r="D193" s="360">
        <f>$C$175</f>
        <v>12.231428210526317</v>
      </c>
      <c r="F193" s="358"/>
      <c r="G193" s="359" t="s">
        <v>1773</v>
      </c>
      <c r="H193" s="360">
        <f>$C$175</f>
        <v>12.231428210526317</v>
      </c>
    </row>
    <row r="194" spans="1:8" ht="15.75">
      <c r="B194" s="358"/>
      <c r="C194" s="359" t="s">
        <v>1772</v>
      </c>
      <c r="D194" s="360">
        <f>$C$174</f>
        <v>4.9738282105263156</v>
      </c>
      <c r="F194" s="358"/>
      <c r="G194" s="359" t="s">
        <v>1772</v>
      </c>
      <c r="H194" s="360">
        <f>$C$174</f>
        <v>4.9738282105263156</v>
      </c>
    </row>
    <row r="195" spans="1:8" ht="15.75">
      <c r="B195" s="358"/>
      <c r="C195" s="359" t="s">
        <v>1771</v>
      </c>
      <c r="D195" s="360">
        <f>$C$173</f>
        <v>2.5546282105263156</v>
      </c>
      <c r="F195" s="358"/>
      <c r="G195" s="359" t="s">
        <v>1771</v>
      </c>
      <c r="H195" s="360">
        <f>$C$173</f>
        <v>2.5546282105263156</v>
      </c>
    </row>
    <row r="196" spans="1:8" ht="15.75">
      <c r="B196" s="358"/>
      <c r="C196" s="359"/>
      <c r="D196" s="360"/>
      <c r="F196" s="358"/>
      <c r="G196" s="359"/>
      <c r="H196" s="361"/>
    </row>
    <row r="197" spans="1:8" ht="15.75">
      <c r="A197" s="362"/>
      <c r="B197" s="639" t="s">
        <v>1819</v>
      </c>
      <c r="C197" s="639"/>
      <c r="D197" s="639"/>
      <c r="F197" s="639" t="s">
        <v>1819</v>
      </c>
      <c r="G197" s="639"/>
      <c r="H197" s="639"/>
    </row>
    <row r="198" spans="1:8" ht="15.75">
      <c r="B198" s="358" t="s">
        <v>1820</v>
      </c>
      <c r="C198" s="359" t="s">
        <v>1573</v>
      </c>
      <c r="D198" s="361" t="s">
        <v>1821</v>
      </c>
      <c r="F198" s="358" t="s">
        <v>1820</v>
      </c>
      <c r="G198" s="359" t="s">
        <v>1573</v>
      </c>
      <c r="H198" s="361" t="s">
        <v>1821</v>
      </c>
    </row>
    <row r="199" spans="1:8" ht="15.75">
      <c r="B199" s="358" t="s">
        <v>1822</v>
      </c>
      <c r="C199" s="359">
        <v>48</v>
      </c>
      <c r="D199" s="363">
        <f>C199*D193</f>
        <v>587.10855410526324</v>
      </c>
      <c r="F199" s="358" t="s">
        <v>1823</v>
      </c>
      <c r="G199" s="359">
        <v>5</v>
      </c>
      <c r="H199" s="363">
        <f>G199*H193</f>
        <v>61.157141052631587</v>
      </c>
    </row>
    <row r="200" spans="1:8" ht="15.75">
      <c r="B200" s="358" t="s">
        <v>1824</v>
      </c>
      <c r="C200" s="359">
        <f>365-C199</f>
        <v>317</v>
      </c>
      <c r="D200" s="363">
        <f>C200*D194</f>
        <v>1576.7035427368421</v>
      </c>
      <c r="F200" s="358" t="s">
        <v>1822</v>
      </c>
      <c r="G200" s="359">
        <v>122</v>
      </c>
      <c r="H200" s="363">
        <f>G200*H193</f>
        <v>1492.2342416842107</v>
      </c>
    </row>
    <row r="201" spans="1:8" ht="15.75">
      <c r="B201" s="358"/>
      <c r="C201" s="359">
        <f>SUM(C199:C200)</f>
        <v>365</v>
      </c>
      <c r="D201" s="364">
        <f>SUM(D199:D200)</f>
        <v>2163.8120968421053</v>
      </c>
      <c r="F201" s="358" t="s">
        <v>1825</v>
      </c>
      <c r="G201" s="359">
        <f>365-(G199+G200)</f>
        <v>238</v>
      </c>
      <c r="H201" s="363">
        <f>H195*G201</f>
        <v>608.00151410526314</v>
      </c>
    </row>
    <row r="202" spans="1:8" ht="15.75">
      <c r="B202" s="358"/>
      <c r="C202" s="359"/>
      <c r="D202" s="361"/>
      <c r="F202" s="358"/>
      <c r="G202" s="359">
        <f>SUM(G199:G201)</f>
        <v>365</v>
      </c>
      <c r="H202" s="364">
        <f>SUM(H199:H201)</f>
        <v>2161.3928968421055</v>
      </c>
    </row>
    <row r="203" spans="1:8" ht="15.75">
      <c r="B203" s="358"/>
      <c r="C203" s="359"/>
      <c r="D203" s="361"/>
      <c r="F203" s="358"/>
      <c r="G203" s="359"/>
      <c r="H203" s="361"/>
    </row>
    <row r="204" spans="1:8" ht="15.75">
      <c r="B204" s="639" t="s">
        <v>1826</v>
      </c>
      <c r="C204" s="639"/>
      <c r="D204" s="639"/>
      <c r="F204" s="639" t="s">
        <v>1826</v>
      </c>
      <c r="G204" s="639"/>
      <c r="H204" s="639"/>
    </row>
    <row r="205" spans="1:8" ht="15.75">
      <c r="B205" s="358" t="s">
        <v>1820</v>
      </c>
      <c r="C205" s="359" t="s">
        <v>1573</v>
      </c>
      <c r="D205" s="361" t="s">
        <v>1821</v>
      </c>
      <c r="F205" s="358" t="s">
        <v>1820</v>
      </c>
      <c r="G205" s="359" t="s">
        <v>1573</v>
      </c>
      <c r="H205" s="361" t="s">
        <v>1821</v>
      </c>
    </row>
    <row r="206" spans="1:8" ht="15.75">
      <c r="B206" s="358" t="s">
        <v>1824</v>
      </c>
      <c r="C206" s="359">
        <v>260</v>
      </c>
      <c r="D206" s="363">
        <f>C206*D194</f>
        <v>1293.1953347368421</v>
      </c>
      <c r="F206" s="358" t="s">
        <v>1822</v>
      </c>
      <c r="G206" s="359">
        <v>40</v>
      </c>
      <c r="H206" s="363">
        <f>G206*H193</f>
        <v>489.2571284210527</v>
      </c>
    </row>
    <row r="207" spans="1:8" ht="15.75">
      <c r="B207" s="358"/>
      <c r="C207" s="359"/>
      <c r="D207" s="363"/>
      <c r="F207" s="358" t="s">
        <v>1824</v>
      </c>
      <c r="G207" s="359">
        <v>100</v>
      </c>
      <c r="H207" s="363">
        <f>G207*H194</f>
        <v>497.38282105263158</v>
      </c>
    </row>
    <row r="208" spans="1:8" ht="15.75">
      <c r="B208" s="358" t="s">
        <v>1825</v>
      </c>
      <c r="C208" s="359">
        <f>365-C206</f>
        <v>105</v>
      </c>
      <c r="D208" s="363">
        <f>C208*D195</f>
        <v>268.23596210526313</v>
      </c>
      <c r="F208" s="358" t="s">
        <v>1825</v>
      </c>
      <c r="G208" s="359">
        <f>365-(G206+G207)</f>
        <v>225</v>
      </c>
      <c r="H208" s="363">
        <f>G208*D195</f>
        <v>574.79134736842104</v>
      </c>
    </row>
    <row r="209" spans="2:8" ht="15.75">
      <c r="B209" s="365"/>
      <c r="C209" s="366">
        <f>SUM(C206:C208)</f>
        <v>365</v>
      </c>
      <c r="D209" s="367">
        <f>SUM(D206:D208)</f>
        <v>1561.4312968421052</v>
      </c>
      <c r="F209" s="365"/>
      <c r="G209" s="366">
        <f>SUM(H206:H208)</f>
        <v>1561.4312968421054</v>
      </c>
      <c r="H209" s="367">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0"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1" t="s">
        <v>1578</v>
      </c>
      <c r="D5" s="321" t="s">
        <v>1579</v>
      </c>
      <c r="E5" s="321" t="s">
        <v>932</v>
      </c>
      <c r="F5" s="322">
        <f>107-96</f>
        <v>11</v>
      </c>
      <c r="G5" s="322" t="s">
        <v>1580</v>
      </c>
      <c r="H5" s="321">
        <v>16.32</v>
      </c>
      <c r="I5" s="321">
        <v>0.96960000000000002</v>
      </c>
      <c r="J5" s="321">
        <v>16.32</v>
      </c>
      <c r="K5" s="323">
        <f>H5</f>
        <v>16.32</v>
      </c>
      <c r="L5" s="324" t="s">
        <v>1578</v>
      </c>
      <c r="M5" s="324" t="s">
        <v>873</v>
      </c>
      <c r="N5" s="324" t="s">
        <v>883</v>
      </c>
      <c r="O5" s="324">
        <f>107-96</f>
        <v>11</v>
      </c>
      <c r="P5" s="324">
        <v>36.6</v>
      </c>
      <c r="Q5" s="325">
        <f>P5</f>
        <v>36.6</v>
      </c>
      <c r="R5" s="326" t="s">
        <v>1581</v>
      </c>
      <c r="S5" s="327"/>
      <c r="T5" s="327"/>
    </row>
    <row r="6" spans="1:20" ht="15">
      <c r="B6"/>
      <c r="C6"/>
      <c r="D6"/>
      <c r="E6"/>
      <c r="F6" s="18"/>
      <c r="G6" s="18"/>
      <c r="H6"/>
      <c r="I6"/>
      <c r="J6"/>
      <c r="K6"/>
      <c r="L6" s="324" t="s">
        <v>1582</v>
      </c>
      <c r="M6" s="324" t="s">
        <v>1583</v>
      </c>
      <c r="N6" s="324" t="s">
        <v>1584</v>
      </c>
      <c r="O6" s="324">
        <v>21</v>
      </c>
      <c r="P6" s="324"/>
      <c r="Q6" s="328"/>
      <c r="R6" s="326" t="s">
        <v>1585</v>
      </c>
      <c r="S6" s="327"/>
      <c r="T6" s="327"/>
    </row>
    <row r="7" spans="1:20" ht="15">
      <c r="B7" s="3">
        <v>25118</v>
      </c>
      <c r="C7" s="321" t="s">
        <v>1578</v>
      </c>
      <c r="D7" s="321" t="s">
        <v>1586</v>
      </c>
      <c r="E7" s="321" t="s">
        <v>1587</v>
      </c>
      <c r="F7" s="322">
        <f>126-107</f>
        <v>19</v>
      </c>
      <c r="G7" s="322" t="s">
        <v>1580</v>
      </c>
      <c r="H7" s="321">
        <v>17.600000000000001</v>
      </c>
      <c r="I7" s="321">
        <v>0.96960000000000002</v>
      </c>
      <c r="J7" s="321">
        <v>17.600000000000001</v>
      </c>
      <c r="K7" s="323">
        <f>H7+H5</f>
        <v>33.92</v>
      </c>
      <c r="L7" s="324" t="s">
        <v>1578</v>
      </c>
      <c r="M7" s="324" t="s">
        <v>883</v>
      </c>
      <c r="N7" s="324" t="s">
        <v>964</v>
      </c>
      <c r="O7" s="324">
        <f>116-107</f>
        <v>9</v>
      </c>
      <c r="P7" s="324">
        <v>41</v>
      </c>
      <c r="Q7" s="325">
        <f>P7+Q5</f>
        <v>77.599999999999994</v>
      </c>
      <c r="R7" s="326" t="s">
        <v>1581</v>
      </c>
      <c r="S7" s="327"/>
      <c r="T7" s="327"/>
    </row>
    <row r="8" spans="1:20" ht="13.5" customHeight="1">
      <c r="F8" s="4"/>
      <c r="G8" s="4"/>
      <c r="L8" s="324" t="s">
        <v>1582</v>
      </c>
      <c r="M8" s="324" t="s">
        <v>1584</v>
      </c>
      <c r="N8" s="324" t="s">
        <v>1588</v>
      </c>
      <c r="O8" s="328">
        <v>172</v>
      </c>
      <c r="P8" s="328">
        <f>5227688*8/1000000</f>
        <v>41.821503999999997</v>
      </c>
      <c r="Q8" s="329">
        <f>Q7+P8</f>
        <v>119.421504</v>
      </c>
      <c r="R8" s="326" t="s">
        <v>1585</v>
      </c>
      <c r="S8" s="327"/>
      <c r="T8" s="327"/>
    </row>
    <row r="9" spans="1:20" ht="13.5" customHeight="1">
      <c r="F9" s="4"/>
      <c r="G9" s="4"/>
      <c r="L9" s="324" t="s">
        <v>1589</v>
      </c>
      <c r="M9" s="324"/>
      <c r="N9" s="324"/>
      <c r="O9" s="328"/>
      <c r="P9" s="328"/>
      <c r="Q9" s="329"/>
      <c r="R9" s="326" t="s">
        <v>1590</v>
      </c>
      <c r="S9" s="327"/>
      <c r="T9" s="327"/>
    </row>
    <row r="10" spans="1:20" ht="15">
      <c r="A10" s="91"/>
      <c r="B10" s="3">
        <v>25139</v>
      </c>
      <c r="C10" s="321" t="s">
        <v>762</v>
      </c>
      <c r="D10" s="321" t="s">
        <v>1591</v>
      </c>
      <c r="E10" s="321" t="s">
        <v>1109</v>
      </c>
      <c r="F10" s="322">
        <f>302-276</f>
        <v>26</v>
      </c>
      <c r="G10" s="322" t="s">
        <v>1592</v>
      </c>
      <c r="H10" s="321">
        <v>64.400000000000006</v>
      </c>
      <c r="I10" s="321">
        <v>2.5546000000000002</v>
      </c>
      <c r="J10" s="321">
        <v>64.400000000000006</v>
      </c>
      <c r="K10" s="323">
        <f>K7+H10</f>
        <v>98.320000000000007</v>
      </c>
      <c r="L10" s="324" t="s">
        <v>1578</v>
      </c>
      <c r="M10" s="324" t="s">
        <v>964</v>
      </c>
      <c r="N10" s="324" t="s">
        <v>1062</v>
      </c>
      <c r="O10" s="324">
        <f>135-119</f>
        <v>16</v>
      </c>
      <c r="P10" s="324">
        <v>56.5</v>
      </c>
      <c r="Q10" s="329">
        <f>Q8+P10</f>
        <v>175.921504</v>
      </c>
      <c r="R10" s="326" t="s">
        <v>1593</v>
      </c>
      <c r="S10" s="327"/>
      <c r="T10" s="327"/>
    </row>
    <row r="11" spans="1:20" ht="13.5" customHeight="1">
      <c r="A11"/>
      <c r="B11"/>
      <c r="F11" s="4"/>
      <c r="G11" s="4"/>
      <c r="P11" s="3">
        <f>P10+P7+P5</f>
        <v>134.1</v>
      </c>
    </row>
    <row r="12" spans="1:20" ht="13.5" customHeight="1">
      <c r="A12">
        <v>178</v>
      </c>
      <c r="B12" s="3">
        <v>25159</v>
      </c>
      <c r="C12" s="321" t="s">
        <v>762</v>
      </c>
      <c r="D12" s="321" t="s">
        <v>1594</v>
      </c>
      <c r="E12" s="321" t="s">
        <v>1268</v>
      </c>
      <c r="F12" s="322">
        <f>338-302</f>
        <v>36</v>
      </c>
      <c r="G12" s="322" t="s">
        <v>1592</v>
      </c>
      <c r="H12" s="321">
        <v>90.4</v>
      </c>
      <c r="I12" s="321">
        <v>2.5546000000000002</v>
      </c>
      <c r="J12" s="321">
        <v>90.4</v>
      </c>
      <c r="K12" s="323">
        <f>K10+H12</f>
        <v>188.72000000000003</v>
      </c>
      <c r="L12" s="324" t="s">
        <v>1578</v>
      </c>
      <c r="M12" s="324" t="s">
        <v>1062</v>
      </c>
      <c r="N12" s="324" t="s">
        <v>1274</v>
      </c>
      <c r="O12" s="324">
        <f>178-135</f>
        <v>43</v>
      </c>
      <c r="P12" s="324">
        <v>105.5</v>
      </c>
      <c r="Q12" s="329">
        <f>Q10+P12</f>
        <v>281.42150400000003</v>
      </c>
      <c r="R12" s="326" t="s">
        <v>1595</v>
      </c>
      <c r="S12" s="327"/>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0"/>
      <c r="C17" s="331" t="s">
        <v>1597</v>
      </c>
      <c r="D17" s="321" t="s">
        <v>1598</v>
      </c>
      <c r="E17" s="321" t="s">
        <v>1599</v>
      </c>
      <c r="F17" s="322">
        <f>83+365-302</f>
        <v>146</v>
      </c>
      <c r="G17" s="322" t="s">
        <v>1592</v>
      </c>
      <c r="H17" s="322">
        <f>(F17*86400*8*'2025_pb'!W9)/1000000</f>
        <v>371.78301399999998</v>
      </c>
      <c r="I17" s="321">
        <v>2.5546000000000002</v>
      </c>
      <c r="J17" s="322">
        <f>I17*F17</f>
        <v>372.97160000000002</v>
      </c>
      <c r="K17" s="332">
        <f>H17</f>
        <v>371.78301399999998</v>
      </c>
      <c r="L17" s="3" t="s">
        <v>1600</v>
      </c>
      <c r="M17" s="3" t="s">
        <v>1601</v>
      </c>
      <c r="N17" s="3" t="s">
        <v>1602</v>
      </c>
      <c r="O17" s="3">
        <f>83+365-276</f>
        <v>172</v>
      </c>
      <c r="P17" s="3">
        <f>241+379</f>
        <v>620</v>
      </c>
      <c r="Q17" s="145">
        <f>P17</f>
        <v>620</v>
      </c>
    </row>
    <row r="18" spans="1:17" ht="13.5" customHeight="1">
      <c r="A18"/>
      <c r="B18" s="330"/>
      <c r="C18" s="331" t="s">
        <v>1603</v>
      </c>
      <c r="D18" s="321" t="s">
        <v>1604</v>
      </c>
      <c r="E18" s="321" t="s">
        <v>1605</v>
      </c>
      <c r="F18" s="321">
        <f>219-126</f>
        <v>93</v>
      </c>
      <c r="G18" s="321"/>
      <c r="H18" s="322">
        <f>F18*86400*8*'2025_pb'!S9/1000000</f>
        <v>89.416337999999996</v>
      </c>
      <c r="I18" s="322"/>
      <c r="J18" s="322">
        <f>H18*86400*8*'2025_pb'!T9/1000000</f>
        <v>22.50543686688691</v>
      </c>
      <c r="K18" s="332">
        <f>K17+H18</f>
        <v>461.19935199999998</v>
      </c>
      <c r="L18" s="3" t="s">
        <v>1606</v>
      </c>
      <c r="N18" s="3" t="s">
        <v>1607</v>
      </c>
    </row>
    <row r="19" spans="1:17" ht="13.5" customHeight="1">
      <c r="A19"/>
      <c r="B19" t="s">
        <v>1608</v>
      </c>
      <c r="D19" s="3">
        <v>96</v>
      </c>
      <c r="E19" s="3">
        <v>219</v>
      </c>
      <c r="F19" s="3">
        <f>E19-D19</f>
        <v>123</v>
      </c>
      <c r="I19" s="321">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68">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69"/>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0">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69">
        <f>D18/D23</f>
        <v>0</v>
      </c>
      <c r="C18" s="369" t="s">
        <v>849</v>
      </c>
      <c r="D18" s="371"/>
      <c r="E18" s="368">
        <f t="shared" si="0"/>
        <v>908875</v>
      </c>
      <c r="F18" s="368">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0">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2">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2">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2">
        <v>589373156</v>
      </c>
      <c r="I25" s="372">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2">
        <v>589408851</v>
      </c>
      <c r="I26" s="372">
        <v>589445991</v>
      </c>
      <c r="J26" s="104">
        <f t="shared" si="6"/>
        <v>37140</v>
      </c>
      <c r="K26" s="104">
        <f t="shared" si="7"/>
        <v>0</v>
      </c>
      <c r="L26" s="3">
        <v>908890</v>
      </c>
    </row>
    <row r="27" spans="2:12" ht="15">
      <c r="D27" s="183">
        <f t="shared" si="4"/>
        <v>3.7918760469011725</v>
      </c>
      <c r="E27" s="3">
        <f t="shared" si="5"/>
        <v>226375</v>
      </c>
      <c r="F27" s="3">
        <v>1.8109999999999999</v>
      </c>
      <c r="G27" s="179" t="s">
        <v>1854</v>
      </c>
      <c r="H27" s="372">
        <v>589445991</v>
      </c>
      <c r="I27" s="372">
        <v>589505691</v>
      </c>
      <c r="J27" s="104">
        <f t="shared" si="6"/>
        <v>59700</v>
      </c>
      <c r="K27" s="104">
        <f t="shared" si="7"/>
        <v>0</v>
      </c>
      <c r="L27" s="3">
        <v>908890</v>
      </c>
    </row>
    <row r="28" spans="2:12" ht="15">
      <c r="D28" s="183">
        <f t="shared" si="4"/>
        <v>3.7168560606060606</v>
      </c>
      <c r="E28" s="3">
        <f t="shared" si="5"/>
        <v>294375</v>
      </c>
      <c r="F28" s="3">
        <v>2.355</v>
      </c>
      <c r="G28" s="179" t="s">
        <v>1855</v>
      </c>
      <c r="H28" s="372">
        <v>589505691</v>
      </c>
      <c r="I28" s="372">
        <v>589584891</v>
      </c>
      <c r="J28" s="104">
        <f t="shared" si="6"/>
        <v>79200</v>
      </c>
      <c r="K28" s="104">
        <f t="shared" si="7"/>
        <v>0</v>
      </c>
      <c r="L28" s="3">
        <v>908890</v>
      </c>
    </row>
    <row r="29" spans="2:12" ht="15">
      <c r="D29" s="183">
        <f t="shared" si="4"/>
        <v>3.8602520045819015</v>
      </c>
      <c r="E29" s="3">
        <f t="shared" si="5"/>
        <v>337000</v>
      </c>
      <c r="F29" s="3">
        <v>2.6960000000000002</v>
      </c>
      <c r="G29" s="179" t="s">
        <v>726</v>
      </c>
      <c r="H29" s="372">
        <v>589584891</v>
      </c>
      <c r="I29" s="372">
        <v>589672191</v>
      </c>
      <c r="J29" s="104">
        <f t="shared" si="6"/>
        <v>87300</v>
      </c>
      <c r="K29" s="104">
        <f t="shared" si="7"/>
        <v>0</v>
      </c>
      <c r="L29" s="3">
        <v>908890</v>
      </c>
    </row>
    <row r="30" spans="2:12" ht="15">
      <c r="D30" s="183">
        <f t="shared" si="4"/>
        <v>3.8356050531914891</v>
      </c>
      <c r="E30" s="3">
        <f t="shared" si="5"/>
        <v>346125</v>
      </c>
      <c r="F30" s="3">
        <v>2.7690000000000001</v>
      </c>
      <c r="G30" s="179" t="s">
        <v>1856</v>
      </c>
      <c r="H30" s="372">
        <v>589672191</v>
      </c>
      <c r="I30" s="372">
        <v>589762431</v>
      </c>
      <c r="J30" s="104">
        <f t="shared" si="6"/>
        <v>90240</v>
      </c>
      <c r="K30" s="104">
        <f t="shared" si="7"/>
        <v>0</v>
      </c>
      <c r="L30" s="3">
        <v>908890</v>
      </c>
    </row>
    <row r="31" spans="2:12" ht="15">
      <c r="D31" s="183">
        <f t="shared" si="4"/>
        <v>3.7087578845220768</v>
      </c>
      <c r="E31" s="3">
        <f t="shared" si="5"/>
        <v>305750</v>
      </c>
      <c r="F31" s="3">
        <v>2.4460000000000002</v>
      </c>
      <c r="G31" s="179" t="s">
        <v>1857</v>
      </c>
      <c r="H31" s="372">
        <v>589762431</v>
      </c>
      <c r="I31" s="372">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69">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0">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69">
        <f>D15/D20</f>
        <v>3.8796610175542212</v>
      </c>
      <c r="C15" s="369" t="s">
        <v>849</v>
      </c>
      <c r="D15" s="371">
        <f t="shared" si="0"/>
        <v>14.778455284552846</v>
      </c>
      <c r="E15" s="368">
        <f t="shared" si="1"/>
        <v>908875</v>
      </c>
      <c r="F15" s="368">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0">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2">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2">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2">
        <v>589373156</v>
      </c>
      <c r="I22" s="372">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2">
        <v>589408851</v>
      </c>
      <c r="I23" s="372">
        <v>589445991</v>
      </c>
      <c r="J23" s="104">
        <f t="shared" si="7"/>
        <v>37140</v>
      </c>
      <c r="K23" s="104">
        <f t="shared" si="8"/>
        <v>0</v>
      </c>
      <c r="L23" s="3">
        <v>908890</v>
      </c>
    </row>
    <row r="24" spans="4:12" ht="15">
      <c r="D24" s="183">
        <f t="shared" si="5"/>
        <v>3.7918760469011725</v>
      </c>
      <c r="E24" s="3">
        <f t="shared" si="6"/>
        <v>226375</v>
      </c>
      <c r="F24" s="3">
        <v>1.8109999999999999</v>
      </c>
      <c r="G24" s="179" t="s">
        <v>1854</v>
      </c>
      <c r="H24" s="372">
        <v>589445991</v>
      </c>
      <c r="I24" s="372">
        <v>589505691</v>
      </c>
      <c r="J24" s="104">
        <f t="shared" si="7"/>
        <v>59700</v>
      </c>
      <c r="K24" s="104">
        <f t="shared" si="8"/>
        <v>0</v>
      </c>
      <c r="L24" s="3">
        <v>908890</v>
      </c>
    </row>
    <row r="25" spans="4:12" ht="15">
      <c r="D25" s="183">
        <f t="shared" si="5"/>
        <v>3.7168560606060606</v>
      </c>
      <c r="E25" s="3">
        <f t="shared" si="6"/>
        <v>294375</v>
      </c>
      <c r="F25" s="3">
        <v>2.355</v>
      </c>
      <c r="G25" s="179" t="s">
        <v>1855</v>
      </c>
      <c r="H25" s="372">
        <v>589505691</v>
      </c>
      <c r="I25" s="372">
        <v>589584891</v>
      </c>
      <c r="J25" s="104">
        <f t="shared" si="7"/>
        <v>79200</v>
      </c>
      <c r="K25" s="104">
        <f t="shared" si="8"/>
        <v>0</v>
      </c>
      <c r="L25" s="3">
        <v>908890</v>
      </c>
    </row>
    <row r="26" spans="4:12" ht="15">
      <c r="D26" s="183">
        <f t="shared" si="5"/>
        <v>3.8602520045819015</v>
      </c>
      <c r="E26" s="3">
        <f t="shared" si="6"/>
        <v>337000</v>
      </c>
      <c r="F26" s="3">
        <v>2.6960000000000002</v>
      </c>
      <c r="G26" s="179" t="s">
        <v>726</v>
      </c>
      <c r="H26" s="372">
        <v>589584891</v>
      </c>
      <c r="I26" s="372">
        <v>589672191</v>
      </c>
      <c r="J26" s="104">
        <f t="shared" si="7"/>
        <v>87300</v>
      </c>
      <c r="K26" s="104">
        <f t="shared" si="8"/>
        <v>0</v>
      </c>
      <c r="L26" s="3">
        <v>908890</v>
      </c>
    </row>
    <row r="27" spans="4:12" ht="15">
      <c r="D27" s="183">
        <f t="shared" si="5"/>
        <v>3.8356050531914891</v>
      </c>
      <c r="E27" s="3">
        <f t="shared" si="6"/>
        <v>346125</v>
      </c>
      <c r="F27" s="3">
        <v>2.7690000000000001</v>
      </c>
      <c r="G27" s="179" t="s">
        <v>1856</v>
      </c>
      <c r="H27" s="372">
        <v>589672191</v>
      </c>
      <c r="I27" s="372">
        <v>589762431</v>
      </c>
      <c r="J27" s="104">
        <f t="shared" si="7"/>
        <v>90240</v>
      </c>
      <c r="K27" s="104">
        <f t="shared" si="8"/>
        <v>0</v>
      </c>
      <c r="L27" s="3">
        <v>908890</v>
      </c>
    </row>
    <row r="28" spans="4:12" ht="15">
      <c r="D28" s="183">
        <f t="shared" si="5"/>
        <v>3.7087578845220768</v>
      </c>
      <c r="E28" s="3">
        <f t="shared" si="6"/>
        <v>305750</v>
      </c>
      <c r="F28" s="3">
        <v>2.4460000000000002</v>
      </c>
      <c r="G28" s="179" t="s">
        <v>1857</v>
      </c>
      <c r="H28" s="372">
        <v>589762431</v>
      </c>
      <c r="I28" s="372">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3">
        <v>180</v>
      </c>
      <c r="H6" s="373">
        <v>20</v>
      </c>
      <c r="I6" s="373">
        <v>100</v>
      </c>
      <c r="J6" s="373">
        <v>100</v>
      </c>
      <c r="K6" s="373">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3">
        <v>180</v>
      </c>
      <c r="H7" s="373">
        <v>20</v>
      </c>
      <c r="I7" s="373">
        <v>101</v>
      </c>
      <c r="J7" s="373">
        <v>101</v>
      </c>
      <c r="K7" s="373">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3">
        <v>180</v>
      </c>
      <c r="H8" s="373">
        <v>20</v>
      </c>
      <c r="I8" s="373">
        <v>99</v>
      </c>
      <c r="J8" s="373">
        <v>99</v>
      </c>
      <c r="K8" s="373">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3">
        <v>180</v>
      </c>
      <c r="H9" s="373">
        <v>20</v>
      </c>
      <c r="I9" s="373">
        <v>400</v>
      </c>
      <c r="J9" s="373">
        <v>400</v>
      </c>
      <c r="K9" s="373">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4" t="s">
        <v>1885</v>
      </c>
      <c r="Z9" s="31">
        <f>8640/(24*10*200)</f>
        <v>0.18</v>
      </c>
    </row>
    <row r="10" spans="1:26" ht="14.25" customHeight="1">
      <c r="E10" s="4" t="s">
        <v>1886</v>
      </c>
      <c r="F10" s="4" t="s">
        <v>1887</v>
      </c>
      <c r="G10" s="373">
        <v>180</v>
      </c>
      <c r="H10" s="373">
        <v>20</v>
      </c>
      <c r="I10" s="373">
        <v>500</v>
      </c>
      <c r="J10" s="373">
        <v>400</v>
      </c>
      <c r="K10" s="373">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3">
        <v>180</v>
      </c>
      <c r="H11" s="373">
        <v>20</v>
      </c>
      <c r="I11" s="373">
        <v>501</v>
      </c>
      <c r="J11" s="373">
        <v>405</v>
      </c>
      <c r="K11" s="373">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3">
        <v>180</v>
      </c>
      <c r="H15" s="373">
        <v>20</v>
      </c>
      <c r="I15" s="373">
        <v>100</v>
      </c>
      <c r="J15" s="373">
        <v>100</v>
      </c>
      <c r="K15" s="373">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3">
        <v>180</v>
      </c>
      <c r="H16" s="373">
        <v>20</v>
      </c>
      <c r="I16" s="373">
        <v>101</v>
      </c>
      <c r="J16" s="373">
        <v>101</v>
      </c>
      <c r="K16" s="373">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3">
        <v>180</v>
      </c>
      <c r="H17" s="373">
        <v>20</v>
      </c>
      <c r="I17" s="373">
        <v>99</v>
      </c>
      <c r="J17" s="373">
        <v>99</v>
      </c>
      <c r="K17" s="373">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3">
        <v>180</v>
      </c>
      <c r="H18" s="373">
        <v>20</v>
      </c>
      <c r="I18" s="373">
        <v>400</v>
      </c>
      <c r="J18" s="373">
        <v>400</v>
      </c>
      <c r="K18" s="373">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3">
        <v>180</v>
      </c>
      <c r="H19" s="373">
        <v>20</v>
      </c>
      <c r="I19" s="373">
        <v>500</v>
      </c>
      <c r="J19" s="373">
        <v>400</v>
      </c>
      <c r="K19" s="373">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3">
        <v>180</v>
      </c>
      <c r="H20" s="373">
        <v>20</v>
      </c>
      <c r="I20" s="373">
        <v>501</v>
      </c>
      <c r="J20" s="373">
        <v>405</v>
      </c>
      <c r="K20" s="373">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5" t="s">
        <v>1911</v>
      </c>
      <c r="E5" s="3">
        <v>0</v>
      </c>
      <c r="F5" s="375">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5"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5"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5" t="s">
        <v>1911</v>
      </c>
      <c r="E11" s="3">
        <v>0</v>
      </c>
      <c r="F11" s="375">
        <v>3</v>
      </c>
      <c r="G11" s="375">
        <v>0.01</v>
      </c>
      <c r="K11" s="375">
        <v>100</v>
      </c>
      <c r="L11" s="375">
        <v>100</v>
      </c>
      <c r="M11" s="3">
        <v>7200</v>
      </c>
      <c r="N11" s="3">
        <v>1800</v>
      </c>
      <c r="O11" s="3" t="s">
        <v>1912</v>
      </c>
      <c r="P11" s="93" t="s">
        <v>1915</v>
      </c>
    </row>
    <row r="12" spans="1:16" ht="14.25" customHeight="1">
      <c r="B12" s="376">
        <v>151</v>
      </c>
      <c r="E12" s="3">
        <v>1</v>
      </c>
      <c r="F12" s="3">
        <v>3</v>
      </c>
      <c r="G12" s="3">
        <v>0.01</v>
      </c>
      <c r="H12" s="376" t="s">
        <v>1911</v>
      </c>
      <c r="I12" s="376" t="s">
        <v>1911</v>
      </c>
      <c r="J12" s="376" t="s">
        <v>1916</v>
      </c>
      <c r="P12" s="377" t="s">
        <v>1917</v>
      </c>
    </row>
    <row r="13" spans="1:16" ht="14.25" customHeight="1">
      <c r="B13" s="376">
        <v>153</v>
      </c>
      <c r="E13" s="3">
        <v>2</v>
      </c>
      <c r="F13" s="3">
        <v>3</v>
      </c>
      <c r="G13" s="3">
        <v>0.01</v>
      </c>
      <c r="H13" s="376" t="s">
        <v>1911</v>
      </c>
      <c r="I13" s="376" t="s">
        <v>1911</v>
      </c>
      <c r="J13" s="376" t="s">
        <v>1918</v>
      </c>
      <c r="P13" s="377" t="s">
        <v>1919</v>
      </c>
    </row>
    <row r="14" spans="1:16" ht="14.25" customHeight="1">
      <c r="B14" s="376">
        <v>155</v>
      </c>
      <c r="E14" s="3">
        <v>3</v>
      </c>
      <c r="F14" s="3">
        <v>3</v>
      </c>
      <c r="G14" s="3">
        <v>0.01</v>
      </c>
      <c r="H14" s="376" t="s">
        <v>1911</v>
      </c>
      <c r="I14" s="376" t="s">
        <v>1911</v>
      </c>
      <c r="J14" s="376" t="s">
        <v>1920</v>
      </c>
      <c r="P14" s="377" t="s">
        <v>1921</v>
      </c>
    </row>
    <row r="15" spans="1:16" ht="14.25" customHeight="1">
      <c r="B15" s="3">
        <v>157</v>
      </c>
      <c r="E15" s="52">
        <v>4</v>
      </c>
      <c r="F15" s="52">
        <v>3</v>
      </c>
      <c r="H15" s="376" t="s">
        <v>1911</v>
      </c>
      <c r="I15" s="3" t="s">
        <v>1922</v>
      </c>
      <c r="P15" s="93" t="s">
        <v>1923</v>
      </c>
    </row>
    <row r="16" spans="1:16" ht="14.25" customHeight="1">
      <c r="B16" s="3">
        <v>170</v>
      </c>
      <c r="D16" s="3" t="s">
        <v>1922</v>
      </c>
      <c r="F16" s="375">
        <v>6</v>
      </c>
      <c r="G16" s="375">
        <v>0.2</v>
      </c>
      <c r="P16" s="93" t="s">
        <v>1924</v>
      </c>
    </row>
    <row r="17" spans="1:16" ht="14.25" customHeight="1">
      <c r="A17" s="3">
        <v>23170</v>
      </c>
      <c r="B17" s="376">
        <v>182</v>
      </c>
      <c r="D17" s="3" t="s">
        <v>1922</v>
      </c>
      <c r="E17" s="3">
        <v>5</v>
      </c>
      <c r="F17" s="3">
        <v>6</v>
      </c>
      <c r="G17" s="3">
        <v>0.2</v>
      </c>
      <c r="H17" s="376" t="s">
        <v>1911</v>
      </c>
      <c r="I17" s="376" t="s">
        <v>1911</v>
      </c>
      <c r="J17" s="376" t="s">
        <v>1925</v>
      </c>
      <c r="P17" s="377" t="s">
        <v>1926</v>
      </c>
    </row>
    <row r="18" spans="1:16" ht="14.25" customHeight="1">
      <c r="A18" s="3">
        <v>23191</v>
      </c>
      <c r="B18" s="376">
        <v>194</v>
      </c>
      <c r="E18" s="3">
        <v>6</v>
      </c>
      <c r="F18" s="3">
        <v>6</v>
      </c>
      <c r="G18" s="3">
        <v>0.2</v>
      </c>
      <c r="H18" s="376" t="s">
        <v>1911</v>
      </c>
      <c r="I18" s="376" t="s">
        <v>1911</v>
      </c>
      <c r="J18" s="376" t="s">
        <v>1927</v>
      </c>
      <c r="P18" s="377" t="s">
        <v>1928</v>
      </c>
    </row>
    <row r="19" spans="1:16" ht="14.25" customHeight="1">
      <c r="A19" s="3">
        <v>23212</v>
      </c>
      <c r="B19" s="3">
        <v>216</v>
      </c>
      <c r="C19" s="3" t="s">
        <v>1914</v>
      </c>
    </row>
    <row r="20" spans="1:16" ht="14.25" customHeight="1">
      <c r="B20" s="3">
        <v>221</v>
      </c>
      <c r="C20" s="92" t="s">
        <v>1910</v>
      </c>
      <c r="D20" s="3" t="s">
        <v>1922</v>
      </c>
      <c r="F20" s="3">
        <v>6</v>
      </c>
      <c r="G20" s="375">
        <v>1.5</v>
      </c>
      <c r="K20" s="3">
        <v>100</v>
      </c>
      <c r="L20" s="3">
        <v>100</v>
      </c>
      <c r="M20" s="3">
        <v>7200</v>
      </c>
      <c r="N20" s="3">
        <v>1800</v>
      </c>
      <c r="O20" s="375" t="s">
        <v>1929</v>
      </c>
      <c r="P20" s="93" t="s">
        <v>1930</v>
      </c>
    </row>
    <row r="21" spans="1:16" ht="14.25" customHeight="1">
      <c r="A21" s="3">
        <v>23233</v>
      </c>
      <c r="B21" s="3">
        <v>231</v>
      </c>
      <c r="C21" s="3" t="s">
        <v>1914</v>
      </c>
    </row>
    <row r="22" spans="1:16" ht="14.25" customHeight="1">
      <c r="B22" s="3">
        <v>234</v>
      </c>
      <c r="C22" s="92" t="s">
        <v>1910</v>
      </c>
      <c r="D22" s="3" t="s">
        <v>1922</v>
      </c>
      <c r="F22" s="375">
        <v>12</v>
      </c>
      <c r="G22" s="375">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5">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5">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5">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5">
        <v>1.5</v>
      </c>
      <c r="K30" s="3">
        <v>100</v>
      </c>
      <c r="L30" s="3">
        <v>100</v>
      </c>
      <c r="M30" s="3">
        <v>7200</v>
      </c>
      <c r="N30" s="3">
        <v>1800</v>
      </c>
      <c r="O30" s="375" t="s">
        <v>1912</v>
      </c>
      <c r="P30" s="93" t="s">
        <v>1932</v>
      </c>
    </row>
    <row r="31" spans="1:16" ht="14.25" customHeight="1">
      <c r="A31" s="3">
        <v>23275</v>
      </c>
      <c r="B31" s="3">
        <v>275</v>
      </c>
      <c r="G31" s="375">
        <v>0.4</v>
      </c>
      <c r="P31" s="93" t="s">
        <v>1933</v>
      </c>
    </row>
    <row r="32" spans="1:16" ht="14.25" customHeight="1">
      <c r="A32" s="3">
        <v>23296</v>
      </c>
      <c r="B32" s="376">
        <v>311</v>
      </c>
      <c r="E32" s="3">
        <v>7</v>
      </c>
      <c r="F32" s="3">
        <v>12</v>
      </c>
      <c r="H32" s="376" t="s">
        <v>1911</v>
      </c>
      <c r="I32" s="376" t="s">
        <v>1911</v>
      </c>
      <c r="J32" s="376" t="s">
        <v>1934</v>
      </c>
      <c r="P32" s="377" t="s">
        <v>1935</v>
      </c>
    </row>
    <row r="33" spans="1:32" ht="14.25" customHeight="1">
      <c r="A33" s="3">
        <v>24015</v>
      </c>
      <c r="B33" s="3">
        <v>15</v>
      </c>
      <c r="D33" s="3" t="s">
        <v>1922</v>
      </c>
      <c r="F33" s="375">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5">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5">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636" t="s">
        <v>1</v>
      </c>
      <c r="I3" s="636"/>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637" t="s">
        <v>22</v>
      </c>
      <c r="G21" s="637"/>
      <c r="H21" s="637"/>
      <c r="I21" s="637"/>
    </row>
    <row r="22" spans="3:25" ht="18">
      <c r="F22" s="638" t="s">
        <v>23</v>
      </c>
      <c r="G22" s="638"/>
      <c r="H22" s="638"/>
      <c r="I22" s="29">
        <v>20</v>
      </c>
      <c r="O22" s="30"/>
    </row>
    <row r="23" spans="3:25" ht="15">
      <c r="F23" s="635" t="s">
        <v>24</v>
      </c>
      <c r="G23" s="635"/>
      <c r="H23" s="635"/>
      <c r="I23" s="29">
        <f>0.7*I22/10</f>
        <v>1.4</v>
      </c>
    </row>
    <row r="24" spans="3:25" ht="15">
      <c r="F24" s="635" t="s">
        <v>25</v>
      </c>
      <c r="G24" s="635"/>
      <c r="H24" s="635"/>
      <c r="I24" s="29">
        <v>2</v>
      </c>
    </row>
    <row r="25" spans="3:25" ht="15">
      <c r="F25" s="635" t="s">
        <v>26</v>
      </c>
      <c r="G25" s="635"/>
      <c r="H25" s="635"/>
      <c r="I25" s="29">
        <v>0</v>
      </c>
    </row>
    <row r="26" spans="3:25" ht="15">
      <c r="F26" s="635" t="s">
        <v>27</v>
      </c>
      <c r="G26" s="635"/>
      <c r="H26" s="635"/>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636" t="s">
        <v>1</v>
      </c>
      <c r="I33" s="636"/>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78"/>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637" t="s">
        <v>22</v>
      </c>
      <c r="G51" s="637"/>
      <c r="H51" s="637"/>
      <c r="I51" s="637"/>
      <c r="K51" t="s">
        <v>33</v>
      </c>
      <c r="L51" t="s">
        <v>34</v>
      </c>
    </row>
    <row r="52" spans="3:25" ht="18">
      <c r="F52" s="638" t="s">
        <v>23</v>
      </c>
      <c r="G52" s="638"/>
      <c r="H52" s="638"/>
      <c r="I52" s="29">
        <v>20</v>
      </c>
      <c r="K52">
        <v>1</v>
      </c>
      <c r="L52">
        <v>2</v>
      </c>
      <c r="O52" s="30"/>
    </row>
    <row r="53" spans="3:25" ht="15">
      <c r="F53" s="635" t="s">
        <v>24</v>
      </c>
      <c r="G53" s="635"/>
      <c r="H53" s="635"/>
      <c r="I53" s="29">
        <f>0.7*I52/10</f>
        <v>1.4</v>
      </c>
      <c r="K53">
        <v>3</v>
      </c>
      <c r="L53">
        <v>6</v>
      </c>
      <c r="M53" t="str">
        <f>IF((K53/L53)=INT(K53/L53), "good", "bad")</f>
        <v>bad</v>
      </c>
    </row>
    <row r="54" spans="3:25" ht="15">
      <c r="F54" s="635" t="s">
        <v>25</v>
      </c>
      <c r="G54" s="635"/>
      <c r="H54" s="635"/>
      <c r="I54" s="29">
        <v>2</v>
      </c>
      <c r="K54">
        <v>1</v>
      </c>
      <c r="L54">
        <v>2</v>
      </c>
      <c r="M54" t="str">
        <f>IF((K54/L54)=INT(K54/L54), "good", "bad")</f>
        <v>bad</v>
      </c>
    </row>
    <row r="55" spans="3:25" ht="15">
      <c r="F55" s="635" t="s">
        <v>26</v>
      </c>
      <c r="G55" s="635"/>
      <c r="H55" s="635"/>
      <c r="I55" s="29">
        <v>0</v>
      </c>
      <c r="K55">
        <v>1</v>
      </c>
      <c r="L55">
        <v>2</v>
      </c>
      <c r="M55" t="str">
        <f>IF((K55/L55)=INT(K55/L55), "good", "bad")</f>
        <v>bad</v>
      </c>
    </row>
    <row r="56" spans="3:25" ht="15">
      <c r="F56" s="635" t="s">
        <v>27</v>
      </c>
      <c r="G56" s="635"/>
      <c r="H56" s="635"/>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636" t="s">
        <v>1</v>
      </c>
      <c r="I61" s="636"/>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637" t="s">
        <v>22</v>
      </c>
      <c r="G79" s="637"/>
      <c r="H79" s="637"/>
      <c r="I79" s="637"/>
    </row>
    <row r="80" spans="6:18" ht="18">
      <c r="F80" s="638" t="s">
        <v>23</v>
      </c>
      <c r="G80" s="638"/>
      <c r="H80" s="638"/>
      <c r="I80" s="29">
        <v>20</v>
      </c>
      <c r="O80" s="30"/>
    </row>
    <row r="81" spans="3:25" ht="15">
      <c r="F81" s="635" t="s">
        <v>24</v>
      </c>
      <c r="G81" s="635"/>
      <c r="H81" s="635"/>
      <c r="I81" s="29">
        <f>0.7*I80/10</f>
        <v>1.4</v>
      </c>
    </row>
    <row r="82" spans="3:25" ht="15">
      <c r="F82" s="635" t="s">
        <v>25</v>
      </c>
      <c r="G82" s="635"/>
      <c r="H82" s="635"/>
      <c r="I82" s="29">
        <v>2</v>
      </c>
    </row>
    <row r="83" spans="3:25" ht="15">
      <c r="F83" s="635" t="s">
        <v>26</v>
      </c>
      <c r="G83" s="635"/>
      <c r="H83" s="635"/>
      <c r="I83" s="29">
        <v>0</v>
      </c>
    </row>
    <row r="84" spans="3:25" ht="15">
      <c r="F84" s="635" t="s">
        <v>27</v>
      </c>
      <c r="G84" s="635"/>
      <c r="H84" s="635"/>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636" t="s">
        <v>1</v>
      </c>
      <c r="I91" s="636"/>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637" t="s">
        <v>22</v>
      </c>
      <c r="G109" s="637"/>
      <c r="H109" s="637"/>
      <c r="I109" s="637"/>
    </row>
    <row r="110" spans="6:18" ht="18">
      <c r="F110" s="638" t="s">
        <v>23</v>
      </c>
      <c r="G110" s="638"/>
      <c r="H110" s="638"/>
      <c r="I110" s="29">
        <v>20</v>
      </c>
      <c r="O110" s="30"/>
    </row>
    <row r="111" spans="6:18" ht="15">
      <c r="F111" s="635" t="s">
        <v>24</v>
      </c>
      <c r="G111" s="635"/>
      <c r="H111" s="635"/>
      <c r="I111" s="29">
        <f>0.7*I110/10</f>
        <v>1.4</v>
      </c>
    </row>
    <row r="112" spans="6:18" ht="15">
      <c r="F112" s="635" t="s">
        <v>25</v>
      </c>
      <c r="G112" s="635"/>
      <c r="H112" s="635"/>
      <c r="I112" s="29">
        <v>2</v>
      </c>
    </row>
    <row r="113" spans="3:17" ht="15">
      <c r="F113" s="635" t="s">
        <v>26</v>
      </c>
      <c r="G113" s="635"/>
      <c r="H113" s="635"/>
      <c r="I113" s="29">
        <v>2</v>
      </c>
    </row>
    <row r="114" spans="3:17" ht="15">
      <c r="F114" s="635" t="s">
        <v>27</v>
      </c>
      <c r="G114" s="635"/>
      <c r="H114" s="635"/>
      <c r="I114" s="29">
        <v>2</v>
      </c>
    </row>
    <row r="115" spans="3:17" ht="15"/>
    <row r="119" spans="3:17" ht="15">
      <c r="C119" s="6" t="s">
        <v>38</v>
      </c>
      <c r="D119" s="6"/>
      <c r="E119" s="6"/>
      <c r="F119" s="8"/>
      <c r="G119" s="8"/>
      <c r="H119" s="8"/>
      <c r="I119" s="8"/>
      <c r="J119" s="9"/>
      <c r="K119" s="8"/>
      <c r="L119" s="8"/>
      <c r="M119" s="8"/>
      <c r="N119" s="9"/>
      <c r="O119" s="9"/>
      <c r="P119" s="8"/>
    </row>
    <row r="120" spans="3:17" ht="15">
      <c r="H120" s="636" t="s">
        <v>1</v>
      </c>
      <c r="I120" s="636"/>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637" t="s">
        <v>22</v>
      </c>
      <c r="G138" s="637"/>
      <c r="H138" s="637"/>
      <c r="I138" s="637"/>
    </row>
    <row r="139" spans="6:18" ht="18">
      <c r="F139" s="638" t="s">
        <v>23</v>
      </c>
      <c r="G139" s="638"/>
      <c r="H139" s="638"/>
      <c r="I139" s="29">
        <v>20</v>
      </c>
      <c r="O139" s="30"/>
    </row>
    <row r="140" spans="6:18" ht="15">
      <c r="F140" s="635" t="s">
        <v>24</v>
      </c>
      <c r="G140" s="635"/>
      <c r="H140" s="635"/>
      <c r="I140" s="29">
        <f>0.7*I139/10</f>
        <v>1.4</v>
      </c>
    </row>
    <row r="141" spans="6:18" ht="15">
      <c r="F141" s="635" t="s">
        <v>25</v>
      </c>
      <c r="G141" s="635"/>
      <c r="H141" s="635"/>
      <c r="I141" s="29">
        <v>2</v>
      </c>
    </row>
    <row r="142" spans="6:18" ht="15">
      <c r="F142" s="635" t="s">
        <v>26</v>
      </c>
      <c r="G142" s="635"/>
      <c r="H142" s="635"/>
      <c r="I142" s="29">
        <v>1</v>
      </c>
    </row>
    <row r="143" spans="6:18" ht="15">
      <c r="F143" s="635" t="s">
        <v>27</v>
      </c>
      <c r="G143" s="635"/>
      <c r="H143" s="635"/>
      <c r="I143" s="29">
        <v>1</v>
      </c>
    </row>
    <row r="144" spans="6:18" ht="15"/>
    <row r="149" spans="3:17" ht="15">
      <c r="C149" s="6" t="s">
        <v>39</v>
      </c>
      <c r="D149" s="6"/>
      <c r="E149" s="6"/>
      <c r="F149" s="8"/>
      <c r="G149" s="8"/>
      <c r="H149" s="8"/>
      <c r="I149" s="8"/>
      <c r="J149" s="9"/>
      <c r="K149" s="8"/>
      <c r="L149" s="8"/>
      <c r="M149" s="8"/>
      <c r="N149" s="9"/>
      <c r="O149" s="9"/>
      <c r="P149" s="8"/>
    </row>
    <row r="150" spans="3:17" ht="15">
      <c r="H150" s="636" t="s">
        <v>1</v>
      </c>
      <c r="I150" s="636"/>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637" t="s">
        <v>22</v>
      </c>
      <c r="G168" s="637"/>
      <c r="H168" s="637"/>
      <c r="I168" s="637"/>
    </row>
    <row r="169" spans="6:18" ht="18">
      <c r="F169" s="638" t="s">
        <v>23</v>
      </c>
      <c r="G169" s="638"/>
      <c r="H169" s="638"/>
      <c r="I169" s="29">
        <v>20</v>
      </c>
      <c r="O169" s="30"/>
    </row>
    <row r="170" spans="6:18" ht="15">
      <c r="F170" s="635" t="s">
        <v>24</v>
      </c>
      <c r="G170" s="635"/>
      <c r="H170" s="635"/>
      <c r="I170" s="29">
        <f>0.7*I169/10</f>
        <v>1.4</v>
      </c>
    </row>
    <row r="171" spans="6:18" ht="15">
      <c r="F171" s="635" t="s">
        <v>25</v>
      </c>
      <c r="G171" s="635"/>
      <c r="H171" s="635"/>
      <c r="I171" s="29">
        <v>2</v>
      </c>
    </row>
    <row r="172" spans="6:18" ht="15">
      <c r="F172" s="635" t="s">
        <v>26</v>
      </c>
      <c r="G172" s="635"/>
      <c r="H172" s="635"/>
      <c r="I172" s="29">
        <v>1</v>
      </c>
    </row>
    <row r="173" spans="6:18" ht="15">
      <c r="F173" s="635" t="s">
        <v>27</v>
      </c>
      <c r="G173" s="635"/>
      <c r="H173" s="635"/>
      <c r="I173" s="29">
        <v>1</v>
      </c>
    </row>
    <row r="174" spans="6:18" ht="15"/>
    <row r="178" spans="3:17" ht="15">
      <c r="C178" s="6" t="s">
        <v>40</v>
      </c>
      <c r="D178" s="6"/>
      <c r="E178" s="6"/>
      <c r="F178" s="8"/>
      <c r="G178" s="8"/>
      <c r="H178" s="8"/>
      <c r="I178" s="8"/>
      <c r="J178" s="9"/>
      <c r="K178" s="8"/>
      <c r="L178" s="8"/>
      <c r="M178" s="8"/>
      <c r="N178" s="9"/>
      <c r="O178" s="9"/>
      <c r="P178" s="8"/>
    </row>
    <row r="179" spans="3:17" ht="15">
      <c r="H179" s="636" t="s">
        <v>1</v>
      </c>
      <c r="I179" s="636"/>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637" t="s">
        <v>22</v>
      </c>
      <c r="G197" s="637"/>
      <c r="H197" s="637"/>
      <c r="I197" s="637"/>
    </row>
    <row r="198" spans="6:19" ht="18">
      <c r="F198" s="638" t="s">
        <v>23</v>
      </c>
      <c r="G198" s="638"/>
      <c r="H198" s="638"/>
      <c r="I198" s="29">
        <v>20</v>
      </c>
      <c r="O198" s="30"/>
    </row>
    <row r="199" spans="6:19" ht="15">
      <c r="F199" s="635" t="s">
        <v>24</v>
      </c>
      <c r="G199" s="635"/>
      <c r="H199" s="635"/>
      <c r="I199" s="29">
        <f>0.7*I198/10</f>
        <v>1.4</v>
      </c>
    </row>
    <row r="200" spans="6:19" ht="15">
      <c r="F200" s="635" t="s">
        <v>25</v>
      </c>
      <c r="G200" s="635"/>
      <c r="H200" s="635"/>
      <c r="I200" s="29">
        <v>2</v>
      </c>
    </row>
    <row r="201" spans="6:19" ht="15">
      <c r="F201" s="635" t="s">
        <v>26</v>
      </c>
      <c r="G201" s="635"/>
      <c r="H201" s="635"/>
      <c r="I201" s="29">
        <v>1</v>
      </c>
    </row>
    <row r="202" spans="6:19" ht="15">
      <c r="F202" s="635" t="s">
        <v>27</v>
      </c>
      <c r="G202" s="635"/>
      <c r="H202" s="635"/>
      <c r="I202" s="29">
        <v>1</v>
      </c>
    </row>
    <row r="203" spans="6:19" ht="15"/>
    <row r="205" spans="6:19" ht="15">
      <c r="P205" s="36" t="s">
        <v>41</v>
      </c>
      <c r="Q205" s="36"/>
      <c r="R205" s="37">
        <f>P19+P49+P77+P107+P136+P166+P195</f>
        <v>184.40923720000001</v>
      </c>
      <c r="S205" s="379"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636" t="s">
        <v>1</v>
      </c>
      <c r="I219" s="636"/>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637" t="s">
        <v>22</v>
      </c>
      <c r="G237" s="637"/>
      <c r="H237" s="637"/>
      <c r="I237" s="637"/>
    </row>
    <row r="238" spans="6:19" ht="18">
      <c r="F238" s="638" t="s">
        <v>23</v>
      </c>
      <c r="G238" s="638"/>
      <c r="H238" s="638"/>
      <c r="I238" s="29">
        <v>20</v>
      </c>
      <c r="O238" s="30"/>
      <c r="P238" s="41" t="s">
        <v>47</v>
      </c>
      <c r="Q238" s="41"/>
      <c r="R238" s="42">
        <f>P235</f>
        <v>643.01035679999995</v>
      </c>
      <c r="S238" s="380" t="s">
        <v>42</v>
      </c>
    </row>
    <row r="239" spans="6:19" ht="15">
      <c r="F239" s="635" t="s">
        <v>24</v>
      </c>
      <c r="G239" s="635"/>
      <c r="H239" s="635"/>
      <c r="I239" s="29">
        <f>0.7*I238/10</f>
        <v>1.4</v>
      </c>
    </row>
    <row r="240" spans="6:19" ht="15">
      <c r="F240" s="635" t="s">
        <v>25</v>
      </c>
      <c r="G240" s="635"/>
      <c r="H240" s="635"/>
      <c r="I240" s="29">
        <v>2</v>
      </c>
    </row>
    <row r="241" spans="3:20" ht="15">
      <c r="F241" s="635" t="s">
        <v>26</v>
      </c>
      <c r="G241" s="635"/>
      <c r="H241" s="635"/>
      <c r="I241" s="29">
        <v>20</v>
      </c>
    </row>
    <row r="242" spans="3:20" ht="15">
      <c r="F242" s="635" t="s">
        <v>27</v>
      </c>
      <c r="G242" s="635"/>
      <c r="H242" s="635"/>
      <c r="I242" s="29">
        <v>8</v>
      </c>
    </row>
    <row r="243" spans="3:20" ht="15"/>
    <row r="246" spans="3:20" ht="15">
      <c r="C246" s="6" t="s">
        <v>48</v>
      </c>
      <c r="D246" s="6"/>
      <c r="E246" s="6"/>
      <c r="F246" s="8"/>
      <c r="G246" s="8"/>
      <c r="H246" s="8"/>
      <c r="I246" s="8"/>
      <c r="J246" s="9"/>
      <c r="K246" s="8"/>
      <c r="L246" s="8"/>
      <c r="M246" s="8"/>
      <c r="N246" s="9"/>
      <c r="O246" s="9"/>
      <c r="P246" s="8"/>
    </row>
    <row r="247" spans="3:20" ht="15">
      <c r="H247" s="636" t="s">
        <v>1</v>
      </c>
      <c r="I247" s="636"/>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1">
        <f>SUM(P250:P253)</f>
        <v>1.4165759999999998</v>
      </c>
      <c r="Q254" s="49">
        <f>SUM(Q250:Q253)</f>
        <v>1.4165759999999998</v>
      </c>
      <c r="R254" s="47">
        <f>SUM(R250:R253)</f>
        <v>29.748096</v>
      </c>
      <c r="S254" s="49">
        <f>SUM(S250:S253)</f>
        <v>29.748096</v>
      </c>
      <c r="T254" s="382">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3">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4" t="s">
        <v>57</v>
      </c>
      <c r="O263" s="52"/>
      <c r="P263" s="28">
        <f>P254+P261</f>
        <v>2.5892350909090904</v>
      </c>
      <c r="Q263" s="28">
        <f>Q254+Q261</f>
        <v>2.1983487272727271</v>
      </c>
      <c r="R263" s="53">
        <f>R254+R261</f>
        <v>107.143596</v>
      </c>
      <c r="S263" s="53">
        <f>S254+S261</f>
        <v>81.345095999999998</v>
      </c>
    </row>
    <row r="265" spans="6:19" ht="15">
      <c r="F265" s="637" t="s">
        <v>22</v>
      </c>
      <c r="G265" s="637"/>
      <c r="H265" s="637"/>
      <c r="I265" s="637"/>
    </row>
    <row r="266" spans="6:19" ht="18">
      <c r="F266" s="638" t="s">
        <v>23</v>
      </c>
      <c r="G266" s="638"/>
      <c r="H266" s="638"/>
      <c r="I266" s="29">
        <v>20</v>
      </c>
      <c r="O266" s="30"/>
    </row>
    <row r="267" spans="6:19" ht="15">
      <c r="F267" s="635" t="s">
        <v>24</v>
      </c>
      <c r="G267" s="635"/>
      <c r="H267" s="635"/>
      <c r="I267" s="29">
        <f>0.7*I266/10</f>
        <v>1.4</v>
      </c>
    </row>
    <row r="268" spans="6:19" ht="15">
      <c r="F268" s="635" t="s">
        <v>25</v>
      </c>
      <c r="G268" s="635"/>
      <c r="H268" s="635"/>
      <c r="I268" s="29">
        <v>2</v>
      </c>
    </row>
    <row r="269" spans="6:19" ht="15">
      <c r="F269" s="635" t="s">
        <v>63</v>
      </c>
      <c r="G269" s="635"/>
      <c r="H269" s="635"/>
      <c r="I269" s="70">
        <v>6</v>
      </c>
    </row>
    <row r="270" spans="6:19" ht="15">
      <c r="F270" s="635" t="s">
        <v>71</v>
      </c>
      <c r="G270" s="635"/>
      <c r="H270" s="635"/>
      <c r="I270" s="70">
        <v>4</v>
      </c>
    </row>
    <row r="275" spans="3:20" ht="15">
      <c r="C275" s="6">
        <v>23149</v>
      </c>
      <c r="D275" s="6"/>
      <c r="E275" s="6"/>
      <c r="F275" s="8"/>
      <c r="G275" s="8"/>
      <c r="H275" s="8"/>
      <c r="I275" s="8"/>
      <c r="J275" s="9"/>
      <c r="K275" s="8"/>
      <c r="L275" s="8"/>
      <c r="M275" s="8"/>
      <c r="N275" s="9"/>
      <c r="O275" s="9"/>
      <c r="P275" s="8"/>
    </row>
    <row r="276" spans="3:20" ht="15">
      <c r="H276" s="636" t="s">
        <v>1</v>
      </c>
      <c r="I276" s="636"/>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2">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3">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4" t="s">
        <v>57</v>
      </c>
      <c r="O292" s="52"/>
      <c r="P292" s="28">
        <f>P283+P290</f>
        <v>3.5108350909090911</v>
      </c>
      <c r="Q292" s="28">
        <f>Q283+Q290</f>
        <v>3.1199487272727273</v>
      </c>
      <c r="R292" s="53">
        <f>R283+R290</f>
        <v>125.13325999999999</v>
      </c>
      <c r="S292" s="53">
        <f>S283+S290</f>
        <v>99.334759999999989</v>
      </c>
    </row>
    <row r="294" spans="3:21" ht="15">
      <c r="F294" s="637" t="s">
        <v>22</v>
      </c>
      <c r="G294" s="637"/>
      <c r="H294" s="637"/>
      <c r="I294" s="637"/>
    </row>
    <row r="295" spans="3:21" ht="18">
      <c r="F295" s="638" t="s">
        <v>23</v>
      </c>
      <c r="G295" s="638"/>
      <c r="H295" s="638"/>
      <c r="I295" s="29">
        <v>20</v>
      </c>
      <c r="O295" s="30"/>
      <c r="P295">
        <f>1030/60</f>
        <v>17.166666666666668</v>
      </c>
      <c r="Q295">
        <f>12+619/60</f>
        <v>22.316666666666666</v>
      </c>
      <c r="R295">
        <f>17.5+22.32-24</f>
        <v>15.82</v>
      </c>
    </row>
    <row r="296" spans="3:21" ht="15">
      <c r="F296" s="635" t="s">
        <v>24</v>
      </c>
      <c r="G296" s="635"/>
      <c r="H296" s="635"/>
      <c r="I296" s="29">
        <f>0.7*I295/10</f>
        <v>1.4</v>
      </c>
      <c r="N296" s="3">
        <f>1.6*3+23.4+143</f>
        <v>171.2</v>
      </c>
    </row>
    <row r="297" spans="3:21" ht="15">
      <c r="F297" s="635" t="s">
        <v>25</v>
      </c>
      <c r="G297" s="635"/>
      <c r="H297" s="635"/>
      <c r="I297" s="29">
        <v>2</v>
      </c>
      <c r="N297" s="3">
        <f>1.6*3+23.4</f>
        <v>28.2</v>
      </c>
      <c r="P297">
        <f>12*13</f>
        <v>156</v>
      </c>
      <c r="Q297">
        <f>15.2+1.6+156</f>
        <v>172.8</v>
      </c>
    </row>
    <row r="298" spans="3:21" ht="15">
      <c r="F298" s="635" t="s">
        <v>63</v>
      </c>
      <c r="G298" s="635"/>
      <c r="H298" s="635"/>
      <c r="I298" s="70">
        <v>6</v>
      </c>
      <c r="P298">
        <f>12-(2+19.5/24)</f>
        <v>9.1875</v>
      </c>
    </row>
    <row r="299" spans="3:21" ht="15">
      <c r="F299" s="635" t="s">
        <v>71</v>
      </c>
      <c r="G299" s="635"/>
      <c r="H299" s="635"/>
      <c r="I299" s="70">
        <v>4</v>
      </c>
    </row>
    <row r="301" spans="3:21" ht="15">
      <c r="C301" s="6">
        <v>23212</v>
      </c>
      <c r="D301" s="6"/>
      <c r="E301" s="6"/>
      <c r="F301" s="8"/>
      <c r="G301" s="8"/>
      <c r="H301" s="8"/>
      <c r="I301" s="8"/>
      <c r="J301" s="9"/>
      <c r="K301" s="8"/>
      <c r="L301" s="8"/>
      <c r="M301" s="8"/>
      <c r="N301" s="9"/>
      <c r="O301" s="9"/>
      <c r="P301" s="8"/>
      <c r="Q301">
        <f>11*13</f>
        <v>143</v>
      </c>
    </row>
    <row r="302" spans="3:21" ht="15">
      <c r="H302" s="636" t="s">
        <v>1</v>
      </c>
      <c r="I302" s="636"/>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2">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3">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4" t="s">
        <v>57</v>
      </c>
      <c r="O318" s="52"/>
      <c r="P318" s="28">
        <f>P309+P316</f>
        <v>3.5108350909090911</v>
      </c>
      <c r="Q318" s="28">
        <f>Q309+Q316</f>
        <v>3.1199487272727273</v>
      </c>
      <c r="R318" s="53">
        <f>R309+R316</f>
        <v>108.57118</v>
      </c>
      <c r="S318" s="53">
        <f>S309+S316</f>
        <v>82.772680000000008</v>
      </c>
    </row>
    <row r="320" spans="6:21" ht="15">
      <c r="F320" s="637" t="s">
        <v>22</v>
      </c>
      <c r="G320" s="637"/>
      <c r="H320" s="637"/>
      <c r="I320" s="637"/>
    </row>
    <row r="321" spans="3:21" ht="18">
      <c r="F321" s="638" t="s">
        <v>23</v>
      </c>
      <c r="G321" s="638"/>
      <c r="H321" s="638"/>
      <c r="I321" s="29">
        <v>20</v>
      </c>
      <c r="O321" s="30"/>
    </row>
    <row r="322" spans="3:21" ht="15">
      <c r="F322" s="635" t="s">
        <v>24</v>
      </c>
      <c r="G322" s="635"/>
      <c r="H322" s="635"/>
      <c r="I322" s="29">
        <f>0.7*I321/10</f>
        <v>1.4</v>
      </c>
    </row>
    <row r="323" spans="3:21" ht="15">
      <c r="F323" s="635" t="s">
        <v>25</v>
      </c>
      <c r="G323" s="635"/>
      <c r="H323" s="635"/>
      <c r="I323" s="29">
        <v>2</v>
      </c>
    </row>
    <row r="324" spans="3:21" ht="15">
      <c r="F324" s="635" t="s">
        <v>63</v>
      </c>
      <c r="G324" s="635"/>
      <c r="H324" s="635"/>
      <c r="I324" s="70">
        <v>6</v>
      </c>
    </row>
    <row r="325" spans="3:21" ht="15">
      <c r="F325" s="635" t="s">
        <v>71</v>
      </c>
      <c r="G325" s="635"/>
      <c r="H325" s="635"/>
      <c r="I325" s="70">
        <v>4</v>
      </c>
    </row>
    <row r="327" spans="3:21" ht="15">
      <c r="C327" s="6">
        <v>23233</v>
      </c>
      <c r="D327" s="6"/>
      <c r="E327" s="6"/>
      <c r="F327" s="8"/>
      <c r="G327" s="8"/>
      <c r="H327" s="8"/>
      <c r="I327" s="8"/>
      <c r="J327" s="9"/>
      <c r="K327" s="8"/>
      <c r="L327" s="8"/>
      <c r="M327" s="8"/>
      <c r="N327" s="9"/>
      <c r="O327" s="9"/>
      <c r="P327" s="8"/>
      <c r="Q327">
        <f>11*13</f>
        <v>143</v>
      </c>
    </row>
    <row r="328" spans="3:21" ht="15">
      <c r="H328" s="636" t="s">
        <v>1</v>
      </c>
      <c r="I328" s="636"/>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2">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3">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4" t="s">
        <v>57</v>
      </c>
      <c r="O344" s="52"/>
      <c r="P344" s="28">
        <f>P335+P342</f>
        <v>3.5108350909090911</v>
      </c>
      <c r="Q344" s="28">
        <f>Q335+Q342</f>
        <v>3.1199487272727273</v>
      </c>
      <c r="R344" s="53">
        <f>R335+R342</f>
        <v>103.407708</v>
      </c>
      <c r="S344" s="53">
        <f>S335+S342</f>
        <v>77.609207999999995</v>
      </c>
    </row>
    <row r="346" spans="6:19" ht="15">
      <c r="F346" s="637" t="s">
        <v>22</v>
      </c>
      <c r="G346" s="637"/>
      <c r="H346" s="637"/>
      <c r="I346" s="637"/>
    </row>
    <row r="347" spans="6:19" ht="18">
      <c r="F347" s="638" t="s">
        <v>23</v>
      </c>
      <c r="G347" s="638"/>
      <c r="H347" s="638"/>
      <c r="I347" s="29">
        <v>20</v>
      </c>
      <c r="N347" s="3">
        <f>13*5</f>
        <v>65</v>
      </c>
      <c r="O347" s="30"/>
      <c r="P347">
        <f>26+1.6+78</f>
        <v>105.6</v>
      </c>
    </row>
    <row r="348" spans="6:19" ht="15">
      <c r="F348" s="635" t="s">
        <v>24</v>
      </c>
      <c r="G348" s="635"/>
      <c r="H348" s="635"/>
      <c r="I348" s="29">
        <f>0.7*I347/10</f>
        <v>1.4</v>
      </c>
      <c r="N348" s="3">
        <f>13*6</f>
        <v>78</v>
      </c>
      <c r="P348">
        <f>13*5</f>
        <v>65</v>
      </c>
    </row>
    <row r="349" spans="6:19" ht="15">
      <c r="F349" s="635" t="s">
        <v>25</v>
      </c>
      <c r="G349" s="635"/>
      <c r="H349" s="635"/>
      <c r="I349" s="29">
        <v>2</v>
      </c>
    </row>
    <row r="350" spans="6:19" ht="15">
      <c r="F350" s="635" t="s">
        <v>63</v>
      </c>
      <c r="G350" s="635"/>
      <c r="H350" s="635"/>
      <c r="I350" s="70">
        <v>6</v>
      </c>
    </row>
    <row r="351" spans="6:19" ht="15">
      <c r="F351" s="635" t="s">
        <v>71</v>
      </c>
      <c r="G351" s="635"/>
      <c r="H351" s="635"/>
      <c r="I351" s="70">
        <v>4</v>
      </c>
    </row>
    <row r="354" spans="3:21" ht="15">
      <c r="C354" s="6">
        <v>23245</v>
      </c>
      <c r="D354" s="6"/>
      <c r="E354" s="6"/>
      <c r="F354" s="8"/>
      <c r="G354" s="8"/>
      <c r="H354" s="8"/>
      <c r="I354" s="8"/>
      <c r="J354" s="9"/>
      <c r="K354" s="8"/>
      <c r="L354" s="8"/>
      <c r="M354" s="8"/>
      <c r="N354" s="9"/>
      <c r="O354" s="9"/>
      <c r="P354" s="8"/>
      <c r="Q354">
        <f>11*13</f>
        <v>143</v>
      </c>
    </row>
    <row r="355" spans="3:21" ht="15">
      <c r="H355" s="636" t="s">
        <v>1</v>
      </c>
      <c r="I355" s="636"/>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2">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3">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4" t="s">
        <v>57</v>
      </c>
      <c r="O371" s="52"/>
      <c r="P371" s="28">
        <f>P362+P369</f>
        <v>3.5108350909090911</v>
      </c>
      <c r="Q371" s="28">
        <f>Q362+Q369</f>
        <v>3.1199487272727273</v>
      </c>
      <c r="R371" s="53">
        <f>R362+R369</f>
        <v>99.608171999999996</v>
      </c>
      <c r="S371" s="53">
        <f>S362+S369</f>
        <v>73.809672000000006</v>
      </c>
    </row>
    <row r="373" spans="3:21" ht="15">
      <c r="F373" s="637" t="s">
        <v>22</v>
      </c>
      <c r="G373" s="637"/>
      <c r="H373" s="637"/>
      <c r="I373" s="637"/>
    </row>
    <row r="374" spans="3:21" ht="18">
      <c r="F374" s="638" t="s">
        <v>23</v>
      </c>
      <c r="G374" s="638"/>
      <c r="H374" s="638"/>
      <c r="I374" s="29">
        <v>20</v>
      </c>
      <c r="N374" s="3">
        <f>13*5</f>
        <v>65</v>
      </c>
      <c r="O374" s="30"/>
      <c r="P374">
        <f>26+1.6+78</f>
        <v>105.6</v>
      </c>
    </row>
    <row r="375" spans="3:21" ht="15">
      <c r="F375" s="635" t="s">
        <v>24</v>
      </c>
      <c r="G375" s="635"/>
      <c r="H375" s="635"/>
      <c r="I375" s="29">
        <f>0.7*I374/10</f>
        <v>1.4</v>
      </c>
      <c r="N375" s="3">
        <f>13*6</f>
        <v>78</v>
      </c>
      <c r="P375">
        <f>13*5</f>
        <v>65</v>
      </c>
    </row>
    <row r="376" spans="3:21" ht="15">
      <c r="F376" s="635" t="s">
        <v>25</v>
      </c>
      <c r="G376" s="635"/>
      <c r="H376" s="635"/>
      <c r="I376" s="29">
        <v>2</v>
      </c>
    </row>
    <row r="377" spans="3:21" ht="15">
      <c r="F377" s="635" t="s">
        <v>63</v>
      </c>
      <c r="G377" s="635"/>
      <c r="H377" s="635"/>
      <c r="I377" s="70">
        <v>6</v>
      </c>
    </row>
    <row r="378" spans="3:21" ht="15">
      <c r="F378" s="635" t="s">
        <v>71</v>
      </c>
      <c r="G378" s="635"/>
      <c r="H378" s="635"/>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636" t="s">
        <v>1</v>
      </c>
      <c r="I383" s="636"/>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2">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3">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4" t="s">
        <v>57</v>
      </c>
      <c r="O399" s="52"/>
      <c r="P399" s="28">
        <f>P390+P397</f>
        <v>3.5108350909090911</v>
      </c>
      <c r="Q399" s="28">
        <f>Q390+Q397</f>
        <v>3.1199487272727273</v>
      </c>
      <c r="R399" s="53">
        <f>R390+R397</f>
        <v>104.576796</v>
      </c>
      <c r="S399" s="53">
        <f>S390+S397</f>
        <v>78.778295999999997</v>
      </c>
    </row>
    <row r="401" spans="3:19" ht="15">
      <c r="F401" s="637" t="s">
        <v>22</v>
      </c>
      <c r="G401" s="637"/>
      <c r="H401" s="637"/>
      <c r="I401" s="637"/>
    </row>
    <row r="402" spans="3:19" ht="18">
      <c r="F402" s="638" t="s">
        <v>23</v>
      </c>
      <c r="G402" s="638"/>
      <c r="H402" s="638"/>
      <c r="I402" s="29">
        <v>20</v>
      </c>
      <c r="O402" s="30"/>
    </row>
    <row r="403" spans="3:19" ht="15">
      <c r="F403" s="635" t="s">
        <v>24</v>
      </c>
      <c r="G403" s="635"/>
      <c r="H403" s="635"/>
      <c r="I403" s="29">
        <f>0.7*I402/10</f>
        <v>1.4</v>
      </c>
    </row>
    <row r="404" spans="3:19" ht="15">
      <c r="F404" s="635" t="s">
        <v>25</v>
      </c>
      <c r="G404" s="635"/>
      <c r="H404" s="635"/>
      <c r="I404" s="29">
        <v>2</v>
      </c>
    </row>
    <row r="405" spans="3:19" ht="15">
      <c r="F405" s="635" t="s">
        <v>63</v>
      </c>
      <c r="G405" s="635"/>
      <c r="H405" s="635"/>
      <c r="I405" s="70">
        <v>6</v>
      </c>
    </row>
    <row r="406" spans="3:19" ht="15">
      <c r="F406" s="635" t="s">
        <v>71</v>
      </c>
      <c r="G406" s="635"/>
      <c r="H406" s="635"/>
      <c r="I406" s="70">
        <v>4</v>
      </c>
    </row>
    <row r="413" spans="3:19" ht="15">
      <c r="C413" s="6">
        <v>23275</v>
      </c>
      <c r="D413" s="6"/>
      <c r="E413" s="6"/>
      <c r="F413" s="8"/>
      <c r="G413" s="8"/>
      <c r="H413" s="8"/>
      <c r="I413" s="8"/>
      <c r="J413" s="9"/>
      <c r="K413" s="8"/>
      <c r="L413" s="8"/>
      <c r="M413" s="8"/>
      <c r="N413" s="9"/>
      <c r="O413" s="9"/>
      <c r="P413" s="8"/>
      <c r="Q413">
        <f>11*13</f>
        <v>143</v>
      </c>
    </row>
    <row r="414" spans="3:19" ht="15">
      <c r="H414" s="636" t="s">
        <v>1</v>
      </c>
      <c r="I414" s="636"/>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2">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3">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4" t="s">
        <v>57</v>
      </c>
      <c r="O430" s="52"/>
      <c r="P430" s="28">
        <f>P421+P428</f>
        <v>3.5108350909090911</v>
      </c>
      <c r="Q430" s="28">
        <f>Q421+Q428</f>
        <v>3.1199487272727273</v>
      </c>
      <c r="R430" s="53">
        <f>R421+R428</f>
        <v>126.497196</v>
      </c>
      <c r="S430" s="53">
        <f>S421+S428</f>
        <v>100.698696</v>
      </c>
    </row>
    <row r="432" spans="6:21" ht="15">
      <c r="F432" s="637" t="s">
        <v>22</v>
      </c>
      <c r="G432" s="637"/>
      <c r="H432" s="637"/>
      <c r="I432" s="637"/>
    </row>
    <row r="433" spans="3:21" ht="18">
      <c r="F433" s="638" t="s">
        <v>23</v>
      </c>
      <c r="G433" s="638"/>
      <c r="H433" s="638"/>
      <c r="I433" s="29">
        <v>20</v>
      </c>
      <c r="O433" s="30"/>
    </row>
    <row r="434" spans="3:21" ht="15">
      <c r="F434" s="635" t="s">
        <v>24</v>
      </c>
      <c r="G434" s="635"/>
      <c r="H434" s="635"/>
      <c r="I434" s="29">
        <f>0.7*I433/10</f>
        <v>1.4</v>
      </c>
    </row>
    <row r="435" spans="3:21" ht="15">
      <c r="F435" s="635" t="s">
        <v>25</v>
      </c>
      <c r="G435" s="635"/>
      <c r="H435" s="635"/>
      <c r="I435" s="29">
        <v>2</v>
      </c>
    </row>
    <row r="436" spans="3:21" ht="15">
      <c r="F436" s="635" t="s">
        <v>63</v>
      </c>
      <c r="G436" s="635"/>
      <c r="H436" s="635"/>
      <c r="I436" s="70">
        <v>6</v>
      </c>
    </row>
    <row r="437" spans="3:21" ht="15">
      <c r="F437" s="635" t="s">
        <v>71</v>
      </c>
      <c r="G437" s="635"/>
      <c r="H437" s="635"/>
      <c r="I437" s="70">
        <v>4</v>
      </c>
    </row>
    <row r="442" spans="3:21" ht="15">
      <c r="C442" s="6">
        <v>23296</v>
      </c>
      <c r="D442" s="6"/>
      <c r="E442" s="6"/>
      <c r="F442" s="8"/>
      <c r="G442" s="8"/>
      <c r="H442" s="8"/>
      <c r="I442" s="8"/>
      <c r="J442" s="9"/>
      <c r="K442" s="8"/>
      <c r="L442" s="8"/>
      <c r="M442" s="8"/>
      <c r="N442" s="9"/>
      <c r="O442" s="9"/>
      <c r="P442" s="8"/>
      <c r="Q442">
        <f>11*13</f>
        <v>143</v>
      </c>
    </row>
    <row r="443" spans="3:21" ht="15">
      <c r="H443" s="636" t="s">
        <v>1</v>
      </c>
      <c r="I443" s="636"/>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2">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3">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4" t="s">
        <v>57</v>
      </c>
      <c r="O459" s="52"/>
      <c r="P459" s="28">
        <f>P450+P457</f>
        <v>3.5108350909090911</v>
      </c>
      <c r="Q459" s="28">
        <f>Q450+Q457</f>
        <v>3.1199487272727273</v>
      </c>
      <c r="R459" s="53">
        <f>R450+R457</f>
        <v>126.30234799999999</v>
      </c>
      <c r="S459" s="53">
        <f>S450+S457</f>
        <v>100.503848</v>
      </c>
    </row>
    <row r="461" spans="6:20" ht="15">
      <c r="F461" s="637" t="s">
        <v>22</v>
      </c>
      <c r="G461" s="637"/>
      <c r="H461" s="637"/>
      <c r="I461" s="637"/>
    </row>
    <row r="462" spans="6:20" ht="18">
      <c r="F462" s="638" t="s">
        <v>23</v>
      </c>
      <c r="G462" s="638"/>
      <c r="H462" s="638"/>
      <c r="I462" s="29">
        <v>20</v>
      </c>
      <c r="O462" s="30"/>
    </row>
    <row r="463" spans="6:20" ht="15">
      <c r="F463" s="635" t="s">
        <v>24</v>
      </c>
      <c r="G463" s="635"/>
      <c r="H463" s="635"/>
      <c r="I463" s="29">
        <f>0.7*I462/10</f>
        <v>1.4</v>
      </c>
    </row>
    <row r="464" spans="6:20" ht="15">
      <c r="F464" s="635" t="s">
        <v>25</v>
      </c>
      <c r="G464" s="635"/>
      <c r="H464" s="635"/>
      <c r="I464" s="29">
        <v>2</v>
      </c>
    </row>
    <row r="465" spans="3:21" ht="15">
      <c r="F465" s="635" t="s">
        <v>63</v>
      </c>
      <c r="G465" s="635"/>
      <c r="H465" s="635"/>
      <c r="I465" s="70">
        <v>6</v>
      </c>
    </row>
    <row r="466" spans="3:21" ht="15">
      <c r="F466" s="635" t="s">
        <v>71</v>
      </c>
      <c r="G466" s="635"/>
      <c r="H466" s="635"/>
      <c r="I466" s="70">
        <v>4</v>
      </c>
    </row>
    <row r="470" spans="3:21" ht="15">
      <c r="C470" s="6">
        <v>23317</v>
      </c>
      <c r="D470" s="6"/>
      <c r="E470" s="6"/>
      <c r="F470" s="8"/>
      <c r="G470" s="8"/>
      <c r="H470" s="8"/>
      <c r="I470" s="8"/>
      <c r="J470" s="9"/>
      <c r="K470" s="8"/>
      <c r="L470" s="8"/>
      <c r="M470" s="8"/>
      <c r="N470" s="9"/>
      <c r="O470" s="9"/>
      <c r="P470" s="8"/>
      <c r="Q470">
        <f>11*13</f>
        <v>143</v>
      </c>
    </row>
    <row r="471" spans="3:21" ht="15">
      <c r="H471" s="636" t="s">
        <v>1</v>
      </c>
      <c r="I471" s="636"/>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2">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3">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4" t="s">
        <v>57</v>
      </c>
      <c r="O487" s="52"/>
      <c r="P487" s="28">
        <f>P478+P485</f>
        <v>3.5108350909090911</v>
      </c>
      <c r="Q487" s="28">
        <f>Q478+Q485</f>
        <v>3.1199487272727273</v>
      </c>
      <c r="R487" s="53">
        <f>R478+R485</f>
        <v>127.43246640000001</v>
      </c>
      <c r="S487" s="53">
        <f>S478+S485</f>
        <v>101.63396640000001</v>
      </c>
    </row>
    <row r="489" spans="6:19" ht="15">
      <c r="F489" s="637" t="s">
        <v>22</v>
      </c>
      <c r="G489" s="637"/>
      <c r="H489" s="637"/>
      <c r="I489" s="637"/>
    </row>
    <row r="490" spans="6:19" ht="18">
      <c r="F490" s="638" t="s">
        <v>23</v>
      </c>
      <c r="G490" s="638"/>
      <c r="H490" s="638"/>
      <c r="I490" s="29">
        <v>20</v>
      </c>
      <c r="O490" s="30"/>
    </row>
    <row r="491" spans="6:19" ht="15">
      <c r="F491" s="635" t="s">
        <v>24</v>
      </c>
      <c r="G491" s="635"/>
      <c r="H491" s="635"/>
      <c r="I491" s="29">
        <f>0.7*I490/10</f>
        <v>1.4</v>
      </c>
    </row>
    <row r="492" spans="6:19" ht="15">
      <c r="F492" s="635" t="s">
        <v>25</v>
      </c>
      <c r="G492" s="635"/>
      <c r="H492" s="635"/>
      <c r="I492" s="29">
        <v>2</v>
      </c>
    </row>
    <row r="493" spans="6:19" ht="15">
      <c r="F493" s="635" t="s">
        <v>63</v>
      </c>
      <c r="G493" s="635"/>
      <c r="H493" s="635"/>
      <c r="I493" s="70">
        <v>6</v>
      </c>
    </row>
    <row r="494" spans="6:19" ht="15">
      <c r="F494" s="635" t="s">
        <v>71</v>
      </c>
      <c r="G494" s="635"/>
      <c r="H494" s="635"/>
      <c r="I494" s="70">
        <v>4</v>
      </c>
    </row>
    <row r="498" spans="3:21" ht="15">
      <c r="C498" s="6">
        <v>23338</v>
      </c>
      <c r="D498" s="6"/>
      <c r="E498" s="6"/>
      <c r="F498" s="8"/>
      <c r="G498" s="8"/>
      <c r="H498" s="8"/>
      <c r="I498" s="8"/>
      <c r="J498" s="9"/>
      <c r="K498" s="8"/>
      <c r="L498" s="8"/>
      <c r="M498" s="8"/>
      <c r="N498" s="9"/>
      <c r="O498" s="9"/>
      <c r="P498" s="8"/>
      <c r="Q498">
        <f>11*13</f>
        <v>143</v>
      </c>
    </row>
    <row r="499" spans="3:21" ht="15">
      <c r="H499" s="636" t="s">
        <v>1</v>
      </c>
      <c r="I499" s="636"/>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2">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3">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4" t="s">
        <v>57</v>
      </c>
      <c r="O515" s="52"/>
      <c r="P515" s="28">
        <f>P506+P513</f>
        <v>3.5108350909090911</v>
      </c>
      <c r="Q515" s="28">
        <f>Q506+Q513</f>
        <v>3.1199487272727273</v>
      </c>
      <c r="R515" s="53">
        <f>R506+R513</f>
        <v>126.497196</v>
      </c>
      <c r="S515" s="53">
        <f>S506+S513</f>
        <v>100.698696</v>
      </c>
    </row>
    <row r="517" spans="3:19" ht="15">
      <c r="F517" s="637" t="s">
        <v>22</v>
      </c>
      <c r="G517" s="637"/>
      <c r="H517" s="637"/>
      <c r="I517" s="637"/>
    </row>
    <row r="518" spans="3:19" ht="18">
      <c r="F518" s="638" t="s">
        <v>23</v>
      </c>
      <c r="G518" s="638"/>
      <c r="H518" s="638"/>
      <c r="I518" s="29">
        <v>20</v>
      </c>
      <c r="O518" s="30"/>
    </row>
    <row r="519" spans="3:19" ht="15">
      <c r="F519" s="635" t="s">
        <v>24</v>
      </c>
      <c r="G519" s="635"/>
      <c r="H519" s="635"/>
      <c r="I519" s="29">
        <f>0.7*I518/10</f>
        <v>1.4</v>
      </c>
    </row>
    <row r="520" spans="3:19" ht="15">
      <c r="F520" s="635" t="s">
        <v>25</v>
      </c>
      <c r="G520" s="635"/>
      <c r="H520" s="635"/>
      <c r="I520" s="29">
        <v>2</v>
      </c>
    </row>
    <row r="521" spans="3:19" ht="15">
      <c r="F521" s="635" t="s">
        <v>63</v>
      </c>
      <c r="G521" s="635"/>
      <c r="H521" s="635"/>
      <c r="I521" s="70">
        <v>6</v>
      </c>
    </row>
    <row r="522" spans="3:19" ht="15">
      <c r="F522" s="635" t="s">
        <v>71</v>
      </c>
      <c r="G522" s="635"/>
      <c r="H522" s="635"/>
      <c r="I522" s="70">
        <v>4</v>
      </c>
    </row>
    <row r="527" spans="3:19" ht="15">
      <c r="C527" s="6">
        <v>24015</v>
      </c>
      <c r="D527" s="6"/>
      <c r="E527" s="6"/>
      <c r="F527" s="8"/>
      <c r="G527" s="8"/>
      <c r="H527" s="8"/>
      <c r="I527" s="8"/>
      <c r="J527" s="9"/>
      <c r="K527" s="8"/>
      <c r="L527" s="8"/>
      <c r="M527" s="8"/>
      <c r="N527" s="9"/>
      <c r="O527" s="9"/>
      <c r="P527" s="8"/>
      <c r="Q527">
        <f>11*13</f>
        <v>143</v>
      </c>
    </row>
    <row r="528" spans="3:19" ht="15">
      <c r="H528" s="636" t="s">
        <v>1</v>
      </c>
      <c r="I528" s="636"/>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2">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3">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4" t="s">
        <v>57</v>
      </c>
      <c r="O544" s="52"/>
      <c r="P544" s="28">
        <f>P535+P542</f>
        <v>3.5108350909090911</v>
      </c>
      <c r="Q544" s="28">
        <f>Q535+Q542</f>
        <v>3.1199487272727273</v>
      </c>
      <c r="R544" s="53">
        <f>R535+R542</f>
        <v>77.395499999999998</v>
      </c>
      <c r="S544" s="53">
        <f>S535+S542</f>
        <v>51.597000000000001</v>
      </c>
    </row>
    <row r="546" spans="3:19" ht="15">
      <c r="F546" s="637" t="s">
        <v>22</v>
      </c>
      <c r="G546" s="637"/>
      <c r="H546" s="637"/>
      <c r="I546" s="637"/>
    </row>
    <row r="547" spans="3:19" ht="18">
      <c r="F547" s="638" t="s">
        <v>23</v>
      </c>
      <c r="G547" s="638"/>
      <c r="H547" s="638"/>
      <c r="I547" s="29">
        <v>20</v>
      </c>
      <c r="O547" s="30"/>
    </row>
    <row r="548" spans="3:19" ht="15">
      <c r="F548" s="635" t="s">
        <v>24</v>
      </c>
      <c r="G548" s="635"/>
      <c r="H548" s="635"/>
      <c r="I548" s="29">
        <f>0.7*I547/10</f>
        <v>1.4</v>
      </c>
    </row>
    <row r="549" spans="3:19" ht="15">
      <c r="F549" s="635" t="s">
        <v>25</v>
      </c>
      <c r="G549" s="635"/>
      <c r="H549" s="635"/>
      <c r="I549" s="29">
        <v>2</v>
      </c>
    </row>
    <row r="550" spans="3:19" ht="15">
      <c r="F550" s="635" t="s">
        <v>63</v>
      </c>
      <c r="G550" s="635"/>
      <c r="H550" s="635"/>
      <c r="I550" s="70">
        <v>6</v>
      </c>
    </row>
    <row r="551" spans="3:19" ht="15">
      <c r="F551" s="635" t="s">
        <v>71</v>
      </c>
      <c r="G551" s="635"/>
      <c r="H551" s="635"/>
      <c r="I551" s="70">
        <v>4</v>
      </c>
    </row>
    <row r="557" spans="3:19" ht="15">
      <c r="C557" s="6">
        <v>24036</v>
      </c>
      <c r="D557" s="6"/>
      <c r="E557" s="6"/>
      <c r="F557" s="8"/>
      <c r="G557" s="8"/>
      <c r="H557" s="8"/>
      <c r="I557" s="8"/>
      <c r="J557" s="9"/>
      <c r="K557" s="8"/>
      <c r="L557" s="8"/>
      <c r="M557" s="8"/>
      <c r="N557" s="9"/>
      <c r="O557" s="9"/>
      <c r="P557" s="8"/>
      <c r="Q557">
        <f>11*13</f>
        <v>143</v>
      </c>
    </row>
    <row r="558" spans="3:19" ht="15">
      <c r="H558" s="636" t="s">
        <v>1</v>
      </c>
      <c r="I558" s="636"/>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2">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3">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4" t="s">
        <v>57</v>
      </c>
      <c r="O574" s="52"/>
      <c r="P574" s="28">
        <f>P565+P572</f>
        <v>3.5108350909090911</v>
      </c>
      <c r="Q574" s="28">
        <f>Q565+Q572</f>
        <v>3.1199487272727273</v>
      </c>
      <c r="R574" s="53">
        <f>R565+R572</f>
        <v>127.17916399999999</v>
      </c>
      <c r="S574" s="53">
        <f>S565+S572</f>
        <v>101.380664</v>
      </c>
    </row>
    <row r="576" spans="6:21" ht="15">
      <c r="F576" s="637" t="s">
        <v>22</v>
      </c>
      <c r="G576" s="637"/>
      <c r="H576" s="637"/>
      <c r="I576" s="637"/>
    </row>
    <row r="577" spans="3:20" ht="18">
      <c r="F577" s="638" t="s">
        <v>23</v>
      </c>
      <c r="G577" s="638"/>
      <c r="H577" s="638"/>
      <c r="I577" s="29">
        <v>20</v>
      </c>
      <c r="O577" s="30"/>
    </row>
    <row r="578" spans="3:20" ht="15">
      <c r="F578" s="635" t="s">
        <v>24</v>
      </c>
      <c r="G578" s="635"/>
      <c r="H578" s="635"/>
      <c r="I578" s="29">
        <f>0.7*I577/10</f>
        <v>1.4</v>
      </c>
    </row>
    <row r="579" spans="3:20" ht="15">
      <c r="F579" s="635" t="s">
        <v>25</v>
      </c>
      <c r="G579" s="635"/>
      <c r="H579" s="635"/>
      <c r="I579" s="29">
        <v>2</v>
      </c>
    </row>
    <row r="580" spans="3:20" ht="15">
      <c r="F580" s="635" t="s">
        <v>63</v>
      </c>
      <c r="G580" s="635"/>
      <c r="H580" s="635"/>
      <c r="I580" s="70">
        <v>6</v>
      </c>
    </row>
    <row r="581" spans="3:20" ht="15">
      <c r="F581" s="635" t="s">
        <v>71</v>
      </c>
      <c r="G581" s="635"/>
      <c r="H581" s="635"/>
      <c r="I581" s="70">
        <v>4</v>
      </c>
    </row>
    <row r="587" spans="3:20" ht="15">
      <c r="C587" s="6">
        <v>24057</v>
      </c>
      <c r="D587" s="6"/>
      <c r="E587" s="6"/>
      <c r="F587" s="8"/>
      <c r="G587" s="8"/>
      <c r="H587" s="8"/>
      <c r="I587" s="8"/>
      <c r="J587" s="9"/>
      <c r="K587" s="8"/>
      <c r="L587" s="8"/>
      <c r="M587" s="8"/>
      <c r="N587" s="9"/>
      <c r="O587" s="9"/>
      <c r="P587" s="8"/>
      <c r="Q587">
        <f>11*13</f>
        <v>143</v>
      </c>
    </row>
    <row r="588" spans="3:20" ht="15">
      <c r="H588" s="636" t="s">
        <v>1</v>
      </c>
      <c r="I588" s="636"/>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2">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3">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4" t="s">
        <v>57</v>
      </c>
      <c r="O604" s="52"/>
      <c r="P604" s="28">
        <f>P595+P602</f>
        <v>3.5108350909090911</v>
      </c>
      <c r="Q604" s="28">
        <f>Q595+Q602</f>
        <v>3.1199487272727273</v>
      </c>
      <c r="R604" s="53">
        <f>R595+R602</f>
        <v>125.13325999999999</v>
      </c>
      <c r="S604" s="53">
        <f>S595+S602</f>
        <v>99.334759999999989</v>
      </c>
    </row>
    <row r="606" spans="6:21" ht="15">
      <c r="F606" s="637" t="s">
        <v>22</v>
      </c>
      <c r="G606" s="637"/>
      <c r="H606" s="637"/>
      <c r="I606" s="637"/>
    </row>
    <row r="607" spans="6:21" ht="18">
      <c r="F607" s="638" t="s">
        <v>23</v>
      </c>
      <c r="G607" s="638"/>
      <c r="H607" s="638"/>
      <c r="I607" s="29">
        <v>20</v>
      </c>
      <c r="O607" s="30"/>
    </row>
    <row r="608" spans="6:21" ht="15">
      <c r="F608" s="635" t="s">
        <v>24</v>
      </c>
      <c r="G608" s="635"/>
      <c r="H608" s="635"/>
      <c r="I608" s="29">
        <f>0.7*I607/10</f>
        <v>1.4</v>
      </c>
      <c r="R608">
        <v>78</v>
      </c>
    </row>
    <row r="609" spans="3:23" ht="15">
      <c r="F609" s="635" t="s">
        <v>25</v>
      </c>
      <c r="G609" s="635"/>
      <c r="H609" s="635"/>
      <c r="I609" s="29">
        <v>2</v>
      </c>
      <c r="P609" t="s">
        <v>1940</v>
      </c>
      <c r="R609">
        <f>10*2.3</f>
        <v>23</v>
      </c>
      <c r="S609">
        <f>R609+R608</f>
        <v>101</v>
      </c>
    </row>
    <row r="610" spans="3:23" ht="15">
      <c r="F610" s="635" t="s">
        <v>63</v>
      </c>
      <c r="G610" s="635"/>
      <c r="H610" s="635"/>
      <c r="I610" s="70">
        <v>6</v>
      </c>
      <c r="P610">
        <f>366-277.25+83</f>
        <v>171.75</v>
      </c>
      <c r="R610">
        <f>366-276.8</f>
        <v>89.199999999999989</v>
      </c>
    </row>
    <row r="611" spans="3:23" ht="15">
      <c r="F611" s="635" t="s">
        <v>71</v>
      </c>
      <c r="G611" s="635"/>
      <c r="H611" s="635"/>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636" t="s">
        <v>1</v>
      </c>
      <c r="I615" s="636"/>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2">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3">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4" t="s">
        <v>57</v>
      </c>
      <c r="O631" s="52"/>
      <c r="P631" s="28">
        <f>P622+P629</f>
        <v>3.5108350909090911</v>
      </c>
      <c r="Q631" s="28">
        <f>Q622+Q629</f>
        <v>3.1199487272727273</v>
      </c>
      <c r="R631" s="53">
        <f>R622+R629</f>
        <v>122.307964</v>
      </c>
      <c r="S631" s="53">
        <f>S622+S629</f>
        <v>96.509464000000008</v>
      </c>
    </row>
    <row r="633" spans="6:21" ht="15">
      <c r="F633" s="637" t="s">
        <v>22</v>
      </c>
      <c r="G633" s="637"/>
      <c r="H633" s="637"/>
      <c r="I633" s="637"/>
    </row>
    <row r="634" spans="6:21" ht="18">
      <c r="F634" s="638" t="s">
        <v>23</v>
      </c>
      <c r="G634" s="638"/>
      <c r="H634" s="638"/>
      <c r="I634" s="29">
        <v>20</v>
      </c>
      <c r="O634" s="30"/>
    </row>
    <row r="635" spans="6:21" ht="15">
      <c r="F635" s="635" t="s">
        <v>24</v>
      </c>
      <c r="G635" s="635"/>
      <c r="H635" s="635"/>
      <c r="I635" s="29">
        <f>0.7*I634/10</f>
        <v>1.4</v>
      </c>
    </row>
    <row r="636" spans="6:21" ht="15">
      <c r="F636" s="635" t="s">
        <v>25</v>
      </c>
      <c r="G636" s="635"/>
      <c r="H636" s="635"/>
      <c r="I636" s="29">
        <v>2</v>
      </c>
    </row>
    <row r="637" spans="6:21" ht="15">
      <c r="F637" s="635" t="s">
        <v>63</v>
      </c>
      <c r="G637" s="635"/>
      <c r="H637" s="635"/>
      <c r="I637" s="70">
        <v>6</v>
      </c>
    </row>
    <row r="638" spans="6:21" ht="15">
      <c r="F638" s="635" t="s">
        <v>71</v>
      </c>
      <c r="G638" s="635"/>
      <c r="H638" s="635"/>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9"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8"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7"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6"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5"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4"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3"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2"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21"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20"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9"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8"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7"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6"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5"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4"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3"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2"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11"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10"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9"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8"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30" customWidth="1"/>
    <col min="6" max="6" width="10.42578125" style="17" customWidth="1"/>
    <col min="7" max="8" width="11.5703125" style="450" bestFit="1" customWidth="1"/>
    <col min="9" max="9" width="7.5703125" style="17" customWidth="1"/>
    <col min="10" max="10" width="8.140625" style="17" customWidth="1"/>
    <col min="11" max="11" width="1.28515625" style="432" customWidth="1"/>
    <col min="16" max="16" width="9.140625" style="3"/>
    <col min="18" max="18" width="9.140625" style="17" customWidth="1"/>
    <col min="19" max="19" width="1.28515625" style="432" customWidth="1"/>
    <col min="20" max="21" width="12.7109375" style="423" customWidth="1"/>
    <col min="22" max="26" width="12.7109375" customWidth="1"/>
    <col min="27" max="27" width="2.42578125" style="432" customWidth="1"/>
    <col min="28" max="58" width="9.85546875" style="434" customWidth="1"/>
  </cols>
  <sheetData>
    <row r="1" spans="1:59" s="18" customFormat="1">
      <c r="A1" s="4"/>
      <c r="B1" s="450" t="s">
        <v>8437</v>
      </c>
      <c r="E1" s="429"/>
      <c r="F1" s="187"/>
      <c r="G1" s="450"/>
      <c r="H1" s="450"/>
      <c r="I1" s="187"/>
      <c r="J1" s="187"/>
      <c r="K1" s="431"/>
      <c r="P1" s="4"/>
      <c r="R1" s="187"/>
      <c r="S1" s="431" t="s">
        <v>8429</v>
      </c>
      <c r="T1" s="423">
        <v>526</v>
      </c>
      <c r="U1" s="423">
        <v>2087</v>
      </c>
      <c r="V1" s="18">
        <v>512</v>
      </c>
      <c r="W1" s="18">
        <v>1988</v>
      </c>
      <c r="X1" s="18">
        <v>1266</v>
      </c>
      <c r="Y1" s="18">
        <v>1266</v>
      </c>
      <c r="Z1" s="18">
        <v>18176</v>
      </c>
      <c r="AA1" s="431"/>
    </row>
    <row r="2" spans="1:59">
      <c r="A2" s="3" t="s">
        <v>8460</v>
      </c>
      <c r="B2" s="5" t="s">
        <v>8438</v>
      </c>
      <c r="AB2"/>
      <c r="AC2"/>
      <c r="AD2"/>
      <c r="AE2"/>
      <c r="AF2"/>
      <c r="AG2"/>
      <c r="AH2"/>
      <c r="AI2"/>
      <c r="AJ2"/>
      <c r="AK2"/>
      <c r="AL2"/>
      <c r="AM2"/>
      <c r="AN2"/>
      <c r="AO2"/>
      <c r="AP2"/>
      <c r="AQ2"/>
      <c r="AR2"/>
      <c r="AS2"/>
      <c r="AT2"/>
      <c r="AU2"/>
      <c r="AV2"/>
      <c r="AW2"/>
      <c r="AX2"/>
      <c r="AY2"/>
      <c r="AZ2"/>
      <c r="BA2"/>
      <c r="BB2"/>
      <c r="BC2"/>
      <c r="BD2"/>
      <c r="BE2"/>
      <c r="BF2"/>
    </row>
    <row r="3" spans="1:59">
      <c r="A3" s="3" t="s">
        <v>8440</v>
      </c>
      <c r="B3" s="5" t="s">
        <v>8439</v>
      </c>
      <c r="Z3" s="17" t="s">
        <v>766</v>
      </c>
      <c r="AA3" s="432" t="s">
        <v>8430</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32" t="s">
        <v>8430</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32" t="s">
        <v>8430</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32" t="s">
        <v>8430</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32" t="s">
        <v>8430</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8431</v>
      </c>
      <c r="AA8" s="432" t="s">
        <v>8430</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25" t="s">
        <v>8412</v>
      </c>
      <c r="U11" s="425" t="s">
        <v>8413</v>
      </c>
      <c r="V11" s="3" t="s">
        <v>8414</v>
      </c>
      <c r="W11" s="3" t="s">
        <v>8415</v>
      </c>
      <c r="X11" s="3"/>
      <c r="Y11" s="3" t="s">
        <v>8416</v>
      </c>
      <c r="Z11" s="3" t="s">
        <v>8417</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8405</v>
      </c>
      <c r="M12" s="3" t="s">
        <v>8405</v>
      </c>
      <c r="N12" s="3" t="s">
        <v>8405</v>
      </c>
      <c r="O12" s="3" t="s">
        <v>8405</v>
      </c>
      <c r="Q12" s="3" t="s">
        <v>8433</v>
      </c>
      <c r="R12" s="3" t="s">
        <v>8411</v>
      </c>
      <c r="T12" s="427" t="s">
        <v>8408</v>
      </c>
      <c r="U12" s="427" t="s">
        <v>8408</v>
      </c>
      <c r="V12" s="427" t="s">
        <v>8408</v>
      </c>
      <c r="W12" s="427" t="s">
        <v>8408</v>
      </c>
      <c r="X12" s="428" t="s">
        <v>8407</v>
      </c>
      <c r="Y12" s="427" t="s">
        <v>8408</v>
      </c>
      <c r="Z12" s="427" t="s">
        <v>8408</v>
      </c>
      <c r="AB12" s="443" t="str">
        <f>IF(OR(AB$8=1,AB$8=2,AB$8=4,AB$8=8,AB$8=16),"Single","")</f>
        <v>Single</v>
      </c>
      <c r="AC12" s="444" t="str">
        <f t="shared" ref="AC12:BF12" si="3">IF(OR(AC$8=1,AC$8=2,AC$8=4,AC$8=8,AC$8=16),"Single","")</f>
        <v>Single</v>
      </c>
      <c r="AD12" s="444" t="str">
        <f t="shared" si="3"/>
        <v/>
      </c>
      <c r="AE12" s="444" t="str">
        <f t="shared" si="3"/>
        <v>Single</v>
      </c>
      <c r="AF12" s="444" t="str">
        <f t="shared" si="3"/>
        <v/>
      </c>
      <c r="AG12" s="444" t="str">
        <f t="shared" si="3"/>
        <v/>
      </c>
      <c r="AH12" s="444" t="str">
        <f t="shared" si="3"/>
        <v/>
      </c>
      <c r="AI12" s="444" t="str">
        <f t="shared" si="3"/>
        <v>Single</v>
      </c>
      <c r="AJ12" s="444" t="str">
        <f t="shared" si="3"/>
        <v/>
      </c>
      <c r="AK12" s="444" t="str">
        <f t="shared" si="3"/>
        <v/>
      </c>
      <c r="AL12" s="444" t="str">
        <f t="shared" si="3"/>
        <v/>
      </c>
      <c r="AM12" s="444" t="str">
        <f t="shared" si="3"/>
        <v/>
      </c>
      <c r="AN12" s="444" t="str">
        <f t="shared" si="3"/>
        <v/>
      </c>
      <c r="AO12" s="444" t="str">
        <f t="shared" si="3"/>
        <v/>
      </c>
      <c r="AP12" s="444" t="str">
        <f t="shared" si="3"/>
        <v/>
      </c>
      <c r="AQ12" s="444" t="str">
        <f t="shared" si="3"/>
        <v>Single</v>
      </c>
      <c r="AR12" s="444" t="str">
        <f t="shared" si="3"/>
        <v/>
      </c>
      <c r="AS12" s="444" t="str">
        <f t="shared" si="3"/>
        <v/>
      </c>
      <c r="AT12" s="444" t="str">
        <f t="shared" si="3"/>
        <v/>
      </c>
      <c r="AU12" s="444" t="str">
        <f t="shared" si="3"/>
        <v/>
      </c>
      <c r="AV12" s="444" t="str">
        <f t="shared" si="3"/>
        <v/>
      </c>
      <c r="AW12" s="444" t="str">
        <f t="shared" si="3"/>
        <v/>
      </c>
      <c r="AX12" s="444" t="str">
        <f t="shared" si="3"/>
        <v/>
      </c>
      <c r="AY12" s="444" t="str">
        <f t="shared" si="3"/>
        <v/>
      </c>
      <c r="AZ12" s="444" t="str">
        <f t="shared" si="3"/>
        <v/>
      </c>
      <c r="BA12" s="444" t="str">
        <f t="shared" si="3"/>
        <v/>
      </c>
      <c r="BB12" s="444" t="str">
        <f t="shared" si="3"/>
        <v/>
      </c>
      <c r="BC12" s="444" t="str">
        <f t="shared" si="3"/>
        <v/>
      </c>
      <c r="BD12" s="444" t="str">
        <f t="shared" si="3"/>
        <v/>
      </c>
      <c r="BE12" s="444" t="str">
        <f t="shared" si="3"/>
        <v/>
      </c>
      <c r="BF12" s="445" t="str">
        <f t="shared" si="3"/>
        <v/>
      </c>
    </row>
    <row r="13" spans="1:59" s="435" customFormat="1" ht="31.5" customHeight="1">
      <c r="A13" s="435" t="s">
        <v>8402</v>
      </c>
      <c r="B13" s="436" t="s">
        <v>8401</v>
      </c>
      <c r="C13" s="435" t="s">
        <v>8402</v>
      </c>
      <c r="D13" s="435" t="s">
        <v>8406</v>
      </c>
      <c r="E13" s="437"/>
      <c r="F13" s="438" t="s">
        <v>8432</v>
      </c>
      <c r="G13" s="451" t="s">
        <v>8427</v>
      </c>
      <c r="H13" s="436" t="s">
        <v>8409</v>
      </c>
      <c r="I13" s="435" t="s">
        <v>8418</v>
      </c>
      <c r="J13" s="435" t="s">
        <v>8410</v>
      </c>
      <c r="K13" s="439"/>
      <c r="L13" s="435" t="s">
        <v>12</v>
      </c>
      <c r="M13" s="435" t="s">
        <v>776</v>
      </c>
      <c r="N13" s="435" t="s">
        <v>773</v>
      </c>
      <c r="O13" s="435" t="s">
        <v>8403</v>
      </c>
      <c r="P13" s="435" t="s">
        <v>8428</v>
      </c>
      <c r="Q13" s="435" t="s">
        <v>8425</v>
      </c>
      <c r="R13" s="435" t="s">
        <v>8426</v>
      </c>
      <c r="S13" s="439"/>
      <c r="T13" s="440" t="s">
        <v>8424</v>
      </c>
      <c r="U13" s="440" t="s">
        <v>8419</v>
      </c>
      <c r="V13" s="441" t="s">
        <v>8420</v>
      </c>
      <c r="W13" s="441" t="s">
        <v>8421</v>
      </c>
      <c r="X13" s="442" t="s">
        <v>8422</v>
      </c>
      <c r="Y13" s="441" t="s">
        <v>8422</v>
      </c>
      <c r="Z13" s="441" t="s">
        <v>8423</v>
      </c>
      <c r="AA13" s="439"/>
      <c r="AB13" s="446" t="str">
        <f>_xlfn.TEXTJOIN("",TRUE,AB3:AB7)</f>
        <v>DT1</v>
      </c>
      <c r="AC13" s="447" t="str">
        <f t="shared" ref="AC13:BF13" si="4">_xlfn.TEXTJOIN("",TRUE,AC3:AC7)</f>
        <v>DT2</v>
      </c>
      <c r="AD13" s="447" t="str">
        <f t="shared" si="4"/>
        <v>DT2DT1</v>
      </c>
      <c r="AE13" s="447" t="str">
        <f t="shared" si="4"/>
        <v>DT3</v>
      </c>
      <c r="AF13" s="447" t="str">
        <f t="shared" si="4"/>
        <v>DT3DT1</v>
      </c>
      <c r="AG13" s="447" t="str">
        <f t="shared" si="4"/>
        <v>DT3DT2</v>
      </c>
      <c r="AH13" s="447" t="str">
        <f t="shared" si="4"/>
        <v>DT3DT2DT1</v>
      </c>
      <c r="AI13" s="447" t="str">
        <f t="shared" si="4"/>
        <v>DT4</v>
      </c>
      <c r="AJ13" s="447" t="str">
        <f t="shared" si="4"/>
        <v>DT4DT1</v>
      </c>
      <c r="AK13" s="447" t="str">
        <f t="shared" si="4"/>
        <v>DT4DT2</v>
      </c>
      <c r="AL13" s="447" t="str">
        <f t="shared" si="4"/>
        <v>DT4DT2DT1</v>
      </c>
      <c r="AM13" s="447" t="str">
        <f t="shared" si="4"/>
        <v>DT4DT3</v>
      </c>
      <c r="AN13" s="447" t="str">
        <f t="shared" si="4"/>
        <v>DT4DT3DT1</v>
      </c>
      <c r="AO13" s="447" t="str">
        <f t="shared" si="4"/>
        <v>DT4DT3DT2</v>
      </c>
      <c r="AP13" s="447" t="str">
        <f t="shared" si="4"/>
        <v>DT4DT3DT2DT1</v>
      </c>
      <c r="AQ13" s="447" t="str">
        <f t="shared" si="4"/>
        <v>HSK3</v>
      </c>
      <c r="AR13" s="447" t="str">
        <f t="shared" si="4"/>
        <v>HSK3DT1</v>
      </c>
      <c r="AS13" s="447" t="str">
        <f t="shared" si="4"/>
        <v>HSK3DT2</v>
      </c>
      <c r="AT13" s="447" t="str">
        <f t="shared" si="4"/>
        <v>HSK3DT2DT1</v>
      </c>
      <c r="AU13" s="447" t="str">
        <f t="shared" si="4"/>
        <v>HSK3DT3</v>
      </c>
      <c r="AV13" s="447" t="str">
        <f t="shared" si="4"/>
        <v>HSK3DT3DT1</v>
      </c>
      <c r="AW13" s="447" t="str">
        <f t="shared" si="4"/>
        <v>HSK3DT3DT2</v>
      </c>
      <c r="AX13" s="447" t="str">
        <f t="shared" si="4"/>
        <v>HSK3DT3DT2DT1</v>
      </c>
      <c r="AY13" s="447" t="str">
        <f t="shared" si="4"/>
        <v>HSK3DT4</v>
      </c>
      <c r="AZ13" s="447" t="str">
        <f t="shared" si="4"/>
        <v>HSK3DT4DT1</v>
      </c>
      <c r="BA13" s="447" t="str">
        <f t="shared" si="4"/>
        <v>HSK3DT4DT2</v>
      </c>
      <c r="BB13" s="447" t="str">
        <f t="shared" si="4"/>
        <v>HSK3DT4DT2DT1</v>
      </c>
      <c r="BC13" s="447" t="str">
        <f t="shared" si="4"/>
        <v>HSK3DT4DT3</v>
      </c>
      <c r="BD13" s="447" t="str">
        <f t="shared" si="4"/>
        <v>HSK3DT4DT3DT1</v>
      </c>
      <c r="BE13" s="447" t="str">
        <f t="shared" si="4"/>
        <v>HSK3DT4DT3DT2</v>
      </c>
      <c r="BF13" s="448" t="str">
        <f t="shared" si="4"/>
        <v>HSK3DT4DT3DT2DT1</v>
      </c>
    </row>
    <row r="14" spans="1:59">
      <c r="A14" s="456" t="s">
        <v>8441</v>
      </c>
      <c r="B14" s="457">
        <v>644923315</v>
      </c>
      <c r="C14" s="457" t="s">
        <v>1148</v>
      </c>
      <c r="D14" s="460" t="s">
        <v>8442</v>
      </c>
      <c r="F14" s="17" t="str">
        <f t="shared" ref="F14:F37" si="5">_xlfn.TEXTJOIN("+",TRUE,$C14:$D14)</f>
        <v>ON</v>
      </c>
      <c r="G14" s="450">
        <f>IF(OR($C14="ON",$F14="MAC+111"),$B14,G13)</f>
        <v>644923315</v>
      </c>
      <c r="H14" s="450">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26">
        <f t="shared" ref="T14:U37" si="16">IF($M14="",0,T$1/64/$M14)</f>
        <v>0</v>
      </c>
      <c r="U14" s="426">
        <f t="shared" si="16"/>
        <v>0</v>
      </c>
      <c r="V14" s="426">
        <f>IF($O14="",0,V$1/$O14)</f>
        <v>0</v>
      </c>
      <c r="W14" s="426">
        <f>IF($L14="",0,W$1/$L14)</f>
        <v>0</v>
      </c>
      <c r="X14" s="426">
        <f>IF(OR($M14="",$P14&lt;&gt;""),0,X$1/$M14)</f>
        <v>0</v>
      </c>
      <c r="Y14" s="426">
        <f>IF($Q14="",43200,$Q14)*X14/43200</f>
        <v>0</v>
      </c>
      <c r="Z14" s="426">
        <f>IF($N14="",0,Z$1/$N14)</f>
        <v>0</v>
      </c>
      <c r="AB14" s="433">
        <f t="shared" ref="AB14:AQ29" si="17">IF(AB$3&lt;&gt;"",$V14,0)+IF(AB$4&lt;&gt;"",$T14,0)+IF(AB$5&lt;&gt;"",$Y14+IF($R14&lt;&gt;"102",$U14,0),0)+IF(AB$6&lt;&gt;"",$Z14+IF($R14="102",$U14,0),0)+IF(AB$7&lt;&gt;"",$W14,0)</f>
        <v>0</v>
      </c>
      <c r="AC14" s="433">
        <f t="shared" si="17"/>
        <v>0</v>
      </c>
      <c r="AD14" s="433">
        <f t="shared" si="17"/>
        <v>0</v>
      </c>
      <c r="AE14" s="433">
        <f t="shared" si="17"/>
        <v>0</v>
      </c>
      <c r="AF14" s="433">
        <f t="shared" si="17"/>
        <v>0</v>
      </c>
      <c r="AG14" s="433">
        <f t="shared" si="17"/>
        <v>0</v>
      </c>
      <c r="AH14" s="433">
        <f t="shared" si="17"/>
        <v>0</v>
      </c>
      <c r="AI14" s="433">
        <f t="shared" si="17"/>
        <v>0</v>
      </c>
      <c r="AJ14" s="433">
        <f t="shared" si="17"/>
        <v>0</v>
      </c>
      <c r="AK14" s="433">
        <f t="shared" si="17"/>
        <v>0</v>
      </c>
      <c r="AL14" s="433">
        <f t="shared" si="17"/>
        <v>0</v>
      </c>
      <c r="AM14" s="433">
        <f t="shared" si="17"/>
        <v>0</v>
      </c>
      <c r="AN14" s="433">
        <f t="shared" si="17"/>
        <v>0</v>
      </c>
      <c r="AO14" s="433">
        <f t="shared" si="17"/>
        <v>0</v>
      </c>
      <c r="AP14" s="433">
        <f t="shared" si="17"/>
        <v>0</v>
      </c>
      <c r="AQ14" s="433">
        <f t="shared" si="17"/>
        <v>0</v>
      </c>
      <c r="AR14" s="433">
        <f t="shared" ref="AR14:BF30" si="18">IF(AR$3&lt;&gt;"",$V14,0)+IF(AR$4&lt;&gt;"",$T14,0)+IF(AR$5&lt;&gt;"",$Y14+IF($R14&lt;&gt;"102",$U14,0),0)+IF(AR$6&lt;&gt;"",$Z14+IF($R14="102",$U14,0),0)+IF(AR$7&lt;&gt;"",$W14,0)</f>
        <v>0</v>
      </c>
      <c r="AS14" s="433">
        <f t="shared" si="18"/>
        <v>0</v>
      </c>
      <c r="AT14" s="433">
        <f t="shared" si="18"/>
        <v>0</v>
      </c>
      <c r="AU14" s="433">
        <f t="shared" si="18"/>
        <v>0</v>
      </c>
      <c r="AV14" s="433">
        <f t="shared" si="18"/>
        <v>0</v>
      </c>
      <c r="AW14" s="433">
        <f t="shared" si="18"/>
        <v>0</v>
      </c>
      <c r="AX14" s="433">
        <f t="shared" si="18"/>
        <v>0</v>
      </c>
      <c r="AY14" s="433">
        <f t="shared" si="18"/>
        <v>0</v>
      </c>
      <c r="AZ14" s="433">
        <f t="shared" si="18"/>
        <v>0</v>
      </c>
      <c r="BA14" s="433">
        <f t="shared" si="18"/>
        <v>0</v>
      </c>
      <c r="BB14" s="433">
        <f t="shared" si="18"/>
        <v>0</v>
      </c>
      <c r="BC14" s="433">
        <f t="shared" si="18"/>
        <v>0</v>
      </c>
      <c r="BD14" s="433">
        <f t="shared" si="18"/>
        <v>0</v>
      </c>
      <c r="BE14" s="433">
        <f t="shared" si="18"/>
        <v>0</v>
      </c>
      <c r="BF14" s="433">
        <f t="shared" si="18"/>
        <v>0</v>
      </c>
    </row>
    <row r="15" spans="1:59">
      <c r="A15" s="458" t="s">
        <v>8443</v>
      </c>
      <c r="B15" s="459">
        <v>644923360</v>
      </c>
      <c r="C15" s="459" t="s">
        <v>8404</v>
      </c>
      <c r="D15" s="461" t="s">
        <v>8444</v>
      </c>
      <c r="F15" s="17" t="str">
        <f t="shared" si="5"/>
        <v>MAC+10</v>
      </c>
      <c r="G15" s="450">
        <f t="shared" ref="G15:G37" si="19">IF(OR($C15="ON",$F15="MAC+111"),$B15,G14)</f>
        <v>644923315</v>
      </c>
      <c r="H15" s="450">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26">
        <f t="shared" si="16"/>
        <v>0</v>
      </c>
      <c r="U15" s="426">
        <f t="shared" si="16"/>
        <v>0</v>
      </c>
      <c r="V15" s="426">
        <f t="shared" ref="V15:V37" si="20">IF($O15="",0,V$1/$O15)</f>
        <v>0</v>
      </c>
      <c r="W15" s="426">
        <f t="shared" ref="W15:W37" si="21">IF($L15="",0,W$1/$L15)</f>
        <v>0</v>
      </c>
      <c r="X15" s="426">
        <f t="shared" ref="X15:X37" si="22">IF(OR($M15="",$P15&lt;&gt;""),0,X$1/$M15)</f>
        <v>0</v>
      </c>
      <c r="Y15" s="426">
        <f t="shared" ref="Y15:Y37" si="23">IF($Q15="",43200,$Q15)*X15/43200</f>
        <v>0</v>
      </c>
      <c r="Z15" s="426">
        <f t="shared" ref="Z15:Z37" si="24">IF($N15="",0,Z$1/$N15)</f>
        <v>0</v>
      </c>
      <c r="AB15" s="433">
        <f t="shared" si="17"/>
        <v>0</v>
      </c>
      <c r="AC15" s="433">
        <f t="shared" si="17"/>
        <v>0</v>
      </c>
      <c r="AD15" s="433">
        <f t="shared" si="17"/>
        <v>0</v>
      </c>
      <c r="AE15" s="433">
        <f t="shared" si="17"/>
        <v>0</v>
      </c>
      <c r="AF15" s="433">
        <f t="shared" si="17"/>
        <v>0</v>
      </c>
      <c r="AG15" s="433">
        <f t="shared" si="17"/>
        <v>0</v>
      </c>
      <c r="AH15" s="433">
        <f t="shared" si="17"/>
        <v>0</v>
      </c>
      <c r="AI15" s="433">
        <f t="shared" si="17"/>
        <v>0</v>
      </c>
      <c r="AJ15" s="433">
        <f t="shared" si="17"/>
        <v>0</v>
      </c>
      <c r="AK15" s="433">
        <f t="shared" si="17"/>
        <v>0</v>
      </c>
      <c r="AL15" s="433">
        <f t="shared" si="17"/>
        <v>0</v>
      </c>
      <c r="AM15" s="433">
        <f t="shared" si="17"/>
        <v>0</v>
      </c>
      <c r="AN15" s="433">
        <f t="shared" si="17"/>
        <v>0</v>
      </c>
      <c r="AO15" s="433">
        <f t="shared" si="17"/>
        <v>0</v>
      </c>
      <c r="AP15" s="433">
        <f t="shared" si="17"/>
        <v>0</v>
      </c>
      <c r="AQ15" s="433">
        <f t="shared" si="17"/>
        <v>0</v>
      </c>
      <c r="AR15" s="433">
        <f t="shared" si="18"/>
        <v>0</v>
      </c>
      <c r="AS15" s="433">
        <f t="shared" si="18"/>
        <v>0</v>
      </c>
      <c r="AT15" s="433">
        <f t="shared" si="18"/>
        <v>0</v>
      </c>
      <c r="AU15" s="433">
        <f t="shared" si="18"/>
        <v>0</v>
      </c>
      <c r="AV15" s="433">
        <f t="shared" si="18"/>
        <v>0</v>
      </c>
      <c r="AW15" s="433">
        <f t="shared" si="18"/>
        <v>0</v>
      </c>
      <c r="AX15" s="433">
        <f t="shared" si="18"/>
        <v>0</v>
      </c>
      <c r="AY15" s="433">
        <f t="shared" si="18"/>
        <v>0</v>
      </c>
      <c r="AZ15" s="433">
        <f t="shared" si="18"/>
        <v>0</v>
      </c>
      <c r="BA15" s="433">
        <f t="shared" si="18"/>
        <v>0</v>
      </c>
      <c r="BB15" s="433">
        <f t="shared" si="18"/>
        <v>0</v>
      </c>
      <c r="BC15" s="433">
        <f t="shared" si="18"/>
        <v>0</v>
      </c>
      <c r="BD15" s="433">
        <f t="shared" si="18"/>
        <v>0</v>
      </c>
      <c r="BE15" s="433">
        <f t="shared" si="18"/>
        <v>0</v>
      </c>
      <c r="BF15" s="433">
        <f t="shared" si="18"/>
        <v>0</v>
      </c>
    </row>
    <row r="16" spans="1:59">
      <c r="A16" s="456" t="s">
        <v>8445</v>
      </c>
      <c r="B16" s="457">
        <v>644923360</v>
      </c>
      <c r="C16" s="457" t="s">
        <v>776</v>
      </c>
      <c r="D16" s="460" t="s">
        <v>8444</v>
      </c>
      <c r="F16" s="17" t="str">
        <f t="shared" si="5"/>
        <v>N2+10</v>
      </c>
      <c r="G16" s="450">
        <f t="shared" si="19"/>
        <v>644923315</v>
      </c>
      <c r="H16" s="450">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26">
        <f t="shared" si="16"/>
        <v>0.82187500000000002</v>
      </c>
      <c r="U16" s="426">
        <f t="shared" si="16"/>
        <v>3.2609374999999998</v>
      </c>
      <c r="V16" s="426">
        <f t="shared" si="20"/>
        <v>0</v>
      </c>
      <c r="W16" s="426">
        <f t="shared" si="21"/>
        <v>0</v>
      </c>
      <c r="X16" s="426">
        <f t="shared" si="22"/>
        <v>126.6</v>
      </c>
      <c r="Y16" s="426">
        <f t="shared" si="23"/>
        <v>126.6</v>
      </c>
      <c r="Z16" s="426">
        <f t="shared" si="24"/>
        <v>0</v>
      </c>
      <c r="AB16" s="433">
        <f t="shared" si="17"/>
        <v>0</v>
      </c>
      <c r="AC16" s="433">
        <f t="shared" si="17"/>
        <v>0</v>
      </c>
      <c r="AD16" s="433">
        <f t="shared" si="17"/>
        <v>0</v>
      </c>
      <c r="AE16" s="433">
        <f t="shared" si="17"/>
        <v>129.86093750000001</v>
      </c>
      <c r="AF16" s="433">
        <f t="shared" si="17"/>
        <v>129.86093750000001</v>
      </c>
      <c r="AG16" s="433">
        <f t="shared" si="17"/>
        <v>129.86093750000001</v>
      </c>
      <c r="AH16" s="433">
        <f t="shared" si="17"/>
        <v>129.86093750000001</v>
      </c>
      <c r="AI16" s="433">
        <f t="shared" si="17"/>
        <v>0.82187500000000002</v>
      </c>
      <c r="AJ16" s="433">
        <f t="shared" si="17"/>
        <v>0.82187500000000002</v>
      </c>
      <c r="AK16" s="433">
        <f t="shared" si="17"/>
        <v>0.82187500000000002</v>
      </c>
      <c r="AL16" s="433">
        <f t="shared" si="17"/>
        <v>0.82187500000000002</v>
      </c>
      <c r="AM16" s="433">
        <f t="shared" si="17"/>
        <v>130.68281250000001</v>
      </c>
      <c r="AN16" s="433">
        <f t="shared" si="17"/>
        <v>130.68281250000001</v>
      </c>
      <c r="AO16" s="433">
        <f t="shared" si="17"/>
        <v>130.68281250000001</v>
      </c>
      <c r="AP16" s="433">
        <f t="shared" si="17"/>
        <v>130.68281250000001</v>
      </c>
      <c r="AQ16" s="433">
        <f t="shared" si="17"/>
        <v>0</v>
      </c>
      <c r="AR16" s="433">
        <f t="shared" si="18"/>
        <v>0</v>
      </c>
      <c r="AS16" s="433">
        <f t="shared" si="18"/>
        <v>0</v>
      </c>
      <c r="AT16" s="433">
        <f t="shared" si="18"/>
        <v>0</v>
      </c>
      <c r="AU16" s="433">
        <f t="shared" si="18"/>
        <v>129.86093750000001</v>
      </c>
      <c r="AV16" s="433">
        <f t="shared" si="18"/>
        <v>129.86093750000001</v>
      </c>
      <c r="AW16" s="433">
        <f t="shared" si="18"/>
        <v>129.86093750000001</v>
      </c>
      <c r="AX16" s="433">
        <f t="shared" si="18"/>
        <v>129.86093750000001</v>
      </c>
      <c r="AY16" s="433">
        <f t="shared" si="18"/>
        <v>0.82187500000000002</v>
      </c>
      <c r="AZ16" s="433">
        <f t="shared" si="18"/>
        <v>0.82187500000000002</v>
      </c>
      <c r="BA16" s="433">
        <f t="shared" si="18"/>
        <v>0.82187500000000002</v>
      </c>
      <c r="BB16" s="433">
        <f t="shared" si="18"/>
        <v>0.82187500000000002</v>
      </c>
      <c r="BC16" s="433">
        <f t="shared" si="18"/>
        <v>130.68281250000001</v>
      </c>
      <c r="BD16" s="433">
        <f t="shared" si="18"/>
        <v>130.68281250000001</v>
      </c>
      <c r="BE16" s="433">
        <f t="shared" si="18"/>
        <v>130.68281250000001</v>
      </c>
      <c r="BF16" s="433">
        <f t="shared" si="18"/>
        <v>130.68281250000001</v>
      </c>
    </row>
    <row r="17" spans="1:58">
      <c r="A17" s="458" t="s">
        <v>8445</v>
      </c>
      <c r="B17" s="459">
        <v>644923361</v>
      </c>
      <c r="C17" s="459" t="s">
        <v>773</v>
      </c>
      <c r="D17" s="461" t="s">
        <v>8446</v>
      </c>
      <c r="F17" s="17" t="str">
        <f t="shared" si="5"/>
        <v>N3+300</v>
      </c>
      <c r="G17" s="450">
        <f t="shared" si="19"/>
        <v>644923315</v>
      </c>
      <c r="H17" s="450">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26">
        <f t="shared" si="16"/>
        <v>0.82187500000000002</v>
      </c>
      <c r="U17" s="426">
        <f t="shared" si="16"/>
        <v>3.2609374999999998</v>
      </c>
      <c r="V17" s="426">
        <f t="shared" si="20"/>
        <v>0</v>
      </c>
      <c r="W17" s="426">
        <f t="shared" si="21"/>
        <v>0</v>
      </c>
      <c r="X17" s="426">
        <f t="shared" si="22"/>
        <v>126.6</v>
      </c>
      <c r="Y17" s="426">
        <f t="shared" si="23"/>
        <v>126.6</v>
      </c>
      <c r="Z17" s="426">
        <f t="shared" si="24"/>
        <v>60.586666666666666</v>
      </c>
      <c r="AB17" s="433">
        <f t="shared" si="17"/>
        <v>0</v>
      </c>
      <c r="AC17" s="433">
        <f t="shared" si="17"/>
        <v>60.586666666666666</v>
      </c>
      <c r="AD17" s="433">
        <f t="shared" si="17"/>
        <v>60.586666666666666</v>
      </c>
      <c r="AE17" s="433">
        <f t="shared" si="17"/>
        <v>129.86093750000001</v>
      </c>
      <c r="AF17" s="433">
        <f t="shared" si="17"/>
        <v>129.86093750000001</v>
      </c>
      <c r="AG17" s="433">
        <f t="shared" si="17"/>
        <v>190.44760416666668</v>
      </c>
      <c r="AH17" s="433">
        <f t="shared" si="17"/>
        <v>190.44760416666668</v>
      </c>
      <c r="AI17" s="433">
        <f t="shared" si="17"/>
        <v>0.82187500000000002</v>
      </c>
      <c r="AJ17" s="433">
        <f t="shared" si="17"/>
        <v>0.82187500000000002</v>
      </c>
      <c r="AK17" s="433">
        <f t="shared" si="17"/>
        <v>61.408541666666665</v>
      </c>
      <c r="AL17" s="433">
        <f t="shared" si="17"/>
        <v>61.408541666666665</v>
      </c>
      <c r="AM17" s="433">
        <f t="shared" si="17"/>
        <v>130.68281250000001</v>
      </c>
      <c r="AN17" s="433">
        <f t="shared" si="17"/>
        <v>130.68281250000001</v>
      </c>
      <c r="AO17" s="433">
        <f t="shared" si="17"/>
        <v>191.26947916666668</v>
      </c>
      <c r="AP17" s="433">
        <f t="shared" si="17"/>
        <v>191.26947916666668</v>
      </c>
      <c r="AQ17" s="433">
        <f t="shared" si="17"/>
        <v>0</v>
      </c>
      <c r="AR17" s="433">
        <f t="shared" si="18"/>
        <v>0</v>
      </c>
      <c r="AS17" s="433">
        <f t="shared" si="18"/>
        <v>60.586666666666666</v>
      </c>
      <c r="AT17" s="433">
        <f t="shared" si="18"/>
        <v>60.586666666666666</v>
      </c>
      <c r="AU17" s="433">
        <f t="shared" si="18"/>
        <v>129.86093750000001</v>
      </c>
      <c r="AV17" s="433">
        <f t="shared" si="18"/>
        <v>129.86093750000001</v>
      </c>
      <c r="AW17" s="433">
        <f t="shared" si="18"/>
        <v>190.44760416666668</v>
      </c>
      <c r="AX17" s="433">
        <f t="shared" si="18"/>
        <v>190.44760416666668</v>
      </c>
      <c r="AY17" s="433">
        <f t="shared" si="18"/>
        <v>0.82187500000000002</v>
      </c>
      <c r="AZ17" s="433">
        <f t="shared" si="18"/>
        <v>0.82187500000000002</v>
      </c>
      <c r="BA17" s="433">
        <f t="shared" si="18"/>
        <v>61.408541666666665</v>
      </c>
      <c r="BB17" s="433">
        <f t="shared" si="18"/>
        <v>61.408541666666665</v>
      </c>
      <c r="BC17" s="433">
        <f t="shared" si="18"/>
        <v>130.68281250000001</v>
      </c>
      <c r="BD17" s="433">
        <f t="shared" si="18"/>
        <v>130.68281250000001</v>
      </c>
      <c r="BE17" s="433">
        <f t="shared" si="18"/>
        <v>191.26947916666668</v>
      </c>
      <c r="BF17" s="433">
        <f t="shared" si="18"/>
        <v>191.26947916666668</v>
      </c>
    </row>
    <row r="18" spans="1:58">
      <c r="A18" s="456" t="s">
        <v>8445</v>
      </c>
      <c r="B18" s="457">
        <v>644923362</v>
      </c>
      <c r="C18" s="457" t="s">
        <v>12</v>
      </c>
      <c r="D18" s="460" t="s">
        <v>8444</v>
      </c>
      <c r="F18" s="17" t="str">
        <f t="shared" si="5"/>
        <v>N1+10</v>
      </c>
      <c r="G18" s="450">
        <f t="shared" si="19"/>
        <v>644923315</v>
      </c>
      <c r="H18" s="450">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26">
        <f t="shared" si="16"/>
        <v>0.82187500000000002</v>
      </c>
      <c r="U18" s="426">
        <f t="shared" si="16"/>
        <v>3.2609374999999998</v>
      </c>
      <c r="V18" s="426">
        <f t="shared" si="20"/>
        <v>0</v>
      </c>
      <c r="W18" s="426">
        <f t="shared" si="21"/>
        <v>198.8</v>
      </c>
      <c r="X18" s="426">
        <f t="shared" si="22"/>
        <v>126.6</v>
      </c>
      <c r="Y18" s="426">
        <f t="shared" si="23"/>
        <v>126.6</v>
      </c>
      <c r="Z18" s="426">
        <f t="shared" si="24"/>
        <v>60.586666666666666</v>
      </c>
      <c r="AB18" s="433">
        <f t="shared" si="17"/>
        <v>198.8</v>
      </c>
      <c r="AC18" s="433">
        <f t="shared" si="17"/>
        <v>60.586666666666666</v>
      </c>
      <c r="AD18" s="433">
        <f t="shared" si="17"/>
        <v>259.38666666666666</v>
      </c>
      <c r="AE18" s="433">
        <f t="shared" si="17"/>
        <v>129.86093750000001</v>
      </c>
      <c r="AF18" s="433">
        <f t="shared" si="17"/>
        <v>328.66093750000005</v>
      </c>
      <c r="AG18" s="433">
        <f t="shared" si="17"/>
        <v>190.44760416666668</v>
      </c>
      <c r="AH18" s="433">
        <f t="shared" si="17"/>
        <v>389.24760416666669</v>
      </c>
      <c r="AI18" s="433">
        <f t="shared" si="17"/>
        <v>0.82187500000000002</v>
      </c>
      <c r="AJ18" s="433">
        <f t="shared" si="17"/>
        <v>199.62187500000002</v>
      </c>
      <c r="AK18" s="433">
        <f t="shared" si="17"/>
        <v>61.408541666666665</v>
      </c>
      <c r="AL18" s="433">
        <f t="shared" si="17"/>
        <v>260.20854166666669</v>
      </c>
      <c r="AM18" s="433">
        <f t="shared" si="17"/>
        <v>130.68281250000001</v>
      </c>
      <c r="AN18" s="433">
        <f t="shared" si="17"/>
        <v>329.48281250000002</v>
      </c>
      <c r="AO18" s="433">
        <f t="shared" si="17"/>
        <v>191.26947916666668</v>
      </c>
      <c r="AP18" s="433">
        <f t="shared" si="17"/>
        <v>390.06947916666672</v>
      </c>
      <c r="AQ18" s="433">
        <f t="shared" si="17"/>
        <v>0</v>
      </c>
      <c r="AR18" s="433">
        <f t="shared" si="18"/>
        <v>198.8</v>
      </c>
      <c r="AS18" s="433">
        <f t="shared" si="18"/>
        <v>60.586666666666666</v>
      </c>
      <c r="AT18" s="433">
        <f t="shared" si="18"/>
        <v>259.38666666666666</v>
      </c>
      <c r="AU18" s="433">
        <f t="shared" si="18"/>
        <v>129.86093750000001</v>
      </c>
      <c r="AV18" s="433">
        <f t="shared" si="18"/>
        <v>328.66093750000005</v>
      </c>
      <c r="AW18" s="433">
        <f t="shared" si="18"/>
        <v>190.44760416666668</v>
      </c>
      <c r="AX18" s="433">
        <f t="shared" si="18"/>
        <v>389.24760416666669</v>
      </c>
      <c r="AY18" s="433">
        <f t="shared" si="18"/>
        <v>0.82187500000000002</v>
      </c>
      <c r="AZ18" s="433">
        <f t="shared" si="18"/>
        <v>199.62187500000002</v>
      </c>
      <c r="BA18" s="433">
        <f t="shared" si="18"/>
        <v>61.408541666666665</v>
      </c>
      <c r="BB18" s="433">
        <f t="shared" si="18"/>
        <v>260.20854166666669</v>
      </c>
      <c r="BC18" s="433">
        <f t="shared" si="18"/>
        <v>130.68281250000001</v>
      </c>
      <c r="BD18" s="433">
        <f t="shared" si="18"/>
        <v>329.48281250000002</v>
      </c>
      <c r="BE18" s="433">
        <f t="shared" si="18"/>
        <v>191.26947916666668</v>
      </c>
      <c r="BF18" s="433">
        <f t="shared" si="18"/>
        <v>390.06947916666672</v>
      </c>
    </row>
    <row r="19" spans="1:58">
      <c r="A19" s="458" t="s">
        <v>8447</v>
      </c>
      <c r="B19" s="459">
        <v>644923363</v>
      </c>
      <c r="C19" s="459" t="s">
        <v>8403</v>
      </c>
      <c r="D19" s="461" t="s">
        <v>8448</v>
      </c>
      <c r="F19" s="17" t="str">
        <f t="shared" si="5"/>
        <v>STAT+1</v>
      </c>
      <c r="G19" s="450">
        <f t="shared" si="19"/>
        <v>644923315</v>
      </c>
      <c r="H19" s="450">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26">
        <f t="shared" si="16"/>
        <v>0.82187500000000002</v>
      </c>
      <c r="U19" s="426">
        <f t="shared" si="16"/>
        <v>3.2609374999999998</v>
      </c>
      <c r="V19" s="426">
        <f t="shared" si="20"/>
        <v>512</v>
      </c>
      <c r="W19" s="426">
        <f t="shared" si="21"/>
        <v>198.8</v>
      </c>
      <c r="X19" s="426">
        <f t="shared" si="22"/>
        <v>126.6</v>
      </c>
      <c r="Y19" s="426">
        <f t="shared" si="23"/>
        <v>126.6</v>
      </c>
      <c r="Z19" s="426">
        <f t="shared" si="24"/>
        <v>60.586666666666666</v>
      </c>
      <c r="AB19" s="433">
        <f t="shared" si="17"/>
        <v>198.8</v>
      </c>
      <c r="AC19" s="433">
        <f t="shared" si="17"/>
        <v>60.586666666666666</v>
      </c>
      <c r="AD19" s="433">
        <f t="shared" si="17"/>
        <v>259.38666666666666</v>
      </c>
      <c r="AE19" s="433">
        <f t="shared" si="17"/>
        <v>129.86093750000001</v>
      </c>
      <c r="AF19" s="433">
        <f t="shared" si="17"/>
        <v>328.66093750000005</v>
      </c>
      <c r="AG19" s="433">
        <f t="shared" si="17"/>
        <v>190.44760416666668</v>
      </c>
      <c r="AH19" s="433">
        <f t="shared" si="17"/>
        <v>389.24760416666669</v>
      </c>
      <c r="AI19" s="433">
        <f t="shared" si="17"/>
        <v>0.82187500000000002</v>
      </c>
      <c r="AJ19" s="433">
        <f t="shared" si="17"/>
        <v>199.62187500000002</v>
      </c>
      <c r="AK19" s="433">
        <f t="shared" si="17"/>
        <v>61.408541666666665</v>
      </c>
      <c r="AL19" s="433">
        <f t="shared" si="17"/>
        <v>260.20854166666669</v>
      </c>
      <c r="AM19" s="433">
        <f t="shared" si="17"/>
        <v>130.68281250000001</v>
      </c>
      <c r="AN19" s="433">
        <f t="shared" si="17"/>
        <v>329.48281250000002</v>
      </c>
      <c r="AO19" s="433">
        <f t="shared" si="17"/>
        <v>191.26947916666668</v>
      </c>
      <c r="AP19" s="433">
        <f t="shared" si="17"/>
        <v>390.06947916666672</v>
      </c>
      <c r="AQ19" s="433">
        <f t="shared" si="17"/>
        <v>512</v>
      </c>
      <c r="AR19" s="433">
        <f t="shared" si="18"/>
        <v>710.8</v>
      </c>
      <c r="AS19" s="433">
        <f t="shared" si="18"/>
        <v>572.5866666666667</v>
      </c>
      <c r="AT19" s="433">
        <f t="shared" si="18"/>
        <v>771.38666666666677</v>
      </c>
      <c r="AU19" s="433">
        <f t="shared" si="18"/>
        <v>641.86093749999998</v>
      </c>
      <c r="AV19" s="433">
        <f t="shared" si="18"/>
        <v>840.66093750000005</v>
      </c>
      <c r="AW19" s="433">
        <f t="shared" si="18"/>
        <v>702.44760416666668</v>
      </c>
      <c r="AX19" s="433">
        <f t="shared" si="18"/>
        <v>901.24760416666663</v>
      </c>
      <c r="AY19" s="433">
        <f t="shared" si="18"/>
        <v>512.82187499999998</v>
      </c>
      <c r="AZ19" s="433">
        <f t="shared" si="18"/>
        <v>711.62187500000005</v>
      </c>
      <c r="BA19" s="433">
        <f t="shared" si="18"/>
        <v>573.40854166666668</v>
      </c>
      <c r="BB19" s="433">
        <f t="shared" si="18"/>
        <v>772.20854166666663</v>
      </c>
      <c r="BC19" s="433">
        <f t="shared" si="18"/>
        <v>642.68281249999995</v>
      </c>
      <c r="BD19" s="433">
        <f t="shared" si="18"/>
        <v>841.48281249999991</v>
      </c>
      <c r="BE19" s="433">
        <f t="shared" si="18"/>
        <v>703.26947916666666</v>
      </c>
      <c r="BF19" s="433">
        <f t="shared" si="18"/>
        <v>902.06947916666672</v>
      </c>
    </row>
    <row r="20" spans="1:58">
      <c r="A20" s="456" t="s">
        <v>8445</v>
      </c>
      <c r="B20" s="457">
        <v>644924846</v>
      </c>
      <c r="C20" s="457" t="s">
        <v>776</v>
      </c>
      <c r="D20" s="460" t="s">
        <v>8449</v>
      </c>
      <c r="F20" s="17" t="str">
        <f t="shared" si="5"/>
        <v>N2+40</v>
      </c>
      <c r="G20" s="450">
        <f t="shared" si="19"/>
        <v>644923315</v>
      </c>
      <c r="H20" s="450">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26">
        <f t="shared" si="16"/>
        <v>0.20546875000000001</v>
      </c>
      <c r="U20" s="426">
        <f t="shared" si="16"/>
        <v>0.81523437499999996</v>
      </c>
      <c r="V20" s="426">
        <f t="shared" si="20"/>
        <v>512</v>
      </c>
      <c r="W20" s="426">
        <f t="shared" si="21"/>
        <v>198.8</v>
      </c>
      <c r="X20" s="426">
        <f t="shared" si="22"/>
        <v>31.65</v>
      </c>
      <c r="Y20" s="426">
        <f t="shared" si="23"/>
        <v>31.65</v>
      </c>
      <c r="Z20" s="426">
        <f t="shared" si="24"/>
        <v>60.586666666666666</v>
      </c>
      <c r="AB20" s="433">
        <f t="shared" si="17"/>
        <v>198.8</v>
      </c>
      <c r="AC20" s="433">
        <f t="shared" si="17"/>
        <v>60.586666666666666</v>
      </c>
      <c r="AD20" s="433">
        <f t="shared" si="17"/>
        <v>259.38666666666666</v>
      </c>
      <c r="AE20" s="433">
        <f t="shared" si="17"/>
        <v>32.465234375000001</v>
      </c>
      <c r="AF20" s="433">
        <f t="shared" si="17"/>
        <v>231.26523437500001</v>
      </c>
      <c r="AG20" s="433">
        <f t="shared" si="17"/>
        <v>93.051901041666667</v>
      </c>
      <c r="AH20" s="433">
        <f t="shared" si="17"/>
        <v>291.85190104166668</v>
      </c>
      <c r="AI20" s="433">
        <f t="shared" si="17"/>
        <v>0.20546875000000001</v>
      </c>
      <c r="AJ20" s="433">
        <f t="shared" si="17"/>
        <v>199.00546875000001</v>
      </c>
      <c r="AK20" s="433">
        <f t="shared" si="17"/>
        <v>60.792135416666667</v>
      </c>
      <c r="AL20" s="433">
        <f t="shared" si="17"/>
        <v>259.59213541666668</v>
      </c>
      <c r="AM20" s="433">
        <f t="shared" si="17"/>
        <v>32.670703125000003</v>
      </c>
      <c r="AN20" s="433">
        <f t="shared" si="17"/>
        <v>231.470703125</v>
      </c>
      <c r="AO20" s="433">
        <f t="shared" si="17"/>
        <v>93.257369791666662</v>
      </c>
      <c r="AP20" s="433">
        <f t="shared" si="17"/>
        <v>292.0573697916667</v>
      </c>
      <c r="AQ20" s="433">
        <f t="shared" si="17"/>
        <v>512</v>
      </c>
      <c r="AR20" s="433">
        <f t="shared" si="18"/>
        <v>710.8</v>
      </c>
      <c r="AS20" s="433">
        <f t="shared" si="18"/>
        <v>572.5866666666667</v>
      </c>
      <c r="AT20" s="433">
        <f t="shared" si="18"/>
        <v>771.38666666666677</v>
      </c>
      <c r="AU20" s="433">
        <f t="shared" si="18"/>
        <v>544.46523437500002</v>
      </c>
      <c r="AV20" s="433">
        <f t="shared" si="18"/>
        <v>743.26523437500009</v>
      </c>
      <c r="AW20" s="433">
        <f t="shared" si="18"/>
        <v>605.05190104166672</v>
      </c>
      <c r="AX20" s="433">
        <f t="shared" si="18"/>
        <v>803.85190104166668</v>
      </c>
      <c r="AY20" s="433">
        <f t="shared" si="18"/>
        <v>512.20546875000002</v>
      </c>
      <c r="AZ20" s="433">
        <f t="shared" si="18"/>
        <v>711.00546875000009</v>
      </c>
      <c r="BA20" s="433">
        <f t="shared" si="18"/>
        <v>572.79213541666672</v>
      </c>
      <c r="BB20" s="433">
        <f t="shared" si="18"/>
        <v>771.59213541666668</v>
      </c>
      <c r="BC20" s="433">
        <f t="shared" si="18"/>
        <v>544.67070312500005</v>
      </c>
      <c r="BD20" s="433">
        <f t="shared" si="18"/>
        <v>743.470703125</v>
      </c>
      <c r="BE20" s="433">
        <f t="shared" si="18"/>
        <v>605.25736979166675</v>
      </c>
      <c r="BF20" s="433">
        <f t="shared" si="18"/>
        <v>804.05736979166682</v>
      </c>
    </row>
    <row r="21" spans="1:58">
      <c r="A21" s="458" t="s">
        <v>8445</v>
      </c>
      <c r="B21" s="459">
        <v>644924847</v>
      </c>
      <c r="C21" s="459" t="s">
        <v>773</v>
      </c>
      <c r="D21" s="461" t="s">
        <v>8450</v>
      </c>
      <c r="F21" s="17" t="str">
        <f t="shared" si="5"/>
        <v>N3+7200</v>
      </c>
      <c r="G21" s="450">
        <f t="shared" si="19"/>
        <v>644923315</v>
      </c>
      <c r="H21" s="450">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26">
        <f t="shared" si="16"/>
        <v>0.20546875000000001</v>
      </c>
      <c r="U21" s="426">
        <f t="shared" si="16"/>
        <v>0.81523437499999996</v>
      </c>
      <c r="V21" s="426">
        <f t="shared" si="20"/>
        <v>512</v>
      </c>
      <c r="W21" s="426">
        <f t="shared" si="21"/>
        <v>198.8</v>
      </c>
      <c r="X21" s="426">
        <f t="shared" si="22"/>
        <v>31.65</v>
      </c>
      <c r="Y21" s="426">
        <f t="shared" si="23"/>
        <v>31.65</v>
      </c>
      <c r="Z21" s="426">
        <f t="shared" si="24"/>
        <v>2.5244444444444443</v>
      </c>
      <c r="AB21" s="433">
        <f t="shared" si="17"/>
        <v>198.8</v>
      </c>
      <c r="AC21" s="433">
        <f t="shared" si="17"/>
        <v>2.5244444444444443</v>
      </c>
      <c r="AD21" s="433">
        <f t="shared" si="17"/>
        <v>201.32444444444445</v>
      </c>
      <c r="AE21" s="433">
        <f t="shared" si="17"/>
        <v>32.465234375000001</v>
      </c>
      <c r="AF21" s="433">
        <f t="shared" si="17"/>
        <v>231.26523437500001</v>
      </c>
      <c r="AG21" s="433">
        <f t="shared" si="17"/>
        <v>34.989678819444443</v>
      </c>
      <c r="AH21" s="433">
        <f t="shared" si="17"/>
        <v>233.78967881944445</v>
      </c>
      <c r="AI21" s="433">
        <f t="shared" si="17"/>
        <v>0.20546875000000001</v>
      </c>
      <c r="AJ21" s="433">
        <f t="shared" si="17"/>
        <v>199.00546875000001</v>
      </c>
      <c r="AK21" s="433">
        <f t="shared" si="17"/>
        <v>2.7299131944444444</v>
      </c>
      <c r="AL21" s="433">
        <f t="shared" si="17"/>
        <v>201.52991319444445</v>
      </c>
      <c r="AM21" s="433">
        <f t="shared" si="17"/>
        <v>32.670703125000003</v>
      </c>
      <c r="AN21" s="433">
        <f t="shared" si="17"/>
        <v>231.470703125</v>
      </c>
      <c r="AO21" s="433">
        <f t="shared" si="17"/>
        <v>35.195147569444444</v>
      </c>
      <c r="AP21" s="433">
        <f t="shared" si="17"/>
        <v>233.99514756944444</v>
      </c>
      <c r="AQ21" s="433">
        <f t="shared" si="17"/>
        <v>512</v>
      </c>
      <c r="AR21" s="433">
        <f t="shared" si="18"/>
        <v>710.8</v>
      </c>
      <c r="AS21" s="433">
        <f t="shared" si="18"/>
        <v>514.5244444444445</v>
      </c>
      <c r="AT21" s="433">
        <f t="shared" si="18"/>
        <v>713.32444444444445</v>
      </c>
      <c r="AU21" s="433">
        <f t="shared" si="18"/>
        <v>544.46523437500002</v>
      </c>
      <c r="AV21" s="433">
        <f t="shared" si="18"/>
        <v>743.26523437500009</v>
      </c>
      <c r="AW21" s="433">
        <f t="shared" si="18"/>
        <v>546.98967881944452</v>
      </c>
      <c r="AX21" s="433">
        <f t="shared" si="18"/>
        <v>745.78967881944459</v>
      </c>
      <c r="AY21" s="433">
        <f t="shared" si="18"/>
        <v>512.20546875000002</v>
      </c>
      <c r="AZ21" s="433">
        <f t="shared" si="18"/>
        <v>711.00546875000009</v>
      </c>
      <c r="BA21" s="433">
        <f t="shared" si="18"/>
        <v>514.72991319444452</v>
      </c>
      <c r="BB21" s="433">
        <f t="shared" si="18"/>
        <v>713.52991319444459</v>
      </c>
      <c r="BC21" s="433">
        <f t="shared" si="18"/>
        <v>544.67070312500005</v>
      </c>
      <c r="BD21" s="433">
        <f t="shared" si="18"/>
        <v>743.470703125</v>
      </c>
      <c r="BE21" s="433">
        <f t="shared" si="18"/>
        <v>547.19514756944454</v>
      </c>
      <c r="BF21" s="433">
        <f t="shared" si="18"/>
        <v>745.9951475694445</v>
      </c>
    </row>
    <row r="22" spans="1:58">
      <c r="A22" s="456" t="s">
        <v>8445</v>
      </c>
      <c r="B22" s="457">
        <v>644924848</v>
      </c>
      <c r="C22" s="457" t="s">
        <v>12</v>
      </c>
      <c r="D22" s="460" t="s">
        <v>8451</v>
      </c>
      <c r="F22" s="17" t="str">
        <f t="shared" si="5"/>
        <v>N1+3600</v>
      </c>
      <c r="G22" s="450">
        <f t="shared" si="19"/>
        <v>644923315</v>
      </c>
      <c r="H22" s="450">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26">
        <f t="shared" si="16"/>
        <v>0.20546875000000001</v>
      </c>
      <c r="U22" s="426">
        <f t="shared" si="16"/>
        <v>0.81523437499999996</v>
      </c>
      <c r="V22" s="426">
        <f t="shared" si="20"/>
        <v>512</v>
      </c>
      <c r="W22" s="426">
        <f t="shared" si="21"/>
        <v>0.55222222222222217</v>
      </c>
      <c r="X22" s="426">
        <f t="shared" si="22"/>
        <v>31.65</v>
      </c>
      <c r="Y22" s="426">
        <f t="shared" si="23"/>
        <v>31.65</v>
      </c>
      <c r="Z22" s="426">
        <f t="shared" si="24"/>
        <v>2.5244444444444443</v>
      </c>
      <c r="AB22" s="433">
        <f t="shared" si="17"/>
        <v>0.55222222222222217</v>
      </c>
      <c r="AC22" s="433">
        <f t="shared" si="17"/>
        <v>2.5244444444444443</v>
      </c>
      <c r="AD22" s="433">
        <f t="shared" si="17"/>
        <v>3.0766666666666662</v>
      </c>
      <c r="AE22" s="433">
        <f t="shared" si="17"/>
        <v>32.465234375000001</v>
      </c>
      <c r="AF22" s="433">
        <f t="shared" si="17"/>
        <v>33.017456597222221</v>
      </c>
      <c r="AG22" s="433">
        <f t="shared" si="17"/>
        <v>34.989678819444443</v>
      </c>
      <c r="AH22" s="433">
        <f t="shared" si="17"/>
        <v>35.541901041666662</v>
      </c>
      <c r="AI22" s="433">
        <f t="shared" si="17"/>
        <v>0.20546875000000001</v>
      </c>
      <c r="AJ22" s="433">
        <f t="shared" si="17"/>
        <v>0.75769097222222215</v>
      </c>
      <c r="AK22" s="433">
        <f t="shared" si="17"/>
        <v>2.7299131944444444</v>
      </c>
      <c r="AL22" s="433">
        <f t="shared" si="17"/>
        <v>3.2821354166666667</v>
      </c>
      <c r="AM22" s="433">
        <f t="shared" si="17"/>
        <v>32.670703125000003</v>
      </c>
      <c r="AN22" s="433">
        <f t="shared" si="17"/>
        <v>33.222925347222223</v>
      </c>
      <c r="AO22" s="433">
        <f t="shared" si="17"/>
        <v>35.195147569444444</v>
      </c>
      <c r="AP22" s="433">
        <f t="shared" si="17"/>
        <v>35.747369791666664</v>
      </c>
      <c r="AQ22" s="433">
        <f t="shared" si="17"/>
        <v>512</v>
      </c>
      <c r="AR22" s="433">
        <f t="shared" si="18"/>
        <v>512.55222222222221</v>
      </c>
      <c r="AS22" s="433">
        <f t="shared" si="18"/>
        <v>514.5244444444445</v>
      </c>
      <c r="AT22" s="433">
        <f t="shared" si="18"/>
        <v>515.07666666666671</v>
      </c>
      <c r="AU22" s="433">
        <f t="shared" si="18"/>
        <v>544.46523437500002</v>
      </c>
      <c r="AV22" s="433">
        <f t="shared" si="18"/>
        <v>545.01745659722224</v>
      </c>
      <c r="AW22" s="433">
        <f t="shared" si="18"/>
        <v>546.98967881944452</v>
      </c>
      <c r="AX22" s="433">
        <f t="shared" si="18"/>
        <v>547.54190104166673</v>
      </c>
      <c r="AY22" s="433">
        <f t="shared" si="18"/>
        <v>512.20546875000002</v>
      </c>
      <c r="AZ22" s="433">
        <f t="shared" si="18"/>
        <v>512.75769097222224</v>
      </c>
      <c r="BA22" s="433">
        <f t="shared" si="18"/>
        <v>514.72991319444452</v>
      </c>
      <c r="BB22" s="433">
        <f t="shared" si="18"/>
        <v>515.28213541666673</v>
      </c>
      <c r="BC22" s="433">
        <f t="shared" si="18"/>
        <v>544.67070312500005</v>
      </c>
      <c r="BD22" s="433">
        <f t="shared" si="18"/>
        <v>545.22292534722226</v>
      </c>
      <c r="BE22" s="433">
        <f t="shared" si="18"/>
        <v>547.19514756944454</v>
      </c>
      <c r="BF22" s="433">
        <f t="shared" si="18"/>
        <v>547.74736979166676</v>
      </c>
    </row>
    <row r="23" spans="1:58">
      <c r="A23" s="458" t="s">
        <v>8447</v>
      </c>
      <c r="B23" s="459">
        <v>644924849</v>
      </c>
      <c r="C23" s="459" t="s">
        <v>8403</v>
      </c>
      <c r="D23" s="461" t="s">
        <v>8446</v>
      </c>
      <c r="F23" s="17" t="str">
        <f t="shared" si="5"/>
        <v>STAT+300</v>
      </c>
      <c r="G23" s="450">
        <f t="shared" si="19"/>
        <v>644923315</v>
      </c>
      <c r="H23" s="450">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26">
        <f t="shared" si="16"/>
        <v>0.20546875000000001</v>
      </c>
      <c r="U23" s="426">
        <f t="shared" si="16"/>
        <v>0.81523437499999996</v>
      </c>
      <c r="V23" s="426">
        <f t="shared" si="20"/>
        <v>1.7066666666666668</v>
      </c>
      <c r="W23" s="426">
        <f t="shared" si="21"/>
        <v>0.55222222222222217</v>
      </c>
      <c r="X23" s="426">
        <f t="shared" si="22"/>
        <v>31.65</v>
      </c>
      <c r="Y23" s="426">
        <f t="shared" si="23"/>
        <v>31.65</v>
      </c>
      <c r="Z23" s="426">
        <f t="shared" si="24"/>
        <v>2.5244444444444443</v>
      </c>
      <c r="AB23" s="433">
        <f t="shared" si="17"/>
        <v>0.55222222222222217</v>
      </c>
      <c r="AC23" s="433">
        <f t="shared" si="17"/>
        <v>2.5244444444444443</v>
      </c>
      <c r="AD23" s="433">
        <f t="shared" si="17"/>
        <v>3.0766666666666662</v>
      </c>
      <c r="AE23" s="433">
        <f t="shared" si="17"/>
        <v>32.465234375000001</v>
      </c>
      <c r="AF23" s="433">
        <f t="shared" si="17"/>
        <v>33.017456597222221</v>
      </c>
      <c r="AG23" s="433">
        <f t="shared" si="17"/>
        <v>34.989678819444443</v>
      </c>
      <c r="AH23" s="433">
        <f t="shared" si="17"/>
        <v>35.541901041666662</v>
      </c>
      <c r="AI23" s="433">
        <f t="shared" si="17"/>
        <v>0.20546875000000001</v>
      </c>
      <c r="AJ23" s="433">
        <f t="shared" si="17"/>
        <v>0.75769097222222215</v>
      </c>
      <c r="AK23" s="433">
        <f t="shared" si="17"/>
        <v>2.7299131944444444</v>
      </c>
      <c r="AL23" s="433">
        <f t="shared" si="17"/>
        <v>3.2821354166666667</v>
      </c>
      <c r="AM23" s="433">
        <f t="shared" si="17"/>
        <v>32.670703125000003</v>
      </c>
      <c r="AN23" s="433">
        <f t="shared" si="17"/>
        <v>33.222925347222223</v>
      </c>
      <c r="AO23" s="433">
        <f t="shared" si="17"/>
        <v>35.195147569444444</v>
      </c>
      <c r="AP23" s="433">
        <f t="shared" si="17"/>
        <v>35.747369791666664</v>
      </c>
      <c r="AQ23" s="433">
        <f t="shared" si="17"/>
        <v>1.7066666666666668</v>
      </c>
      <c r="AR23" s="433">
        <f t="shared" si="18"/>
        <v>2.2588888888888889</v>
      </c>
      <c r="AS23" s="433">
        <f t="shared" si="18"/>
        <v>4.2311111111111108</v>
      </c>
      <c r="AT23" s="433">
        <f t="shared" si="18"/>
        <v>4.7833333333333332</v>
      </c>
      <c r="AU23" s="433">
        <f t="shared" si="18"/>
        <v>34.171901041666665</v>
      </c>
      <c r="AV23" s="433">
        <f t="shared" si="18"/>
        <v>34.724123263888885</v>
      </c>
      <c r="AW23" s="433">
        <f t="shared" si="18"/>
        <v>36.696345486111106</v>
      </c>
      <c r="AX23" s="433">
        <f t="shared" si="18"/>
        <v>37.248567708333326</v>
      </c>
      <c r="AY23" s="433">
        <f t="shared" si="18"/>
        <v>1.9121354166666669</v>
      </c>
      <c r="AZ23" s="433">
        <f t="shared" si="18"/>
        <v>2.464357638888889</v>
      </c>
      <c r="BA23" s="433">
        <f t="shared" si="18"/>
        <v>4.4365798611111114</v>
      </c>
      <c r="BB23" s="433">
        <f t="shared" si="18"/>
        <v>4.9888020833333337</v>
      </c>
      <c r="BC23" s="433">
        <f t="shared" si="18"/>
        <v>34.377369791666666</v>
      </c>
      <c r="BD23" s="433">
        <f t="shared" si="18"/>
        <v>34.929592013888886</v>
      </c>
      <c r="BE23" s="433">
        <f t="shared" si="18"/>
        <v>36.901814236111107</v>
      </c>
      <c r="BF23" s="433">
        <f t="shared" si="18"/>
        <v>37.454036458333327</v>
      </c>
    </row>
    <row r="24" spans="1:58">
      <c r="A24" s="456" t="s">
        <v>8445</v>
      </c>
      <c r="B24" s="457">
        <v>644924995</v>
      </c>
      <c r="C24" s="457" t="s">
        <v>776</v>
      </c>
      <c r="D24" s="460" t="s">
        <v>8452</v>
      </c>
      <c r="F24" s="17" t="str">
        <f t="shared" si="5"/>
        <v>N2+360</v>
      </c>
      <c r="G24" s="450">
        <f t="shared" si="19"/>
        <v>644923315</v>
      </c>
      <c r="H24" s="450">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26">
        <f t="shared" si="16"/>
        <v>2.282986111111111E-2</v>
      </c>
      <c r="U24" s="426">
        <f t="shared" si="16"/>
        <v>9.0581597222222227E-2</v>
      </c>
      <c r="V24" s="426">
        <f t="shared" si="20"/>
        <v>1.7066666666666668</v>
      </c>
      <c r="W24" s="426">
        <f t="shared" si="21"/>
        <v>0.55222222222222217</v>
      </c>
      <c r="X24" s="426">
        <f t="shared" si="22"/>
        <v>3.5166666666666666</v>
      </c>
      <c r="Y24" s="426">
        <f t="shared" si="23"/>
        <v>3.5166666666666666</v>
      </c>
      <c r="Z24" s="426">
        <f t="shared" si="24"/>
        <v>2.5244444444444443</v>
      </c>
      <c r="AB24" s="434">
        <f t="shared" si="17"/>
        <v>0.55222222222222217</v>
      </c>
      <c r="AC24" s="434">
        <f t="shared" si="17"/>
        <v>2.5244444444444443</v>
      </c>
      <c r="AD24" s="434">
        <f t="shared" si="17"/>
        <v>3.0766666666666662</v>
      </c>
      <c r="AE24" s="434">
        <f t="shared" si="17"/>
        <v>3.6072482638888888</v>
      </c>
      <c r="AF24" s="434">
        <f t="shared" si="17"/>
        <v>4.1594704861111111</v>
      </c>
      <c r="AG24" s="434">
        <f t="shared" si="17"/>
        <v>6.1316927083333326</v>
      </c>
      <c r="AH24" s="434">
        <f t="shared" si="17"/>
        <v>6.683914930555555</v>
      </c>
      <c r="AI24" s="434">
        <f t="shared" si="17"/>
        <v>2.282986111111111E-2</v>
      </c>
      <c r="AJ24" s="434">
        <f t="shared" si="17"/>
        <v>0.57505208333333324</v>
      </c>
      <c r="AK24" s="434">
        <f t="shared" si="17"/>
        <v>2.5472743055555553</v>
      </c>
      <c r="AL24" s="434">
        <f t="shared" si="17"/>
        <v>3.0994965277777773</v>
      </c>
      <c r="AM24" s="434">
        <f t="shared" si="17"/>
        <v>3.6300781249999998</v>
      </c>
      <c r="AN24" s="434">
        <f t="shared" si="17"/>
        <v>4.1823003472222222</v>
      </c>
      <c r="AO24" s="434">
        <f t="shared" si="17"/>
        <v>6.1545225694444436</v>
      </c>
      <c r="AP24" s="434">
        <f t="shared" si="17"/>
        <v>6.706744791666666</v>
      </c>
      <c r="AQ24" s="434">
        <f t="shared" si="17"/>
        <v>1.7066666666666668</v>
      </c>
      <c r="AR24" s="434">
        <f t="shared" si="18"/>
        <v>2.2588888888888889</v>
      </c>
      <c r="AS24" s="434">
        <f t="shared" si="18"/>
        <v>4.2311111111111108</v>
      </c>
      <c r="AT24" s="434">
        <f t="shared" si="18"/>
        <v>4.7833333333333332</v>
      </c>
      <c r="AU24" s="434">
        <f t="shared" si="18"/>
        <v>5.3139149305555557</v>
      </c>
      <c r="AV24" s="434">
        <f t="shared" si="18"/>
        <v>5.8661371527777781</v>
      </c>
      <c r="AW24" s="434">
        <f t="shared" si="18"/>
        <v>7.8383593749999996</v>
      </c>
      <c r="AX24" s="434">
        <f t="shared" si="18"/>
        <v>8.3905815972222211</v>
      </c>
      <c r="AY24" s="434">
        <f t="shared" si="18"/>
        <v>1.7294965277777778</v>
      </c>
      <c r="AZ24" s="434">
        <f t="shared" si="18"/>
        <v>2.28171875</v>
      </c>
      <c r="BA24" s="434">
        <f t="shared" si="18"/>
        <v>4.2539409722222219</v>
      </c>
      <c r="BB24" s="434">
        <f t="shared" si="18"/>
        <v>4.8061631944444443</v>
      </c>
      <c r="BC24" s="434">
        <f t="shared" si="18"/>
        <v>5.3367447916666668</v>
      </c>
      <c r="BD24" s="434">
        <f t="shared" si="18"/>
        <v>5.8889670138888892</v>
      </c>
      <c r="BE24" s="434">
        <f t="shared" si="18"/>
        <v>7.8611892361111106</v>
      </c>
      <c r="BF24" s="434">
        <f t="shared" si="18"/>
        <v>8.4134114583333321</v>
      </c>
    </row>
    <row r="25" spans="1:58">
      <c r="A25" s="458" t="s">
        <v>8445</v>
      </c>
      <c r="B25" s="459">
        <v>644924998</v>
      </c>
      <c r="C25" s="459" t="s">
        <v>12</v>
      </c>
      <c r="D25" s="461" t="s">
        <v>8452</v>
      </c>
      <c r="F25" s="17" t="str">
        <f t="shared" si="5"/>
        <v>N1+360</v>
      </c>
      <c r="G25" s="450">
        <f t="shared" si="19"/>
        <v>644923315</v>
      </c>
      <c r="H25" s="450">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26">
        <f t="shared" si="16"/>
        <v>2.282986111111111E-2</v>
      </c>
      <c r="U25" s="426">
        <f t="shared" si="16"/>
        <v>9.0581597222222227E-2</v>
      </c>
      <c r="V25" s="426">
        <f t="shared" si="20"/>
        <v>1.7066666666666668</v>
      </c>
      <c r="W25" s="426">
        <f t="shared" si="21"/>
        <v>5.5222222222222221</v>
      </c>
      <c r="X25" s="426">
        <f t="shared" si="22"/>
        <v>3.5166666666666666</v>
      </c>
      <c r="Y25" s="426">
        <f t="shared" si="23"/>
        <v>3.5166666666666666</v>
      </c>
      <c r="Z25" s="426">
        <f t="shared" si="24"/>
        <v>2.5244444444444443</v>
      </c>
      <c r="AB25" s="434">
        <f t="shared" si="17"/>
        <v>5.5222222222222221</v>
      </c>
      <c r="AC25" s="434">
        <f t="shared" si="17"/>
        <v>2.5244444444444443</v>
      </c>
      <c r="AD25" s="434">
        <f t="shared" si="17"/>
        <v>8.0466666666666669</v>
      </c>
      <c r="AE25" s="434">
        <f t="shared" si="17"/>
        <v>3.6072482638888888</v>
      </c>
      <c r="AF25" s="434">
        <f t="shared" si="17"/>
        <v>9.12947048611111</v>
      </c>
      <c r="AG25" s="434">
        <f t="shared" si="17"/>
        <v>6.1316927083333326</v>
      </c>
      <c r="AH25" s="434">
        <f t="shared" si="17"/>
        <v>11.653914930555555</v>
      </c>
      <c r="AI25" s="434">
        <f t="shared" si="17"/>
        <v>2.282986111111111E-2</v>
      </c>
      <c r="AJ25" s="434">
        <f t="shared" si="17"/>
        <v>5.5450520833333332</v>
      </c>
      <c r="AK25" s="434">
        <f t="shared" si="17"/>
        <v>2.5472743055555553</v>
      </c>
      <c r="AL25" s="434">
        <f t="shared" si="17"/>
        <v>8.0694965277777779</v>
      </c>
      <c r="AM25" s="434">
        <f t="shared" si="17"/>
        <v>3.6300781249999998</v>
      </c>
      <c r="AN25" s="434">
        <f t="shared" si="17"/>
        <v>9.1523003472222229</v>
      </c>
      <c r="AO25" s="434">
        <f t="shared" si="17"/>
        <v>6.1545225694444436</v>
      </c>
      <c r="AP25" s="434">
        <f t="shared" si="17"/>
        <v>11.676744791666666</v>
      </c>
      <c r="AQ25" s="434">
        <f t="shared" si="17"/>
        <v>1.7066666666666668</v>
      </c>
      <c r="AR25" s="434">
        <f t="shared" si="18"/>
        <v>7.2288888888888891</v>
      </c>
      <c r="AS25" s="434">
        <f t="shared" si="18"/>
        <v>4.2311111111111108</v>
      </c>
      <c r="AT25" s="434">
        <f t="shared" si="18"/>
        <v>9.7533333333333339</v>
      </c>
      <c r="AU25" s="434">
        <f t="shared" si="18"/>
        <v>5.3139149305555557</v>
      </c>
      <c r="AV25" s="434">
        <f t="shared" si="18"/>
        <v>10.836137152777777</v>
      </c>
      <c r="AW25" s="434">
        <f t="shared" si="18"/>
        <v>7.8383593749999996</v>
      </c>
      <c r="AX25" s="434">
        <f t="shared" si="18"/>
        <v>13.360581597222222</v>
      </c>
      <c r="AY25" s="434">
        <f t="shared" si="18"/>
        <v>1.7294965277777778</v>
      </c>
      <c r="AZ25" s="434">
        <f t="shared" si="18"/>
        <v>7.2517187500000002</v>
      </c>
      <c r="BA25" s="434">
        <f t="shared" si="18"/>
        <v>4.2539409722222219</v>
      </c>
      <c r="BB25" s="434">
        <f t="shared" si="18"/>
        <v>9.7761631944444431</v>
      </c>
      <c r="BC25" s="434">
        <f t="shared" si="18"/>
        <v>5.3367447916666668</v>
      </c>
      <c r="BD25" s="434">
        <f t="shared" si="18"/>
        <v>10.85896701388889</v>
      </c>
      <c r="BE25" s="434">
        <f t="shared" si="18"/>
        <v>7.8611892361111106</v>
      </c>
      <c r="BF25" s="434">
        <f t="shared" si="18"/>
        <v>13.383411458333333</v>
      </c>
    </row>
    <row r="26" spans="1:58">
      <c r="A26" s="456" t="s">
        <v>8445</v>
      </c>
      <c r="B26" s="457">
        <v>644925001</v>
      </c>
      <c r="C26" s="457" t="s">
        <v>773</v>
      </c>
      <c r="D26" s="460" t="s">
        <v>8453</v>
      </c>
      <c r="F26" s="17" t="str">
        <f t="shared" si="5"/>
        <v>N3+900</v>
      </c>
      <c r="G26" s="450">
        <f t="shared" si="19"/>
        <v>644923315</v>
      </c>
      <c r="H26" s="450">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26">
        <f t="shared" si="16"/>
        <v>2.282986111111111E-2</v>
      </c>
      <c r="U26" s="426">
        <f t="shared" si="16"/>
        <v>9.0581597222222227E-2</v>
      </c>
      <c r="V26" s="426">
        <f t="shared" si="20"/>
        <v>1.7066666666666668</v>
      </c>
      <c r="W26" s="426">
        <f t="shared" si="21"/>
        <v>5.5222222222222221</v>
      </c>
      <c r="X26" s="426">
        <f t="shared" si="22"/>
        <v>3.5166666666666666</v>
      </c>
      <c r="Y26" s="426">
        <f t="shared" si="23"/>
        <v>3.5166666666666666</v>
      </c>
      <c r="Z26" s="426">
        <f t="shared" si="24"/>
        <v>20.195555555555554</v>
      </c>
      <c r="AB26" s="434">
        <f t="shared" si="17"/>
        <v>5.5222222222222221</v>
      </c>
      <c r="AC26" s="434">
        <f t="shared" si="17"/>
        <v>20.195555555555554</v>
      </c>
      <c r="AD26" s="434">
        <f t="shared" si="17"/>
        <v>25.717777777777776</v>
      </c>
      <c r="AE26" s="434">
        <f t="shared" si="17"/>
        <v>3.6072482638888888</v>
      </c>
      <c r="AF26" s="434">
        <f t="shared" si="17"/>
        <v>9.12947048611111</v>
      </c>
      <c r="AG26" s="434">
        <f t="shared" si="17"/>
        <v>23.802803819444442</v>
      </c>
      <c r="AH26" s="434">
        <f t="shared" si="17"/>
        <v>29.325026041666664</v>
      </c>
      <c r="AI26" s="434">
        <f t="shared" si="17"/>
        <v>2.282986111111111E-2</v>
      </c>
      <c r="AJ26" s="434">
        <f t="shared" si="17"/>
        <v>5.5450520833333332</v>
      </c>
      <c r="AK26" s="434">
        <f t="shared" si="17"/>
        <v>20.218385416666667</v>
      </c>
      <c r="AL26" s="434">
        <f t="shared" si="17"/>
        <v>25.740607638888889</v>
      </c>
      <c r="AM26" s="434">
        <f t="shared" si="17"/>
        <v>3.6300781249999998</v>
      </c>
      <c r="AN26" s="434">
        <f t="shared" si="17"/>
        <v>9.1523003472222229</v>
      </c>
      <c r="AO26" s="434">
        <f t="shared" si="17"/>
        <v>23.825633680555555</v>
      </c>
      <c r="AP26" s="434">
        <f t="shared" si="17"/>
        <v>29.347855902777777</v>
      </c>
      <c r="AQ26" s="434">
        <f t="shared" si="17"/>
        <v>1.7066666666666668</v>
      </c>
      <c r="AR26" s="434">
        <f t="shared" si="18"/>
        <v>7.2288888888888891</v>
      </c>
      <c r="AS26" s="434">
        <f t="shared" si="18"/>
        <v>21.902222222222221</v>
      </c>
      <c r="AT26" s="434">
        <f t="shared" si="18"/>
        <v>27.424444444444443</v>
      </c>
      <c r="AU26" s="434">
        <f t="shared" si="18"/>
        <v>5.3139149305555557</v>
      </c>
      <c r="AV26" s="434">
        <f t="shared" si="18"/>
        <v>10.836137152777777</v>
      </c>
      <c r="AW26" s="434">
        <f t="shared" si="18"/>
        <v>25.509470486111109</v>
      </c>
      <c r="AX26" s="434">
        <f t="shared" si="18"/>
        <v>31.031692708333331</v>
      </c>
      <c r="AY26" s="434">
        <f t="shared" si="18"/>
        <v>1.7294965277777778</v>
      </c>
      <c r="AZ26" s="434">
        <f t="shared" si="18"/>
        <v>7.2517187500000002</v>
      </c>
      <c r="BA26" s="434">
        <f t="shared" si="18"/>
        <v>21.92505208333333</v>
      </c>
      <c r="BB26" s="434">
        <f t="shared" si="18"/>
        <v>27.447274305555553</v>
      </c>
      <c r="BC26" s="434">
        <f t="shared" si="18"/>
        <v>5.3367447916666668</v>
      </c>
      <c r="BD26" s="434">
        <f t="shared" si="18"/>
        <v>10.85896701388889</v>
      </c>
      <c r="BE26" s="434">
        <f t="shared" si="18"/>
        <v>25.532300347222222</v>
      </c>
      <c r="BF26" s="434">
        <f t="shared" si="18"/>
        <v>31.054522569444444</v>
      </c>
    </row>
    <row r="27" spans="1:58">
      <c r="A27" s="458" t="s">
        <v>8447</v>
      </c>
      <c r="B27" s="459">
        <v>644925004</v>
      </c>
      <c r="C27" s="459" t="s">
        <v>8403</v>
      </c>
      <c r="D27" s="461" t="s">
        <v>8454</v>
      </c>
      <c r="F27" s="17" t="str">
        <f t="shared" si="5"/>
        <v>STAT+1800</v>
      </c>
      <c r="G27" s="450">
        <f t="shared" si="19"/>
        <v>644923315</v>
      </c>
      <c r="H27" s="450">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26">
        <f t="shared" si="16"/>
        <v>2.282986111111111E-2</v>
      </c>
      <c r="U27" s="426">
        <f t="shared" si="16"/>
        <v>9.0581597222222227E-2</v>
      </c>
      <c r="V27" s="426">
        <f t="shared" si="20"/>
        <v>0.28444444444444444</v>
      </c>
      <c r="W27" s="426">
        <f t="shared" si="21"/>
        <v>5.5222222222222221</v>
      </c>
      <c r="X27" s="426">
        <f t="shared" si="22"/>
        <v>3.5166666666666666</v>
      </c>
      <c r="Y27" s="426">
        <f t="shared" si="23"/>
        <v>3.5166666666666666</v>
      </c>
      <c r="Z27" s="426">
        <f t="shared" si="24"/>
        <v>20.195555555555554</v>
      </c>
      <c r="AB27" s="434">
        <f t="shared" si="17"/>
        <v>5.5222222222222221</v>
      </c>
      <c r="AC27" s="434">
        <f t="shared" si="17"/>
        <v>20.195555555555554</v>
      </c>
      <c r="AD27" s="434">
        <f t="shared" si="17"/>
        <v>25.717777777777776</v>
      </c>
      <c r="AE27" s="434">
        <f t="shared" si="17"/>
        <v>3.6072482638888888</v>
      </c>
      <c r="AF27" s="434">
        <f t="shared" si="17"/>
        <v>9.12947048611111</v>
      </c>
      <c r="AG27" s="434">
        <f t="shared" si="17"/>
        <v>23.802803819444442</v>
      </c>
      <c r="AH27" s="434">
        <f t="shared" si="17"/>
        <v>29.325026041666664</v>
      </c>
      <c r="AI27" s="434">
        <f t="shared" si="17"/>
        <v>2.282986111111111E-2</v>
      </c>
      <c r="AJ27" s="434">
        <f t="shared" si="17"/>
        <v>5.5450520833333332</v>
      </c>
      <c r="AK27" s="434">
        <f t="shared" si="17"/>
        <v>20.218385416666667</v>
      </c>
      <c r="AL27" s="434">
        <f t="shared" si="17"/>
        <v>25.740607638888889</v>
      </c>
      <c r="AM27" s="434">
        <f t="shared" si="17"/>
        <v>3.6300781249999998</v>
      </c>
      <c r="AN27" s="434">
        <f t="shared" si="17"/>
        <v>9.1523003472222229</v>
      </c>
      <c r="AO27" s="434">
        <f t="shared" si="17"/>
        <v>23.825633680555555</v>
      </c>
      <c r="AP27" s="434">
        <f t="shared" si="17"/>
        <v>29.347855902777777</v>
      </c>
      <c r="AQ27" s="434">
        <f t="shared" si="17"/>
        <v>0.28444444444444444</v>
      </c>
      <c r="AR27" s="434">
        <f t="shared" si="18"/>
        <v>5.8066666666666666</v>
      </c>
      <c r="AS27" s="434">
        <f t="shared" si="18"/>
        <v>20.479999999999997</v>
      </c>
      <c r="AT27" s="434">
        <f t="shared" si="18"/>
        <v>26.002222222222219</v>
      </c>
      <c r="AU27" s="434">
        <f t="shared" si="18"/>
        <v>3.8916927083333333</v>
      </c>
      <c r="AV27" s="434">
        <f t="shared" si="18"/>
        <v>9.4139149305555563</v>
      </c>
      <c r="AW27" s="434">
        <f t="shared" si="18"/>
        <v>24.087248263888888</v>
      </c>
      <c r="AX27" s="434">
        <f t="shared" si="18"/>
        <v>29.60947048611111</v>
      </c>
      <c r="AY27" s="434">
        <f t="shared" si="18"/>
        <v>0.30727430555555557</v>
      </c>
      <c r="AZ27" s="434">
        <f t="shared" si="18"/>
        <v>5.8294965277777777</v>
      </c>
      <c r="BA27" s="434">
        <f t="shared" si="18"/>
        <v>20.50282986111111</v>
      </c>
      <c r="BB27" s="434">
        <f t="shared" si="18"/>
        <v>26.025052083333332</v>
      </c>
      <c r="BC27" s="434">
        <f t="shared" si="18"/>
        <v>3.9145225694444443</v>
      </c>
      <c r="BD27" s="434">
        <f t="shared" si="18"/>
        <v>9.4367447916666656</v>
      </c>
      <c r="BE27" s="434">
        <f t="shared" si="18"/>
        <v>24.110078124999998</v>
      </c>
      <c r="BF27" s="434">
        <f t="shared" si="18"/>
        <v>29.63230034722222</v>
      </c>
    </row>
    <row r="28" spans="1:58">
      <c r="A28" s="456" t="s">
        <v>8443</v>
      </c>
      <c r="B28" s="457">
        <v>644925055</v>
      </c>
      <c r="C28" s="457" t="s">
        <v>8404</v>
      </c>
      <c r="D28" s="460">
        <v>102</v>
      </c>
      <c r="F28" s="17" t="str">
        <f t="shared" si="5"/>
        <v>MAC+102</v>
      </c>
      <c r="G28" s="450">
        <f t="shared" si="19"/>
        <v>644923315</v>
      </c>
      <c r="H28" s="450">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26">
        <f t="shared" si="16"/>
        <v>2.282986111111111E-2</v>
      </c>
      <c r="U28" s="426">
        <f t="shared" si="16"/>
        <v>9.0581597222222227E-2</v>
      </c>
      <c r="V28" s="426">
        <f t="shared" si="20"/>
        <v>0.28444444444444444</v>
      </c>
      <c r="W28" s="426">
        <f t="shared" si="21"/>
        <v>5.5222222222222221</v>
      </c>
      <c r="X28" s="426">
        <f t="shared" si="22"/>
        <v>3.5166666666666666</v>
      </c>
      <c r="Y28" s="426">
        <f t="shared" si="23"/>
        <v>3.5166666666666666</v>
      </c>
      <c r="Z28" s="426">
        <f t="shared" si="24"/>
        <v>20.195555555555554</v>
      </c>
      <c r="AB28" s="434">
        <f t="shared" si="17"/>
        <v>5.5222222222222221</v>
      </c>
      <c r="AC28" s="434">
        <f t="shared" si="17"/>
        <v>20.286137152777776</v>
      </c>
      <c r="AD28" s="434">
        <f t="shared" si="17"/>
        <v>25.808359374999998</v>
      </c>
      <c r="AE28" s="434">
        <f t="shared" si="17"/>
        <v>3.5166666666666666</v>
      </c>
      <c r="AF28" s="434">
        <f t="shared" si="17"/>
        <v>9.0388888888888879</v>
      </c>
      <c r="AG28" s="434">
        <f t="shared" si="17"/>
        <v>23.802803819444442</v>
      </c>
      <c r="AH28" s="434">
        <f t="shared" si="17"/>
        <v>29.325026041666664</v>
      </c>
      <c r="AI28" s="434">
        <f t="shared" si="17"/>
        <v>2.282986111111111E-2</v>
      </c>
      <c r="AJ28" s="434">
        <f t="shared" si="17"/>
        <v>5.5450520833333332</v>
      </c>
      <c r="AK28" s="434">
        <f t="shared" si="17"/>
        <v>20.308967013888889</v>
      </c>
      <c r="AL28" s="434">
        <f t="shared" si="17"/>
        <v>25.831189236111111</v>
      </c>
      <c r="AM28" s="434">
        <f t="shared" si="17"/>
        <v>3.5394965277777777</v>
      </c>
      <c r="AN28" s="434">
        <f t="shared" si="17"/>
        <v>9.0617187500000007</v>
      </c>
      <c r="AO28" s="434">
        <f t="shared" si="17"/>
        <v>23.825633680555555</v>
      </c>
      <c r="AP28" s="434">
        <f t="shared" si="17"/>
        <v>29.347855902777777</v>
      </c>
      <c r="AQ28" s="434">
        <f t="shared" si="17"/>
        <v>0.28444444444444444</v>
      </c>
      <c r="AR28" s="434">
        <f t="shared" si="18"/>
        <v>5.8066666666666666</v>
      </c>
      <c r="AS28" s="434">
        <f t="shared" si="18"/>
        <v>20.570581597222219</v>
      </c>
      <c r="AT28" s="434">
        <f t="shared" si="18"/>
        <v>26.092803819444441</v>
      </c>
      <c r="AU28" s="434">
        <f t="shared" si="18"/>
        <v>3.8011111111111111</v>
      </c>
      <c r="AV28" s="434">
        <f t="shared" si="18"/>
        <v>9.3233333333333341</v>
      </c>
      <c r="AW28" s="434">
        <f t="shared" si="18"/>
        <v>24.087248263888888</v>
      </c>
      <c r="AX28" s="434">
        <f t="shared" si="18"/>
        <v>29.60947048611111</v>
      </c>
      <c r="AY28" s="434">
        <f t="shared" si="18"/>
        <v>0.30727430555555557</v>
      </c>
      <c r="AZ28" s="434">
        <f t="shared" si="18"/>
        <v>5.8294965277777777</v>
      </c>
      <c r="BA28" s="434">
        <f t="shared" si="18"/>
        <v>20.593411458333332</v>
      </c>
      <c r="BB28" s="434">
        <f t="shared" si="18"/>
        <v>26.115633680555554</v>
      </c>
      <c r="BC28" s="434">
        <f t="shared" si="18"/>
        <v>3.8239409722222222</v>
      </c>
      <c r="BD28" s="434">
        <f t="shared" si="18"/>
        <v>9.3461631944444434</v>
      </c>
      <c r="BE28" s="434">
        <f t="shared" si="18"/>
        <v>24.110078124999998</v>
      </c>
      <c r="BF28" s="434">
        <f t="shared" si="18"/>
        <v>29.63230034722222</v>
      </c>
    </row>
    <row r="29" spans="1:58">
      <c r="A29" s="458" t="s">
        <v>8443</v>
      </c>
      <c r="B29" s="459">
        <v>644925655</v>
      </c>
      <c r="C29" s="459" t="s">
        <v>8404</v>
      </c>
      <c r="D29" s="461" t="s">
        <v>8455</v>
      </c>
      <c r="F29" s="17" t="str">
        <f t="shared" si="5"/>
        <v>MAC+104</v>
      </c>
      <c r="G29" s="450">
        <f t="shared" si="19"/>
        <v>644923315</v>
      </c>
      <c r="H29" s="450">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26">
        <f t="shared" si="16"/>
        <v>4.109375</v>
      </c>
      <c r="U29" s="426">
        <f t="shared" si="16"/>
        <v>16.3046875</v>
      </c>
      <c r="V29" s="426">
        <f t="shared" si="20"/>
        <v>0.28444444444444444</v>
      </c>
      <c r="W29" s="426">
        <f t="shared" si="21"/>
        <v>5.5222222222222221</v>
      </c>
      <c r="X29" s="426">
        <f t="shared" si="22"/>
        <v>0</v>
      </c>
      <c r="Y29" s="426">
        <f t="shared" si="23"/>
        <v>0</v>
      </c>
      <c r="Z29" s="426">
        <f t="shared" si="24"/>
        <v>20.195555555555554</v>
      </c>
      <c r="AB29" s="434">
        <f t="shared" si="17"/>
        <v>5.5222222222222221</v>
      </c>
      <c r="AC29" s="434">
        <f t="shared" si="17"/>
        <v>36.500243055555558</v>
      </c>
      <c r="AD29" s="434">
        <f t="shared" si="17"/>
        <v>42.022465277777783</v>
      </c>
      <c r="AE29" s="434">
        <f t="shared" si="17"/>
        <v>0</v>
      </c>
      <c r="AF29" s="434">
        <f t="shared" si="17"/>
        <v>5.5222222222222221</v>
      </c>
      <c r="AG29" s="434">
        <f t="shared" si="17"/>
        <v>36.500243055555558</v>
      </c>
      <c r="AH29" s="434">
        <f t="shared" si="17"/>
        <v>42.022465277777783</v>
      </c>
      <c r="AI29" s="434">
        <f t="shared" si="17"/>
        <v>4.109375</v>
      </c>
      <c r="AJ29" s="434">
        <f t="shared" si="17"/>
        <v>9.6315972222222221</v>
      </c>
      <c r="AK29" s="434">
        <f t="shared" si="17"/>
        <v>40.609618055555558</v>
      </c>
      <c r="AL29" s="434">
        <f t="shared" si="17"/>
        <v>46.131840277777783</v>
      </c>
      <c r="AM29" s="434">
        <f t="shared" si="17"/>
        <v>4.109375</v>
      </c>
      <c r="AN29" s="434">
        <f t="shared" si="17"/>
        <v>9.6315972222222221</v>
      </c>
      <c r="AO29" s="434">
        <f t="shared" si="17"/>
        <v>40.609618055555558</v>
      </c>
      <c r="AP29" s="434">
        <f t="shared" si="17"/>
        <v>46.131840277777783</v>
      </c>
      <c r="AQ29" s="434">
        <f t="shared" ref="AQ29:BF37" si="25">IF(AQ$3&lt;&gt;"",$V29,0)+IF(AQ$4&lt;&gt;"",$T29,0)+IF(AQ$5&lt;&gt;"",$Y29+IF($R29&lt;&gt;"102",$U29,0),0)+IF(AQ$6&lt;&gt;"",$Z29+IF($R29="102",$U29,0),0)+IF(AQ$7&lt;&gt;"",$W29,0)</f>
        <v>0.28444444444444444</v>
      </c>
      <c r="AR29" s="434">
        <f t="shared" si="18"/>
        <v>5.8066666666666666</v>
      </c>
      <c r="AS29" s="434">
        <f t="shared" si="18"/>
        <v>36.784687500000004</v>
      </c>
      <c r="AT29" s="434">
        <f t="shared" si="18"/>
        <v>42.30690972222223</v>
      </c>
      <c r="AU29" s="434">
        <f t="shared" si="18"/>
        <v>0.28444444444444444</v>
      </c>
      <c r="AV29" s="434">
        <f t="shared" si="18"/>
        <v>5.8066666666666666</v>
      </c>
      <c r="AW29" s="434">
        <f t="shared" si="18"/>
        <v>36.784687500000004</v>
      </c>
      <c r="AX29" s="434">
        <f t="shared" si="18"/>
        <v>42.30690972222223</v>
      </c>
      <c r="AY29" s="434">
        <f t="shared" si="18"/>
        <v>4.3938194444444445</v>
      </c>
      <c r="AZ29" s="434">
        <f t="shared" si="18"/>
        <v>9.9160416666666666</v>
      </c>
      <c r="BA29" s="434">
        <f t="shared" si="18"/>
        <v>40.894062500000004</v>
      </c>
      <c r="BB29" s="434">
        <f t="shared" si="18"/>
        <v>46.41628472222223</v>
      </c>
      <c r="BC29" s="434">
        <f t="shared" si="18"/>
        <v>4.3938194444444445</v>
      </c>
      <c r="BD29" s="434">
        <f t="shared" si="18"/>
        <v>9.9160416666666666</v>
      </c>
      <c r="BE29" s="434">
        <f t="shared" si="18"/>
        <v>40.894062500000004</v>
      </c>
      <c r="BF29" s="434">
        <f t="shared" si="18"/>
        <v>46.41628472222223</v>
      </c>
    </row>
    <row r="30" spans="1:58">
      <c r="A30" s="456" t="s">
        <v>8443</v>
      </c>
      <c r="B30" s="457">
        <v>644926255</v>
      </c>
      <c r="C30" s="457" t="s">
        <v>8404</v>
      </c>
      <c r="D30" s="460" t="s">
        <v>8456</v>
      </c>
      <c r="F30" s="17" t="str">
        <f t="shared" si="5"/>
        <v>MAC+105</v>
      </c>
      <c r="G30" s="450">
        <f t="shared" si="19"/>
        <v>644923315</v>
      </c>
      <c r="H30" s="450">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26">
        <f t="shared" si="16"/>
        <v>4.109375</v>
      </c>
      <c r="U30" s="426">
        <f t="shared" si="16"/>
        <v>16.3046875</v>
      </c>
      <c r="V30" s="426">
        <f t="shared" si="20"/>
        <v>0.28444444444444444</v>
      </c>
      <c r="W30" s="426">
        <f t="shared" si="21"/>
        <v>5.5222222222222221</v>
      </c>
      <c r="X30" s="426">
        <f t="shared" si="22"/>
        <v>633</v>
      </c>
      <c r="Y30" s="426">
        <f t="shared" si="23"/>
        <v>4.395833333333333</v>
      </c>
      <c r="Z30" s="426">
        <f t="shared" si="24"/>
        <v>20.195555555555554</v>
      </c>
      <c r="AB30" s="434">
        <f t="shared" ref="AB30:AP37" si="26">IF(AB$3&lt;&gt;"",$V30,0)+IF(AB$4&lt;&gt;"",$T30,0)+IF(AB$5&lt;&gt;"",$Y30+IF($R30&lt;&gt;"102",$U30,0),0)+IF(AB$6&lt;&gt;"",$Z30+IF($R30="102",$U30,0),0)+IF(AB$7&lt;&gt;"",$W30,0)</f>
        <v>5.5222222222222221</v>
      </c>
      <c r="AC30" s="434">
        <f t="shared" si="26"/>
        <v>36.500243055555558</v>
      </c>
      <c r="AD30" s="434">
        <f t="shared" si="26"/>
        <v>42.022465277777783</v>
      </c>
      <c r="AE30" s="434">
        <f t="shared" si="26"/>
        <v>4.395833333333333</v>
      </c>
      <c r="AF30" s="434">
        <f t="shared" si="26"/>
        <v>9.9180555555555543</v>
      </c>
      <c r="AG30" s="434">
        <f t="shared" si="26"/>
        <v>40.896076388888893</v>
      </c>
      <c r="AH30" s="434">
        <f t="shared" si="26"/>
        <v>46.418298611111112</v>
      </c>
      <c r="AI30" s="434">
        <f t="shared" si="26"/>
        <v>4.109375</v>
      </c>
      <c r="AJ30" s="434">
        <f t="shared" si="26"/>
        <v>9.6315972222222221</v>
      </c>
      <c r="AK30" s="434">
        <f t="shared" si="26"/>
        <v>40.609618055555558</v>
      </c>
      <c r="AL30" s="434">
        <f t="shared" si="26"/>
        <v>46.131840277777783</v>
      </c>
      <c r="AM30" s="434">
        <f t="shared" si="26"/>
        <v>8.5052083333333321</v>
      </c>
      <c r="AN30" s="434">
        <f t="shared" si="26"/>
        <v>14.027430555555554</v>
      </c>
      <c r="AO30" s="434">
        <f t="shared" si="26"/>
        <v>45.005451388888886</v>
      </c>
      <c r="AP30" s="434">
        <f t="shared" si="26"/>
        <v>50.527673611111112</v>
      </c>
      <c r="AQ30" s="434">
        <f t="shared" si="25"/>
        <v>0.28444444444444444</v>
      </c>
      <c r="AR30" s="434">
        <f t="shared" si="18"/>
        <v>5.8066666666666666</v>
      </c>
      <c r="AS30" s="434">
        <f t="shared" si="18"/>
        <v>36.784687500000004</v>
      </c>
      <c r="AT30" s="434">
        <f t="shared" si="18"/>
        <v>42.30690972222223</v>
      </c>
      <c r="AU30" s="434">
        <f t="shared" si="18"/>
        <v>4.6802777777777775</v>
      </c>
      <c r="AV30" s="434">
        <f t="shared" si="18"/>
        <v>10.202500000000001</v>
      </c>
      <c r="AW30" s="434">
        <f t="shared" si="18"/>
        <v>41.180520833333333</v>
      </c>
      <c r="AX30" s="434">
        <f t="shared" si="18"/>
        <v>46.702743055555558</v>
      </c>
      <c r="AY30" s="434">
        <f t="shared" si="18"/>
        <v>4.3938194444444445</v>
      </c>
      <c r="AZ30" s="434">
        <f t="shared" si="18"/>
        <v>9.9160416666666666</v>
      </c>
      <c r="BA30" s="434">
        <f t="shared" si="18"/>
        <v>40.894062500000004</v>
      </c>
      <c r="BB30" s="434">
        <f t="shared" si="18"/>
        <v>46.41628472222223</v>
      </c>
      <c r="BC30" s="434">
        <f t="shared" si="18"/>
        <v>8.7896527777777784</v>
      </c>
      <c r="BD30" s="434">
        <f t="shared" si="18"/>
        <v>14.311875000000001</v>
      </c>
      <c r="BE30" s="434">
        <f t="shared" si="18"/>
        <v>45.289895833333333</v>
      </c>
      <c r="BF30" s="434">
        <f t="shared" si="18"/>
        <v>50.812118055555558</v>
      </c>
    </row>
    <row r="31" spans="1:58">
      <c r="A31" s="458" t="s">
        <v>8443</v>
      </c>
      <c r="B31" s="459">
        <v>646883515</v>
      </c>
      <c r="C31" s="459" t="s">
        <v>8404</v>
      </c>
      <c r="D31" s="461" t="s">
        <v>8457</v>
      </c>
      <c r="F31" s="17" t="str">
        <f t="shared" si="5"/>
        <v>MAC+111</v>
      </c>
      <c r="G31" s="450">
        <f t="shared" si="19"/>
        <v>646883515</v>
      </c>
      <c r="H31" s="450">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26">
        <f t="shared" si="16"/>
        <v>4.109375</v>
      </c>
      <c r="U31" s="426">
        <f t="shared" si="16"/>
        <v>16.3046875</v>
      </c>
      <c r="V31" s="426">
        <f t="shared" si="20"/>
        <v>0.28444444444444444</v>
      </c>
      <c r="W31" s="426">
        <f t="shared" si="21"/>
        <v>5.5222222222222221</v>
      </c>
      <c r="X31" s="426">
        <f t="shared" si="22"/>
        <v>633</v>
      </c>
      <c r="Y31" s="426">
        <f t="shared" si="23"/>
        <v>4.395833333333333</v>
      </c>
      <c r="Z31" s="426">
        <f t="shared" si="24"/>
        <v>20.195555555555554</v>
      </c>
      <c r="AB31" s="434">
        <f t="shared" si="26"/>
        <v>5.5222222222222221</v>
      </c>
      <c r="AC31" s="434">
        <f t="shared" si="26"/>
        <v>36.500243055555558</v>
      </c>
      <c r="AD31" s="434">
        <f t="shared" si="26"/>
        <v>42.022465277777783</v>
      </c>
      <c r="AE31" s="434">
        <f t="shared" si="26"/>
        <v>4.395833333333333</v>
      </c>
      <c r="AF31" s="434">
        <f t="shared" si="26"/>
        <v>9.9180555555555543</v>
      </c>
      <c r="AG31" s="434">
        <f t="shared" si="26"/>
        <v>40.896076388888893</v>
      </c>
      <c r="AH31" s="434">
        <f t="shared" si="26"/>
        <v>46.418298611111112</v>
      </c>
      <c r="AI31" s="434">
        <f t="shared" si="26"/>
        <v>4.109375</v>
      </c>
      <c r="AJ31" s="434">
        <f t="shared" si="26"/>
        <v>9.6315972222222221</v>
      </c>
      <c r="AK31" s="434">
        <f t="shared" si="26"/>
        <v>40.609618055555558</v>
      </c>
      <c r="AL31" s="434">
        <f t="shared" si="26"/>
        <v>46.131840277777783</v>
      </c>
      <c r="AM31" s="434">
        <f t="shared" si="26"/>
        <v>8.5052083333333321</v>
      </c>
      <c r="AN31" s="434">
        <f t="shared" si="26"/>
        <v>14.027430555555554</v>
      </c>
      <c r="AO31" s="434">
        <f t="shared" si="26"/>
        <v>45.005451388888886</v>
      </c>
      <c r="AP31" s="434">
        <f t="shared" si="26"/>
        <v>50.527673611111112</v>
      </c>
      <c r="AQ31" s="434">
        <f t="shared" si="25"/>
        <v>0.28444444444444444</v>
      </c>
      <c r="AR31" s="434">
        <f t="shared" si="25"/>
        <v>5.8066666666666666</v>
      </c>
      <c r="AS31" s="434">
        <f t="shared" si="25"/>
        <v>36.784687500000004</v>
      </c>
      <c r="AT31" s="434">
        <f t="shared" si="25"/>
        <v>42.30690972222223</v>
      </c>
      <c r="AU31" s="434">
        <f t="shared" si="25"/>
        <v>4.6802777777777775</v>
      </c>
      <c r="AV31" s="434">
        <f t="shared" si="25"/>
        <v>10.202500000000001</v>
      </c>
      <c r="AW31" s="434">
        <f t="shared" si="25"/>
        <v>41.180520833333333</v>
      </c>
      <c r="AX31" s="434">
        <f t="shared" si="25"/>
        <v>46.702743055555558</v>
      </c>
      <c r="AY31" s="434">
        <f t="shared" si="25"/>
        <v>4.3938194444444445</v>
      </c>
      <c r="AZ31" s="434">
        <f t="shared" si="25"/>
        <v>9.9160416666666666</v>
      </c>
      <c r="BA31" s="434">
        <f t="shared" si="25"/>
        <v>40.894062500000004</v>
      </c>
      <c r="BB31" s="434">
        <f t="shared" si="25"/>
        <v>46.41628472222223</v>
      </c>
      <c r="BC31" s="434">
        <f t="shared" si="25"/>
        <v>8.7896527777777784</v>
      </c>
      <c r="BD31" s="434">
        <f t="shared" si="25"/>
        <v>14.311875000000001</v>
      </c>
      <c r="BE31" s="434">
        <f t="shared" si="25"/>
        <v>45.289895833333333</v>
      </c>
      <c r="BF31" s="434">
        <f t="shared" si="25"/>
        <v>50.812118055555558</v>
      </c>
    </row>
    <row r="32" spans="1:58">
      <c r="A32" s="456" t="s">
        <v>8445</v>
      </c>
      <c r="B32" s="457">
        <v>646884115</v>
      </c>
      <c r="C32" s="457" t="s">
        <v>776</v>
      </c>
      <c r="D32" s="460" t="s">
        <v>8452</v>
      </c>
      <c r="F32" s="17" t="str">
        <f t="shared" si="5"/>
        <v>N2+360</v>
      </c>
      <c r="G32" s="450">
        <f t="shared" si="19"/>
        <v>646883515</v>
      </c>
      <c r="H32" s="450">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26">
        <f t="shared" si="16"/>
        <v>2.282986111111111E-2</v>
      </c>
      <c r="U32" s="426">
        <f t="shared" si="16"/>
        <v>9.0581597222222227E-2</v>
      </c>
      <c r="V32" s="426">
        <f t="shared" si="20"/>
        <v>0.28444444444444444</v>
      </c>
      <c r="W32" s="426">
        <f t="shared" si="21"/>
        <v>5.5222222222222221</v>
      </c>
      <c r="X32" s="426">
        <f t="shared" si="22"/>
        <v>3.5166666666666666</v>
      </c>
      <c r="Y32" s="426">
        <f t="shared" si="23"/>
        <v>2.4421296296296295E-2</v>
      </c>
      <c r="Z32" s="426">
        <f t="shared" si="24"/>
        <v>20.195555555555554</v>
      </c>
      <c r="AB32" s="434">
        <f t="shared" si="26"/>
        <v>5.5222222222222221</v>
      </c>
      <c r="AC32" s="434">
        <f t="shared" si="26"/>
        <v>20.286137152777776</v>
      </c>
      <c r="AD32" s="434">
        <f t="shared" si="26"/>
        <v>25.808359374999998</v>
      </c>
      <c r="AE32" s="434">
        <f t="shared" si="26"/>
        <v>2.4421296296296295E-2</v>
      </c>
      <c r="AF32" s="434">
        <f t="shared" si="26"/>
        <v>5.5466435185185183</v>
      </c>
      <c r="AG32" s="434">
        <f t="shared" si="26"/>
        <v>20.310558449074072</v>
      </c>
      <c r="AH32" s="434">
        <f t="shared" si="26"/>
        <v>25.832780671296295</v>
      </c>
      <c r="AI32" s="434">
        <f t="shared" si="26"/>
        <v>2.282986111111111E-2</v>
      </c>
      <c r="AJ32" s="434">
        <f t="shared" si="26"/>
        <v>5.5450520833333332</v>
      </c>
      <c r="AK32" s="434">
        <f t="shared" si="26"/>
        <v>20.308967013888889</v>
      </c>
      <c r="AL32" s="434">
        <f t="shared" si="26"/>
        <v>25.831189236111111</v>
      </c>
      <c r="AM32" s="434">
        <f t="shared" si="26"/>
        <v>4.7251157407407401E-2</v>
      </c>
      <c r="AN32" s="434">
        <f t="shared" si="26"/>
        <v>5.5694733796296294</v>
      </c>
      <c r="AO32" s="434">
        <f t="shared" si="26"/>
        <v>20.333388310185185</v>
      </c>
      <c r="AP32" s="434">
        <f t="shared" si="26"/>
        <v>25.855610532407407</v>
      </c>
      <c r="AQ32" s="434">
        <f t="shared" si="25"/>
        <v>0.28444444444444444</v>
      </c>
      <c r="AR32" s="434">
        <f t="shared" si="25"/>
        <v>5.8066666666666666</v>
      </c>
      <c r="AS32" s="434">
        <f t="shared" si="25"/>
        <v>20.570581597222219</v>
      </c>
      <c r="AT32" s="434">
        <f t="shared" si="25"/>
        <v>26.092803819444441</v>
      </c>
      <c r="AU32" s="434">
        <f t="shared" si="25"/>
        <v>0.30886574074074075</v>
      </c>
      <c r="AV32" s="434">
        <f t="shared" si="25"/>
        <v>5.8310879629629628</v>
      </c>
      <c r="AW32" s="434">
        <f t="shared" si="25"/>
        <v>20.595002893518519</v>
      </c>
      <c r="AX32" s="434">
        <f t="shared" si="25"/>
        <v>26.117225115740741</v>
      </c>
      <c r="AY32" s="434">
        <f t="shared" si="25"/>
        <v>0.30727430555555557</v>
      </c>
      <c r="AZ32" s="434">
        <f t="shared" si="25"/>
        <v>5.8294965277777777</v>
      </c>
      <c r="BA32" s="434">
        <f t="shared" si="25"/>
        <v>20.593411458333332</v>
      </c>
      <c r="BB32" s="434">
        <f t="shared" si="25"/>
        <v>26.115633680555554</v>
      </c>
      <c r="BC32" s="434">
        <f t="shared" si="25"/>
        <v>0.33169560185185187</v>
      </c>
      <c r="BD32" s="434">
        <f t="shared" si="25"/>
        <v>5.8539178240740739</v>
      </c>
      <c r="BE32" s="434">
        <f t="shared" si="25"/>
        <v>20.617832754629628</v>
      </c>
      <c r="BF32" s="434">
        <f t="shared" si="25"/>
        <v>26.14005497685185</v>
      </c>
    </row>
    <row r="33" spans="1:58">
      <c r="A33" s="458" t="s">
        <v>8445</v>
      </c>
      <c r="B33" s="459">
        <v>646884118</v>
      </c>
      <c r="C33" s="459" t="s">
        <v>12</v>
      </c>
      <c r="D33" s="461" t="s">
        <v>8452</v>
      </c>
      <c r="F33" s="17" t="str">
        <f t="shared" si="5"/>
        <v>N1+360</v>
      </c>
      <c r="G33" s="450">
        <f t="shared" si="19"/>
        <v>646883515</v>
      </c>
      <c r="H33" s="450">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26">
        <f t="shared" si="16"/>
        <v>2.282986111111111E-2</v>
      </c>
      <c r="U33" s="426">
        <f t="shared" si="16"/>
        <v>9.0581597222222227E-2</v>
      </c>
      <c r="V33" s="426">
        <f t="shared" si="20"/>
        <v>0.28444444444444444</v>
      </c>
      <c r="W33" s="426">
        <f t="shared" si="21"/>
        <v>5.5222222222222221</v>
      </c>
      <c r="X33" s="426">
        <f t="shared" si="22"/>
        <v>3.5166666666666666</v>
      </c>
      <c r="Y33" s="426">
        <f t="shared" si="23"/>
        <v>2.4421296296296295E-2</v>
      </c>
      <c r="Z33" s="426">
        <f t="shared" si="24"/>
        <v>20.195555555555554</v>
      </c>
      <c r="AB33" s="434">
        <f t="shared" si="26"/>
        <v>5.5222222222222221</v>
      </c>
      <c r="AC33" s="434">
        <f t="shared" si="26"/>
        <v>20.286137152777776</v>
      </c>
      <c r="AD33" s="434">
        <f t="shared" si="26"/>
        <v>25.808359374999998</v>
      </c>
      <c r="AE33" s="434">
        <f t="shared" si="26"/>
        <v>2.4421296296296295E-2</v>
      </c>
      <c r="AF33" s="434">
        <f t="shared" si="26"/>
        <v>5.5466435185185183</v>
      </c>
      <c r="AG33" s="434">
        <f t="shared" si="26"/>
        <v>20.310558449074072</v>
      </c>
      <c r="AH33" s="434">
        <f t="shared" si="26"/>
        <v>25.832780671296295</v>
      </c>
      <c r="AI33" s="434">
        <f t="shared" si="26"/>
        <v>2.282986111111111E-2</v>
      </c>
      <c r="AJ33" s="434">
        <f t="shared" si="26"/>
        <v>5.5450520833333332</v>
      </c>
      <c r="AK33" s="434">
        <f t="shared" si="26"/>
        <v>20.308967013888889</v>
      </c>
      <c r="AL33" s="434">
        <f t="shared" si="26"/>
        <v>25.831189236111111</v>
      </c>
      <c r="AM33" s="434">
        <f t="shared" si="26"/>
        <v>4.7251157407407401E-2</v>
      </c>
      <c r="AN33" s="434">
        <f t="shared" si="26"/>
        <v>5.5694733796296294</v>
      </c>
      <c r="AO33" s="434">
        <f t="shared" si="26"/>
        <v>20.333388310185185</v>
      </c>
      <c r="AP33" s="434">
        <f t="shared" si="26"/>
        <v>25.855610532407407</v>
      </c>
      <c r="AQ33" s="434">
        <f t="shared" si="25"/>
        <v>0.28444444444444444</v>
      </c>
      <c r="AR33" s="434">
        <f t="shared" si="25"/>
        <v>5.8066666666666666</v>
      </c>
      <c r="AS33" s="434">
        <f t="shared" si="25"/>
        <v>20.570581597222219</v>
      </c>
      <c r="AT33" s="434">
        <f t="shared" si="25"/>
        <v>26.092803819444441</v>
      </c>
      <c r="AU33" s="434">
        <f t="shared" si="25"/>
        <v>0.30886574074074075</v>
      </c>
      <c r="AV33" s="434">
        <f t="shared" si="25"/>
        <v>5.8310879629629628</v>
      </c>
      <c r="AW33" s="434">
        <f t="shared" si="25"/>
        <v>20.595002893518519</v>
      </c>
      <c r="AX33" s="434">
        <f t="shared" si="25"/>
        <v>26.117225115740741</v>
      </c>
      <c r="AY33" s="434">
        <f t="shared" si="25"/>
        <v>0.30727430555555557</v>
      </c>
      <c r="AZ33" s="434">
        <f t="shared" si="25"/>
        <v>5.8294965277777777</v>
      </c>
      <c r="BA33" s="434">
        <f t="shared" si="25"/>
        <v>20.593411458333332</v>
      </c>
      <c r="BB33" s="434">
        <f t="shared" si="25"/>
        <v>26.115633680555554</v>
      </c>
      <c r="BC33" s="434">
        <f t="shared" si="25"/>
        <v>0.33169560185185187</v>
      </c>
      <c r="BD33" s="434">
        <f t="shared" si="25"/>
        <v>5.8539178240740739</v>
      </c>
      <c r="BE33" s="434">
        <f t="shared" si="25"/>
        <v>20.617832754629628</v>
      </c>
      <c r="BF33" s="434">
        <f t="shared" si="25"/>
        <v>26.14005497685185</v>
      </c>
    </row>
    <row r="34" spans="1:58">
      <c r="A34" s="456" t="s">
        <v>8445</v>
      </c>
      <c r="B34" s="457">
        <v>646884121</v>
      </c>
      <c r="C34" s="457" t="s">
        <v>773</v>
      </c>
      <c r="D34" s="460" t="s">
        <v>8450</v>
      </c>
      <c r="F34" s="17" t="str">
        <f t="shared" si="5"/>
        <v>N3+7200</v>
      </c>
      <c r="G34" s="450">
        <f t="shared" si="19"/>
        <v>646883515</v>
      </c>
      <c r="H34" s="450">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26">
        <f t="shared" si="16"/>
        <v>2.282986111111111E-2</v>
      </c>
      <c r="U34" s="426">
        <f t="shared" si="16"/>
        <v>9.0581597222222227E-2</v>
      </c>
      <c r="V34" s="426">
        <f t="shared" si="20"/>
        <v>0.28444444444444444</v>
      </c>
      <c r="W34" s="426">
        <f t="shared" si="21"/>
        <v>5.5222222222222221</v>
      </c>
      <c r="X34" s="426">
        <f t="shared" si="22"/>
        <v>3.5166666666666666</v>
      </c>
      <c r="Y34" s="426">
        <f t="shared" si="23"/>
        <v>2.4421296296296295E-2</v>
      </c>
      <c r="Z34" s="426">
        <f t="shared" si="24"/>
        <v>2.5244444444444443</v>
      </c>
      <c r="AB34" s="434">
        <f t="shared" si="26"/>
        <v>5.5222222222222221</v>
      </c>
      <c r="AC34" s="434">
        <f t="shared" si="26"/>
        <v>2.6150260416666664</v>
      </c>
      <c r="AD34" s="434">
        <f t="shared" si="26"/>
        <v>8.137248263888889</v>
      </c>
      <c r="AE34" s="434">
        <f t="shared" si="26"/>
        <v>2.4421296296296295E-2</v>
      </c>
      <c r="AF34" s="434">
        <f t="shared" si="26"/>
        <v>5.5466435185185183</v>
      </c>
      <c r="AG34" s="434">
        <f t="shared" si="26"/>
        <v>2.6394473379629626</v>
      </c>
      <c r="AH34" s="434">
        <f t="shared" si="26"/>
        <v>8.1616695601851852</v>
      </c>
      <c r="AI34" s="434">
        <f t="shared" si="26"/>
        <v>2.282986111111111E-2</v>
      </c>
      <c r="AJ34" s="434">
        <f t="shared" si="26"/>
        <v>5.5450520833333332</v>
      </c>
      <c r="AK34" s="434">
        <f t="shared" si="26"/>
        <v>2.6378559027777775</v>
      </c>
      <c r="AL34" s="434">
        <f t="shared" si="26"/>
        <v>8.1600781250000001</v>
      </c>
      <c r="AM34" s="434">
        <f t="shared" si="26"/>
        <v>4.7251157407407401E-2</v>
      </c>
      <c r="AN34" s="434">
        <f t="shared" si="26"/>
        <v>5.5694733796296294</v>
      </c>
      <c r="AO34" s="434">
        <f t="shared" si="26"/>
        <v>2.6622771990740737</v>
      </c>
      <c r="AP34" s="434">
        <f t="shared" si="26"/>
        <v>8.1844994212962963</v>
      </c>
      <c r="AQ34" s="434">
        <f t="shared" si="25"/>
        <v>0.28444444444444444</v>
      </c>
      <c r="AR34" s="434">
        <f t="shared" si="25"/>
        <v>5.8066666666666666</v>
      </c>
      <c r="AS34" s="434">
        <f t="shared" si="25"/>
        <v>2.8994704861111109</v>
      </c>
      <c r="AT34" s="434">
        <f t="shared" si="25"/>
        <v>8.4216927083333335</v>
      </c>
      <c r="AU34" s="434">
        <f t="shared" si="25"/>
        <v>0.30886574074074075</v>
      </c>
      <c r="AV34" s="434">
        <f t="shared" si="25"/>
        <v>5.8310879629629628</v>
      </c>
      <c r="AW34" s="434">
        <f t="shared" si="25"/>
        <v>2.9238917824074071</v>
      </c>
      <c r="AX34" s="434">
        <f t="shared" si="25"/>
        <v>8.4461140046296297</v>
      </c>
      <c r="AY34" s="434">
        <f t="shared" si="25"/>
        <v>0.30727430555555557</v>
      </c>
      <c r="AZ34" s="434">
        <f t="shared" si="25"/>
        <v>5.8294965277777777</v>
      </c>
      <c r="BA34" s="434">
        <f t="shared" si="25"/>
        <v>2.922300347222222</v>
      </c>
      <c r="BB34" s="434">
        <f t="shared" si="25"/>
        <v>8.4445225694444446</v>
      </c>
      <c r="BC34" s="434">
        <f t="shared" si="25"/>
        <v>0.33169560185185187</v>
      </c>
      <c r="BD34" s="434">
        <f t="shared" si="25"/>
        <v>5.8539178240740739</v>
      </c>
      <c r="BE34" s="434">
        <f t="shared" si="25"/>
        <v>2.9467216435185182</v>
      </c>
      <c r="BF34" s="434">
        <f t="shared" si="25"/>
        <v>8.4689438657407408</v>
      </c>
    </row>
    <row r="35" spans="1:58">
      <c r="A35" s="458" t="s">
        <v>8447</v>
      </c>
      <c r="B35" s="459">
        <v>646884124</v>
      </c>
      <c r="C35" s="459" t="s">
        <v>8403</v>
      </c>
      <c r="D35" s="461" t="s">
        <v>8454</v>
      </c>
      <c r="F35" s="17" t="str">
        <f t="shared" si="5"/>
        <v>STAT+1800</v>
      </c>
      <c r="G35" s="450">
        <f t="shared" si="19"/>
        <v>646883515</v>
      </c>
      <c r="H35" s="450">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26">
        <f t="shared" si="16"/>
        <v>2.282986111111111E-2</v>
      </c>
      <c r="U35" s="426">
        <f t="shared" si="16"/>
        <v>9.0581597222222227E-2</v>
      </c>
      <c r="V35" s="426">
        <f t="shared" si="20"/>
        <v>0.28444444444444444</v>
      </c>
      <c r="W35" s="426">
        <f t="shared" si="21"/>
        <v>5.5222222222222221</v>
      </c>
      <c r="X35" s="426">
        <f t="shared" si="22"/>
        <v>3.5166666666666666</v>
      </c>
      <c r="Y35" s="426">
        <f t="shared" si="23"/>
        <v>2.4421296296296295E-2</v>
      </c>
      <c r="Z35" s="426">
        <f t="shared" si="24"/>
        <v>2.5244444444444443</v>
      </c>
      <c r="AB35" s="434">
        <f t="shared" si="26"/>
        <v>5.5222222222222221</v>
      </c>
      <c r="AC35" s="434">
        <f t="shared" si="26"/>
        <v>2.6150260416666664</v>
      </c>
      <c r="AD35" s="434">
        <f t="shared" si="26"/>
        <v>8.137248263888889</v>
      </c>
      <c r="AE35" s="434">
        <f t="shared" si="26"/>
        <v>2.4421296296296295E-2</v>
      </c>
      <c r="AF35" s="434">
        <f t="shared" si="26"/>
        <v>5.5466435185185183</v>
      </c>
      <c r="AG35" s="434">
        <f t="shared" si="26"/>
        <v>2.6394473379629626</v>
      </c>
      <c r="AH35" s="434">
        <f t="shared" si="26"/>
        <v>8.1616695601851852</v>
      </c>
      <c r="AI35" s="434">
        <f t="shared" si="26"/>
        <v>2.282986111111111E-2</v>
      </c>
      <c r="AJ35" s="434">
        <f t="shared" si="26"/>
        <v>5.5450520833333332</v>
      </c>
      <c r="AK35" s="434">
        <f t="shared" si="26"/>
        <v>2.6378559027777775</v>
      </c>
      <c r="AL35" s="434">
        <f t="shared" si="26"/>
        <v>8.1600781250000001</v>
      </c>
      <c r="AM35" s="434">
        <f t="shared" si="26"/>
        <v>4.7251157407407401E-2</v>
      </c>
      <c r="AN35" s="434">
        <f t="shared" si="26"/>
        <v>5.5694733796296294</v>
      </c>
      <c r="AO35" s="434">
        <f t="shared" si="26"/>
        <v>2.6622771990740737</v>
      </c>
      <c r="AP35" s="434">
        <f t="shared" si="26"/>
        <v>8.1844994212962963</v>
      </c>
      <c r="AQ35" s="434">
        <f t="shared" si="25"/>
        <v>0.28444444444444444</v>
      </c>
      <c r="AR35" s="434">
        <f t="shared" si="25"/>
        <v>5.8066666666666666</v>
      </c>
      <c r="AS35" s="434">
        <f t="shared" si="25"/>
        <v>2.8994704861111109</v>
      </c>
      <c r="AT35" s="434">
        <f t="shared" si="25"/>
        <v>8.4216927083333335</v>
      </c>
      <c r="AU35" s="434">
        <f t="shared" si="25"/>
        <v>0.30886574074074075</v>
      </c>
      <c r="AV35" s="434">
        <f t="shared" si="25"/>
        <v>5.8310879629629628</v>
      </c>
      <c r="AW35" s="434">
        <f t="shared" si="25"/>
        <v>2.9238917824074071</v>
      </c>
      <c r="AX35" s="434">
        <f t="shared" si="25"/>
        <v>8.4461140046296297</v>
      </c>
      <c r="AY35" s="434">
        <f t="shared" si="25"/>
        <v>0.30727430555555557</v>
      </c>
      <c r="AZ35" s="434">
        <f t="shared" si="25"/>
        <v>5.8294965277777777</v>
      </c>
      <c r="BA35" s="434">
        <f t="shared" si="25"/>
        <v>2.922300347222222</v>
      </c>
      <c r="BB35" s="434">
        <f t="shared" si="25"/>
        <v>8.4445225694444446</v>
      </c>
      <c r="BC35" s="434">
        <f t="shared" si="25"/>
        <v>0.33169560185185187</v>
      </c>
      <c r="BD35" s="434">
        <f t="shared" si="25"/>
        <v>5.8539178240740739</v>
      </c>
      <c r="BE35" s="434">
        <f t="shared" si="25"/>
        <v>2.9467216435185182</v>
      </c>
      <c r="BF35" s="434">
        <f t="shared" si="25"/>
        <v>8.4689438657407408</v>
      </c>
    </row>
    <row r="36" spans="1:58">
      <c r="A36" s="456" t="s">
        <v>8443</v>
      </c>
      <c r="B36" s="457">
        <v>646884715</v>
      </c>
      <c r="C36" s="457" t="s">
        <v>8404</v>
      </c>
      <c r="D36" s="460" t="s">
        <v>8458</v>
      </c>
      <c r="F36" s="17" t="str">
        <f t="shared" si="5"/>
        <v>MAC+103</v>
      </c>
      <c r="G36" s="450">
        <f t="shared" si="19"/>
        <v>646883515</v>
      </c>
      <c r="H36" s="450">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26">
        <f t="shared" si="16"/>
        <v>2.7395833333333335</v>
      </c>
      <c r="U36" s="426">
        <f t="shared" si="16"/>
        <v>10.869791666666666</v>
      </c>
      <c r="V36" s="426">
        <f t="shared" si="20"/>
        <v>0.28444444444444444</v>
      </c>
      <c r="W36" s="426">
        <f t="shared" si="21"/>
        <v>5.5222222222222221</v>
      </c>
      <c r="X36" s="426">
        <f t="shared" si="22"/>
        <v>0</v>
      </c>
      <c r="Y36" s="426">
        <f t="shared" si="23"/>
        <v>0</v>
      </c>
      <c r="Z36" s="426">
        <f t="shared" si="24"/>
        <v>2.5244444444444443</v>
      </c>
      <c r="AB36" s="434">
        <f t="shared" si="26"/>
        <v>5.5222222222222221</v>
      </c>
      <c r="AC36" s="434">
        <f t="shared" si="26"/>
        <v>13.394236111111111</v>
      </c>
      <c r="AD36" s="434">
        <f t="shared" si="26"/>
        <v>18.916458333333331</v>
      </c>
      <c r="AE36" s="434">
        <f t="shared" si="26"/>
        <v>0</v>
      </c>
      <c r="AF36" s="434">
        <f t="shared" si="26"/>
        <v>5.5222222222222221</v>
      </c>
      <c r="AG36" s="434">
        <f t="shared" si="26"/>
        <v>13.394236111111111</v>
      </c>
      <c r="AH36" s="434">
        <f t="shared" si="26"/>
        <v>18.916458333333331</v>
      </c>
      <c r="AI36" s="434">
        <f t="shared" si="26"/>
        <v>2.7395833333333335</v>
      </c>
      <c r="AJ36" s="434">
        <f t="shared" si="26"/>
        <v>8.2618055555555561</v>
      </c>
      <c r="AK36" s="434">
        <f t="shared" si="26"/>
        <v>16.133819444444445</v>
      </c>
      <c r="AL36" s="434">
        <f t="shared" si="26"/>
        <v>21.656041666666667</v>
      </c>
      <c r="AM36" s="434">
        <f t="shared" si="26"/>
        <v>2.7395833333333335</v>
      </c>
      <c r="AN36" s="434">
        <f t="shared" si="26"/>
        <v>8.2618055555555561</v>
      </c>
      <c r="AO36" s="434">
        <f t="shared" si="26"/>
        <v>16.133819444444445</v>
      </c>
      <c r="AP36" s="434">
        <f t="shared" si="26"/>
        <v>21.656041666666667</v>
      </c>
      <c r="AQ36" s="434">
        <f t="shared" si="25"/>
        <v>0.28444444444444444</v>
      </c>
      <c r="AR36" s="434">
        <f t="shared" si="25"/>
        <v>5.8066666666666666</v>
      </c>
      <c r="AS36" s="434">
        <f t="shared" si="25"/>
        <v>13.678680555555555</v>
      </c>
      <c r="AT36" s="434">
        <f t="shared" si="25"/>
        <v>19.200902777777777</v>
      </c>
      <c r="AU36" s="434">
        <f t="shared" si="25"/>
        <v>0.28444444444444444</v>
      </c>
      <c r="AV36" s="434">
        <f t="shared" si="25"/>
        <v>5.8066666666666666</v>
      </c>
      <c r="AW36" s="434">
        <f t="shared" si="25"/>
        <v>13.678680555555555</v>
      </c>
      <c r="AX36" s="434">
        <f t="shared" si="25"/>
        <v>19.200902777777777</v>
      </c>
      <c r="AY36" s="434">
        <f t="shared" si="25"/>
        <v>3.024027777777778</v>
      </c>
      <c r="AZ36" s="434">
        <f t="shared" si="25"/>
        <v>8.5462500000000006</v>
      </c>
      <c r="BA36" s="434">
        <f t="shared" si="25"/>
        <v>16.418263888888887</v>
      </c>
      <c r="BB36" s="434">
        <f t="shared" si="25"/>
        <v>21.94048611111111</v>
      </c>
      <c r="BC36" s="434">
        <f t="shared" si="25"/>
        <v>3.024027777777778</v>
      </c>
      <c r="BD36" s="434">
        <f t="shared" si="25"/>
        <v>8.5462500000000006</v>
      </c>
      <c r="BE36" s="434">
        <f t="shared" si="25"/>
        <v>16.418263888888887</v>
      </c>
      <c r="BF36" s="434">
        <f t="shared" si="25"/>
        <v>21.94048611111111</v>
      </c>
    </row>
    <row r="37" spans="1:58">
      <c r="A37" s="458" t="s">
        <v>8443</v>
      </c>
      <c r="B37" s="459">
        <v>646885315</v>
      </c>
      <c r="C37" s="459" t="s">
        <v>8404</v>
      </c>
      <c r="D37" s="461" t="s">
        <v>8459</v>
      </c>
      <c r="F37" s="17" t="str">
        <f t="shared" si="5"/>
        <v>MAC+109</v>
      </c>
      <c r="G37" s="450">
        <f t="shared" si="19"/>
        <v>646883515</v>
      </c>
      <c r="H37" s="450">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26">
        <f t="shared" si="16"/>
        <v>2.7395833333333335</v>
      </c>
      <c r="U37" s="426">
        <f t="shared" si="16"/>
        <v>10.869791666666666</v>
      </c>
      <c r="V37" s="426">
        <f t="shared" si="20"/>
        <v>0.28444444444444444</v>
      </c>
      <c r="W37" s="426">
        <f t="shared" si="21"/>
        <v>5.5222222222222221</v>
      </c>
      <c r="X37" s="426">
        <f t="shared" si="22"/>
        <v>422</v>
      </c>
      <c r="Y37" s="426">
        <f t="shared" si="23"/>
        <v>17.583333333333332</v>
      </c>
      <c r="Z37" s="426">
        <f t="shared" si="24"/>
        <v>2.5244444444444443</v>
      </c>
      <c r="AB37" s="434">
        <f t="shared" si="26"/>
        <v>5.5222222222222221</v>
      </c>
      <c r="AC37" s="434">
        <f t="shared" si="26"/>
        <v>13.394236111111111</v>
      </c>
      <c r="AD37" s="434">
        <f t="shared" si="26"/>
        <v>18.916458333333331</v>
      </c>
      <c r="AE37" s="434">
        <f t="shared" si="26"/>
        <v>17.583333333333332</v>
      </c>
      <c r="AF37" s="434">
        <f t="shared" si="26"/>
        <v>23.105555555555554</v>
      </c>
      <c r="AG37" s="434">
        <f t="shared" si="26"/>
        <v>30.977569444444441</v>
      </c>
      <c r="AH37" s="434">
        <f t="shared" si="26"/>
        <v>36.499791666666667</v>
      </c>
      <c r="AI37" s="434">
        <f t="shared" si="26"/>
        <v>2.7395833333333335</v>
      </c>
      <c r="AJ37" s="434">
        <f t="shared" si="26"/>
        <v>8.2618055555555561</v>
      </c>
      <c r="AK37" s="434">
        <f t="shared" si="26"/>
        <v>16.133819444444445</v>
      </c>
      <c r="AL37" s="434">
        <f t="shared" si="26"/>
        <v>21.656041666666667</v>
      </c>
      <c r="AM37" s="434">
        <f t="shared" si="26"/>
        <v>20.322916666666664</v>
      </c>
      <c r="AN37" s="434">
        <f t="shared" si="26"/>
        <v>25.845138888888886</v>
      </c>
      <c r="AO37" s="434">
        <f t="shared" si="26"/>
        <v>33.717152777777777</v>
      </c>
      <c r="AP37" s="434">
        <f t="shared" si="26"/>
        <v>39.239374999999995</v>
      </c>
      <c r="AQ37" s="434">
        <f t="shared" si="25"/>
        <v>0.28444444444444444</v>
      </c>
      <c r="AR37" s="434">
        <f t="shared" si="25"/>
        <v>5.8066666666666666</v>
      </c>
      <c r="AS37" s="434">
        <f t="shared" si="25"/>
        <v>13.678680555555555</v>
      </c>
      <c r="AT37" s="434">
        <f t="shared" si="25"/>
        <v>19.200902777777777</v>
      </c>
      <c r="AU37" s="434">
        <f t="shared" si="25"/>
        <v>17.867777777777775</v>
      </c>
      <c r="AV37" s="434">
        <f t="shared" si="25"/>
        <v>23.389999999999997</v>
      </c>
      <c r="AW37" s="434">
        <f t="shared" si="25"/>
        <v>31.262013888888887</v>
      </c>
      <c r="AX37" s="434">
        <f t="shared" si="25"/>
        <v>36.784236111111113</v>
      </c>
      <c r="AY37" s="434">
        <f t="shared" si="25"/>
        <v>3.024027777777778</v>
      </c>
      <c r="AZ37" s="434">
        <f t="shared" si="25"/>
        <v>8.5462500000000006</v>
      </c>
      <c r="BA37" s="434">
        <f t="shared" si="25"/>
        <v>16.418263888888887</v>
      </c>
      <c r="BB37" s="434">
        <f t="shared" si="25"/>
        <v>21.94048611111111</v>
      </c>
      <c r="BC37" s="434">
        <f t="shared" si="25"/>
        <v>20.607361111111111</v>
      </c>
      <c r="BD37" s="434">
        <f t="shared" si="25"/>
        <v>26.129583333333333</v>
      </c>
      <c r="BE37" s="434">
        <f t="shared" si="25"/>
        <v>34.001597222222223</v>
      </c>
      <c r="BF37" s="434">
        <f t="shared" si="25"/>
        <v>39.523819444444442</v>
      </c>
    </row>
    <row r="38" spans="1:58">
      <c r="A38" s="454"/>
      <c r="B38" s="452"/>
      <c r="C38" s="449"/>
      <c r="D38" s="424"/>
      <c r="X38" s="455"/>
      <c r="Y38" s="455"/>
    </row>
    <row r="39" spans="1:58">
      <c r="A39" s="454"/>
      <c r="B39" s="452"/>
      <c r="C39" s="449"/>
      <c r="D39" s="424"/>
      <c r="X39" s="455"/>
      <c r="Y39" s="455"/>
    </row>
    <row r="40" spans="1:58">
      <c r="A40" s="454"/>
      <c r="B40" s="452"/>
      <c r="C40" s="449"/>
      <c r="D40" s="424"/>
      <c r="X40" s="455"/>
      <c r="Y40" s="455"/>
    </row>
    <row r="41" spans="1:58">
      <c r="A41" s="454"/>
      <c r="B41" s="452"/>
      <c r="C41" s="449"/>
      <c r="D41" s="424"/>
      <c r="X41" s="455"/>
      <c r="Y41" s="455"/>
    </row>
    <row r="42" spans="1:58">
      <c r="A42" s="454"/>
      <c r="B42" s="452"/>
      <c r="C42" s="449"/>
      <c r="D42" s="424"/>
      <c r="X42" s="455"/>
      <c r="Y42" s="455"/>
    </row>
    <row r="43" spans="1:58">
      <c r="A43" s="453"/>
      <c r="B43" s="452"/>
      <c r="C43" s="449"/>
      <c r="D43" s="424"/>
      <c r="X43" s="455"/>
      <c r="Y43" s="455"/>
    </row>
    <row r="44" spans="1:58">
      <c r="A44" s="453"/>
      <c r="B44" s="452"/>
      <c r="C44" s="449"/>
      <c r="D44" s="424"/>
      <c r="X44" s="455"/>
      <c r="Y44" s="455"/>
    </row>
    <row r="45" spans="1:58">
      <c r="A45" s="454"/>
      <c r="B45" s="452"/>
      <c r="C45" s="449"/>
      <c r="D45" s="424"/>
      <c r="X45" s="455"/>
      <c r="Y45" s="455"/>
    </row>
    <row r="46" spans="1:58">
      <c r="A46" s="454"/>
      <c r="B46" s="452"/>
      <c r="C46" s="449"/>
      <c r="D46" s="424"/>
      <c r="X46" s="455"/>
      <c r="Y46" s="455"/>
    </row>
    <row r="47" spans="1:58">
      <c r="A47" s="454"/>
      <c r="B47" s="452"/>
      <c r="C47" s="449"/>
      <c r="D47" s="424"/>
      <c r="X47" s="455"/>
      <c r="Y47" s="455"/>
    </row>
    <row r="48" spans="1:58">
      <c r="A48" s="454"/>
      <c r="B48" s="452"/>
      <c r="C48" s="449"/>
      <c r="D48" s="424"/>
      <c r="X48" s="455"/>
      <c r="Y48" s="455"/>
    </row>
    <row r="49" spans="1:25">
      <c r="A49" s="454"/>
      <c r="B49" s="452"/>
      <c r="C49" s="449"/>
      <c r="D49" s="424"/>
      <c r="X49" s="455"/>
      <c r="Y49" s="455"/>
    </row>
    <row r="50" spans="1:25">
      <c r="A50" s="454"/>
      <c r="B50" s="452"/>
      <c r="C50" s="449"/>
      <c r="D50" s="424"/>
      <c r="X50" s="455"/>
      <c r="Y50" s="455"/>
    </row>
    <row r="51" spans="1:25">
      <c r="A51" s="454"/>
      <c r="B51" s="452"/>
      <c r="C51" s="449"/>
      <c r="D51" s="424"/>
      <c r="X51" s="455"/>
      <c r="Y51" s="455"/>
    </row>
    <row r="52" spans="1:25">
      <c r="A52" s="454"/>
      <c r="B52" s="452"/>
      <c r="C52" s="449"/>
      <c r="D52" s="424"/>
      <c r="X52" s="455"/>
      <c r="Y52" s="455"/>
    </row>
    <row r="53" spans="1:25">
      <c r="A53" s="453"/>
      <c r="B53" s="452"/>
      <c r="C53" s="449"/>
      <c r="D53" s="424"/>
      <c r="X53" s="455"/>
      <c r="Y53" s="455"/>
    </row>
    <row r="54" spans="1:25">
      <c r="A54" s="453"/>
      <c r="B54" s="452"/>
      <c r="C54" s="449"/>
      <c r="D54" s="424"/>
      <c r="X54" s="455"/>
      <c r="Y54" s="455"/>
    </row>
    <row r="55" spans="1:25">
      <c r="A55" s="454"/>
      <c r="B55" s="452"/>
      <c r="C55" s="449"/>
      <c r="D55" s="424"/>
      <c r="X55" s="455"/>
      <c r="Y55" s="455"/>
    </row>
    <row r="56" spans="1:25">
      <c r="A56" s="454"/>
      <c r="B56" s="452"/>
      <c r="C56" s="449"/>
      <c r="D56" s="424"/>
      <c r="X56" s="455"/>
      <c r="Y56" s="455"/>
    </row>
    <row r="57" spans="1:25">
      <c r="A57" s="454"/>
      <c r="B57" s="452"/>
      <c r="C57" s="449"/>
      <c r="D57" s="424"/>
      <c r="X57" s="455"/>
      <c r="Y57" s="455"/>
    </row>
    <row r="58" spans="1:25">
      <c r="A58" s="454"/>
      <c r="B58" s="452"/>
      <c r="C58" s="449"/>
      <c r="D58" s="424"/>
      <c r="X58" s="455"/>
      <c r="Y58" s="455"/>
    </row>
    <row r="59" spans="1:25">
      <c r="A59" s="454"/>
      <c r="B59" s="452"/>
      <c r="C59" s="449"/>
      <c r="D59" s="424"/>
      <c r="X59" s="455"/>
      <c r="Y59" s="455"/>
    </row>
    <row r="60" spans="1:25">
      <c r="A60" s="454"/>
      <c r="B60" s="452"/>
      <c r="C60" s="449"/>
      <c r="D60" s="424"/>
      <c r="X60" s="455"/>
      <c r="Y60" s="455"/>
    </row>
    <row r="61" spans="1:25">
      <c r="A61" s="454"/>
      <c r="B61" s="452"/>
      <c r="C61" s="449"/>
      <c r="D61" s="424"/>
      <c r="X61" s="455"/>
      <c r="Y61" s="455"/>
    </row>
    <row r="62" spans="1:25">
      <c r="A62" s="454"/>
      <c r="B62" s="452"/>
      <c r="C62" s="449"/>
      <c r="D62" s="424"/>
      <c r="X62" s="455"/>
      <c r="Y62" s="455"/>
    </row>
    <row r="63" spans="1:25">
      <c r="A63" s="453"/>
      <c r="B63" s="452"/>
      <c r="C63" s="449"/>
      <c r="D63" s="424"/>
      <c r="X63" s="455"/>
      <c r="Y63" s="455"/>
    </row>
    <row r="64" spans="1:25">
      <c r="A64" s="453"/>
      <c r="B64" s="452"/>
      <c r="C64" s="449"/>
      <c r="D64" s="424"/>
      <c r="X64" s="455"/>
      <c r="Y64" s="455"/>
    </row>
    <row r="65" spans="1:25">
      <c r="A65" s="454"/>
      <c r="B65" s="452"/>
      <c r="C65" s="449"/>
      <c r="D65" s="424"/>
      <c r="X65" s="455"/>
      <c r="Y65" s="455"/>
    </row>
    <row r="66" spans="1:25">
      <c r="A66" s="454"/>
      <c r="B66" s="452"/>
      <c r="C66" s="449"/>
      <c r="D66" s="424"/>
      <c r="X66" s="455"/>
      <c r="Y66" s="455"/>
    </row>
    <row r="67" spans="1:25">
      <c r="A67" s="454"/>
      <c r="B67" s="452"/>
      <c r="C67" s="449"/>
      <c r="D67" s="424"/>
      <c r="X67" s="455"/>
      <c r="Y67" s="455"/>
    </row>
    <row r="68" spans="1:25">
      <c r="A68" s="454"/>
      <c r="B68" s="452"/>
      <c r="C68" s="449"/>
      <c r="D68" s="424"/>
      <c r="X68" s="455"/>
      <c r="Y68" s="455"/>
    </row>
    <row r="69" spans="1:25">
      <c r="A69" s="454"/>
      <c r="B69" s="452"/>
      <c r="C69" s="449"/>
      <c r="D69" s="424"/>
      <c r="X69" s="455"/>
      <c r="Y69" s="455"/>
    </row>
    <row r="70" spans="1:25">
      <c r="A70" s="454"/>
      <c r="B70" s="452"/>
      <c r="C70" s="449"/>
      <c r="D70" s="424"/>
      <c r="X70" s="455"/>
      <c r="Y70" s="455"/>
    </row>
    <row r="71" spans="1:25">
      <c r="A71" s="454"/>
      <c r="B71" s="452"/>
      <c r="C71" s="449"/>
      <c r="D71" s="424"/>
      <c r="X71" s="455"/>
      <c r="Y71" s="455"/>
    </row>
    <row r="72" spans="1:25">
      <c r="A72" s="454"/>
      <c r="B72" s="452"/>
      <c r="C72" s="449"/>
      <c r="D72" s="424"/>
      <c r="X72" s="455"/>
      <c r="Y72" s="455"/>
    </row>
    <row r="73" spans="1:25">
      <c r="A73" s="453"/>
      <c r="B73" s="452"/>
      <c r="C73" s="449"/>
      <c r="D73" s="424"/>
      <c r="X73" s="455"/>
      <c r="Y73" s="455"/>
    </row>
    <row r="74" spans="1:25">
      <c r="A74" s="453"/>
      <c r="B74" s="452"/>
      <c r="C74" s="449"/>
      <c r="D74" s="424"/>
      <c r="X74" s="455"/>
      <c r="Y74" s="455"/>
    </row>
    <row r="75" spans="1:25">
      <c r="A75" s="454"/>
      <c r="B75" s="452"/>
      <c r="C75" s="449"/>
      <c r="D75" s="424"/>
      <c r="X75" s="455"/>
      <c r="Y75" s="455"/>
    </row>
    <row r="76" spans="1:25">
      <c r="A76" s="454"/>
      <c r="B76" s="452"/>
      <c r="C76" s="449"/>
      <c r="D76" s="424"/>
      <c r="X76" s="455"/>
      <c r="Y76" s="455"/>
    </row>
    <row r="77" spans="1:25">
      <c r="A77" s="454"/>
      <c r="B77" s="452"/>
      <c r="C77" s="449"/>
      <c r="D77" s="424"/>
      <c r="X77" s="455"/>
      <c r="Y77" s="455"/>
    </row>
    <row r="78" spans="1:25">
      <c r="A78" s="454"/>
      <c r="B78" s="452"/>
      <c r="C78" s="449"/>
      <c r="D78" s="424"/>
      <c r="X78" s="455"/>
      <c r="Y78" s="455"/>
    </row>
    <row r="79" spans="1:25">
      <c r="A79" s="454"/>
      <c r="B79" s="452"/>
      <c r="C79" s="449"/>
      <c r="D79" s="424"/>
      <c r="X79" s="455"/>
      <c r="Y79" s="455"/>
    </row>
    <row r="80" spans="1:25">
      <c r="A80" s="454"/>
      <c r="B80" s="452"/>
      <c r="C80" s="449"/>
      <c r="D80" s="424"/>
      <c r="X80" s="455"/>
      <c r="Y80" s="455"/>
    </row>
    <row r="81" spans="1:25">
      <c r="A81" s="454"/>
      <c r="B81" s="452"/>
      <c r="C81" s="449"/>
      <c r="D81" s="424"/>
      <c r="X81" s="455"/>
      <c r="Y81" s="455"/>
    </row>
    <row r="82" spans="1:25">
      <c r="A82" s="454"/>
      <c r="B82" s="452"/>
      <c r="C82" s="449"/>
      <c r="D82" s="424"/>
      <c r="X82" s="455"/>
      <c r="Y82" s="455"/>
    </row>
  </sheetData>
  <conditionalFormatting sqref="AC8:BF8">
    <cfRule type="expression" dxfId="7" priority="9">
      <formula>IF(AC8&lt;&gt;(AB8+1),TRUE,FALSE)</formula>
    </cfRule>
  </conditionalFormatting>
  <conditionalFormatting sqref="AB1:BF1048576">
    <cfRule type="expression" dxfId="6" priority="5">
      <formula>IF(AB$12&lt;&gt;"",TRUE,FALSE)</formula>
    </cfRule>
  </conditionalFormatting>
  <conditionalFormatting sqref="A38:BF10000 E14:BF37">
    <cfRule type="expression" dxfId="5" priority="4">
      <formula>IF($C14="ON",TRUE,FALSE)</formula>
    </cfRule>
  </conditionalFormatting>
  <conditionalFormatting sqref="A38:BF100000 E14:BF37">
    <cfRule type="expression" dxfId="4" priority="3">
      <formula>IF($C14="OFF",TRUE,FALSE)</formula>
    </cfRule>
  </conditionalFormatting>
  <conditionalFormatting sqref="A14:BF37">
    <cfRule type="expression" dxfId="3" priority="1">
      <formula>$C14="OFF"</formula>
    </cfRule>
    <cfRule type="expression" dxfId="2" priority="2">
      <formula>OR($C14="ON",$F14="MAC+111")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I11"/>
  <sheetViews>
    <sheetView workbookViewId="0">
      <selection activeCell="G5" sqref="G5"/>
    </sheetView>
  </sheetViews>
  <sheetFormatPr defaultRowHeight="15"/>
  <cols>
    <col min="1" max="1" width="10.85546875" style="5" customWidth="1"/>
    <col min="2" max="2" width="10.85546875" customWidth="1"/>
    <col min="3" max="4" width="16.28515625" style="3" customWidth="1"/>
    <col min="5" max="9" width="7.140625" style="3" customWidth="1"/>
  </cols>
  <sheetData>
    <row r="1" spans="1:9">
      <c r="A1" s="5" t="s">
        <v>8567</v>
      </c>
      <c r="B1" s="633" t="s">
        <v>8568</v>
      </c>
      <c r="D1" s="3" t="s">
        <v>8571</v>
      </c>
      <c r="F1" s="3" t="s">
        <v>764</v>
      </c>
      <c r="H1" s="3" t="s">
        <v>768</v>
      </c>
    </row>
    <row r="2" spans="1:9">
      <c r="A2" s="5" t="s">
        <v>8569</v>
      </c>
      <c r="B2" s="633" t="s">
        <v>8570</v>
      </c>
      <c r="D2" s="3" t="s">
        <v>8571</v>
      </c>
      <c r="E2" s="3" t="s">
        <v>766</v>
      </c>
      <c r="G2" s="3" t="s">
        <v>765</v>
      </c>
      <c r="I2" s="3" t="s">
        <v>769</v>
      </c>
    </row>
    <row r="10" spans="1:9" s="3" customFormat="1">
      <c r="A10" s="634" t="s">
        <v>8427</v>
      </c>
      <c r="B10" s="2" t="s">
        <v>8564</v>
      </c>
      <c r="C10" s="2" t="s">
        <v>8565</v>
      </c>
      <c r="D10" s="2" t="s">
        <v>8566</v>
      </c>
      <c r="E10" s="2" t="s">
        <v>766</v>
      </c>
      <c r="F10" s="2" t="s">
        <v>764</v>
      </c>
      <c r="G10" s="2" t="s">
        <v>765</v>
      </c>
      <c r="H10" s="2" t="s">
        <v>768</v>
      </c>
      <c r="I10" s="2" t="s">
        <v>769</v>
      </c>
    </row>
    <row r="11" spans="1:9">
      <c r="B11" s="5"/>
    </row>
  </sheetData>
  <conditionalFormatting sqref="E10:I1048576">
    <cfRule type="expression" dxfId="1" priority="1">
      <formula>EXACT(E10,E$10)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15B26-0CA8-4CF8-9BFD-698AE1F0981A}">
  <sheetPr codeName="Sheet21"/>
  <dimension ref="A1:I17"/>
  <sheetViews>
    <sheetView workbookViewId="0">
      <selection activeCell="D7" sqref="D7"/>
    </sheetView>
  </sheetViews>
  <sheetFormatPr defaultRowHeight="15"/>
  <cols>
    <col min="1" max="1" width="10.85546875" style="5" customWidth="1"/>
    <col min="2" max="2" width="10.85546875" customWidth="1"/>
    <col min="3" max="4" width="16.28515625" style="3" customWidth="1"/>
    <col min="5" max="9" width="7.140625" style="3" customWidth="1"/>
  </cols>
  <sheetData>
    <row r="1" spans="1:9">
      <c r="A1" s="5" t="s">
        <v>8567</v>
      </c>
      <c r="B1" s="633" t="s">
        <v>8568</v>
      </c>
    </row>
    <row r="2" spans="1:9">
      <c r="A2" s="5" t="s">
        <v>8572</v>
      </c>
      <c r="B2" s="633" t="s">
        <v>8570</v>
      </c>
    </row>
    <row r="10" spans="1:9" s="3" customFormat="1">
      <c r="A10" s="634" t="s">
        <v>8427</v>
      </c>
      <c r="B10" s="2" t="s">
        <v>8564</v>
      </c>
      <c r="C10" s="2" t="s">
        <v>8565</v>
      </c>
      <c r="D10" s="2" t="s">
        <v>8566</v>
      </c>
      <c r="E10" s="2" t="s">
        <v>766</v>
      </c>
      <c r="F10" s="2" t="s">
        <v>764</v>
      </c>
      <c r="G10" s="2" t="s">
        <v>765</v>
      </c>
      <c r="H10" s="2" t="s">
        <v>768</v>
      </c>
      <c r="I10" s="2" t="s">
        <v>769</v>
      </c>
    </row>
    <row r="11" spans="1:9">
      <c r="A11" s="5">
        <v>500017917</v>
      </c>
      <c r="B11" s="5">
        <v>500018217</v>
      </c>
      <c r="C11" s="3" t="str">
        <f t="shared" ref="C11:D17" ca="1" si="0">MID(met2utc(A11),3,15)</f>
        <v>21-328/00:00:00</v>
      </c>
      <c r="D11" s="3" t="str">
        <f t="shared" ca="1" si="0"/>
        <v>21-328/00:05:00</v>
      </c>
    </row>
    <row r="12" spans="1:9">
      <c r="A12" s="5">
        <v>500018217</v>
      </c>
      <c r="B12" s="5">
        <v>500018517</v>
      </c>
      <c r="C12" s="3" t="str">
        <f t="shared" ca="1" si="0"/>
        <v>21-328/00:05:00</v>
      </c>
      <c r="D12" s="3" t="str">
        <f t="shared" ca="1" si="0"/>
        <v>21-328/00:10:00</v>
      </c>
      <c r="E12" s="3" t="s">
        <v>766</v>
      </c>
      <c r="G12" s="3" t="s">
        <v>765</v>
      </c>
      <c r="I12" s="3" t="s">
        <v>769</v>
      </c>
    </row>
    <row r="13" spans="1:9">
      <c r="A13" s="5">
        <v>500018517</v>
      </c>
      <c r="B13" s="5">
        <v>500018817</v>
      </c>
      <c r="C13" s="3" t="str">
        <f t="shared" ca="1" si="0"/>
        <v>21-328/00:10:00</v>
      </c>
      <c r="D13" s="3" t="str">
        <f t="shared" ca="1" si="0"/>
        <v>21-328/00:15:00</v>
      </c>
      <c r="E13" s="3" t="s">
        <v>766</v>
      </c>
      <c r="F13" s="3" t="s">
        <v>764</v>
      </c>
      <c r="G13" s="3" t="s">
        <v>765</v>
      </c>
      <c r="H13" s="3" t="s">
        <v>768</v>
      </c>
      <c r="I13" s="3" t="s">
        <v>769</v>
      </c>
    </row>
    <row r="14" spans="1:9">
      <c r="A14" s="5">
        <v>500018817</v>
      </c>
      <c r="B14" s="5">
        <v>500019117</v>
      </c>
      <c r="C14" s="3" t="str">
        <f t="shared" ca="1" si="0"/>
        <v>21-328/00:15:00</v>
      </c>
      <c r="D14" s="3" t="str">
        <f t="shared" ca="1" si="0"/>
        <v>21-328/00:20:00</v>
      </c>
      <c r="F14" s="3" t="s">
        <v>764</v>
      </c>
      <c r="H14" s="3" t="s">
        <v>768</v>
      </c>
    </row>
    <row r="15" spans="1:9">
      <c r="A15" s="5">
        <v>500019117</v>
      </c>
      <c r="B15" s="5">
        <v>500020317</v>
      </c>
      <c r="C15" s="3" t="str">
        <f t="shared" ca="1" si="0"/>
        <v>21-328/00:20:00</v>
      </c>
      <c r="D15" s="3" t="str">
        <f t="shared" ca="1" si="0"/>
        <v>21-328/00:40:00</v>
      </c>
      <c r="E15" s="3" t="s">
        <v>766</v>
      </c>
      <c r="F15" s="3" t="s">
        <v>764</v>
      </c>
      <c r="G15" s="3" t="s">
        <v>765</v>
      </c>
      <c r="H15" s="3" t="s">
        <v>768</v>
      </c>
      <c r="I15" s="3" t="s">
        <v>769</v>
      </c>
    </row>
    <row r="16" spans="1:9">
      <c r="A16" s="5">
        <v>500020317</v>
      </c>
      <c r="B16" s="5">
        <v>500020917</v>
      </c>
      <c r="C16" s="3" t="str">
        <f t="shared" ca="1" si="0"/>
        <v>21-328/00:40:00</v>
      </c>
      <c r="D16" s="3" t="str">
        <f t="shared" ca="1" si="0"/>
        <v>21-328/00:50:00</v>
      </c>
      <c r="F16" s="3" t="s">
        <v>764</v>
      </c>
      <c r="H16" s="3" t="s">
        <v>768</v>
      </c>
    </row>
    <row r="17" spans="1:4">
      <c r="A17" s="5">
        <v>500020917</v>
      </c>
      <c r="B17" s="5">
        <v>500021517</v>
      </c>
      <c r="C17" s="3" t="str">
        <f t="shared" ca="1" si="0"/>
        <v>21-328/00:50:00</v>
      </c>
      <c r="D17" s="3" t="str">
        <f t="shared" ca="1" si="0"/>
        <v>21-328/01:00:00</v>
      </c>
    </row>
  </sheetData>
  <conditionalFormatting sqref="E10:I1048576">
    <cfRule type="expression" dxfId="0" priority="1">
      <formula>EXACT(E10,E$10)</formula>
    </cfRule>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21</vt:i4>
      </vt:variant>
      <vt:variant>
        <vt:lpstr>Named Ranges</vt:lpstr>
      </vt:variant>
      <vt:variant>
        <vt:i4>4</vt:i4>
      </vt:variant>
    </vt:vector>
  </HeadingPairs>
  <TitlesOfParts>
    <vt:vector size="25"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_tl_template</vt:lpstr>
      <vt:lpstr>_tl21-328-00-00</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2026-07-31T00:56:07Z</dcterms:modified>
  <dc:language>en-US</dc:language>
</cp:coreProperties>
</file>