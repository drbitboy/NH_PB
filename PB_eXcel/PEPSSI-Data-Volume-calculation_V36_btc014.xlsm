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681C9728-8A6F-450B-9E19-E596ADCD5061}" xr6:coauthVersionLast="47" xr6:coauthVersionMax="47" xr10:uidLastSave="{00000000-0000-0000-0000-000000000000}"/>
  <bookViews>
    <workbookView xWindow="75" yWindow="780" windowWidth="28725" windowHeight="13695" tabRatio="568" activeTab="6"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88" i="3" l="1"/>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J80" i="19" s="1"/>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G14" i="19"/>
  <c r="G15" i="19"/>
  <c r="G30" i="19"/>
  <c r="G45" i="19"/>
  <c r="G60" i="19"/>
  <c r="G81" i="19"/>
  <c r="G99" i="19"/>
  <c r="H14" i="19"/>
  <c r="H29" i="19"/>
  <c r="H44" i="19"/>
  <c r="H59" i="19"/>
  <c r="H80" i="19"/>
  <c r="H98" i="19"/>
  <c r="H122" i="19"/>
  <c r="I14" i="19"/>
  <c r="I15" i="19"/>
  <c r="I30" i="19"/>
  <c r="I31" i="19"/>
  <c r="I32" i="19"/>
  <c r="I33" i="19" s="1"/>
  <c r="I34" i="19" s="1"/>
  <c r="I35" i="19" s="1"/>
  <c r="I45" i="19"/>
  <c r="I46" i="19" s="1"/>
  <c r="I81" i="19"/>
  <c r="I82" i="19" s="1"/>
  <c r="I83" i="19"/>
  <c r="I99" i="19"/>
  <c r="J14" i="19"/>
  <c r="J29" i="19"/>
  <c r="J44" i="19"/>
  <c r="J59" i="19"/>
  <c r="J98" i="19"/>
  <c r="L14" i="19"/>
  <c r="L15" i="19"/>
  <c r="L16" i="19"/>
  <c r="L17" i="19" s="1"/>
  <c r="L18" i="19"/>
  <c r="L19" i="19"/>
  <c r="L20" i="19"/>
  <c r="L21" i="19" s="1"/>
  <c r="L22" i="19" s="1"/>
  <c r="L23" i="19"/>
  <c r="L24" i="19"/>
  <c r="L25" i="19" s="1"/>
  <c r="L26" i="19"/>
  <c r="L27" i="19" s="1"/>
  <c r="L28" i="19" s="1"/>
  <c r="L29" i="19" s="1"/>
  <c r="L30" i="19"/>
  <c r="L31" i="19" s="1"/>
  <c r="L32" i="19" s="1"/>
  <c r="L33" i="19" s="1"/>
  <c r="L34" i="19"/>
  <c r="L35" i="19" s="1"/>
  <c r="L36" i="19"/>
  <c r="L37" i="19" s="1"/>
  <c r="L38" i="19"/>
  <c r="L39" i="19" s="1"/>
  <c r="L40" i="19" s="1"/>
  <c r="L41" i="19"/>
  <c r="L42" i="19" s="1"/>
  <c r="L43" i="19" s="1"/>
  <c r="L44" i="19" s="1"/>
  <c r="W44" i="19" s="1"/>
  <c r="AB44" i="19" s="1"/>
  <c r="L45" i="19"/>
  <c r="L46" i="19" s="1"/>
  <c r="L47" i="19" s="1"/>
  <c r="L48" i="19" s="1"/>
  <c r="L49" i="19"/>
  <c r="L50" i="19" s="1"/>
  <c r="L51" i="19" s="1"/>
  <c r="L52" i="19" s="1"/>
  <c r="L53" i="19"/>
  <c r="L54" i="19" s="1"/>
  <c r="L55" i="19" s="1"/>
  <c r="L56" i="19"/>
  <c r="L57" i="19"/>
  <c r="L58" i="19" s="1"/>
  <c r="L59" i="19"/>
  <c r="L60" i="19"/>
  <c r="L61" i="19"/>
  <c r="L62" i="19" s="1"/>
  <c r="L63" i="19"/>
  <c r="L64" i="19"/>
  <c r="L65" i="19"/>
  <c r="L66" i="19" s="1"/>
  <c r="L67" i="19"/>
  <c r="L68" i="19"/>
  <c r="L69" i="19"/>
  <c r="L70" i="19" s="1"/>
  <c r="L71" i="19"/>
  <c r="L72" i="19" s="1"/>
  <c r="L73" i="19" s="1"/>
  <c r="L74" i="19" s="1"/>
  <c r="L75" i="19"/>
  <c r="L76" i="19" s="1"/>
  <c r="L77" i="19" s="1"/>
  <c r="L78" i="19" s="1"/>
  <c r="L79" i="19"/>
  <c r="L80" i="19" s="1"/>
  <c r="L81" i="19"/>
  <c r="L82" i="19" s="1"/>
  <c r="L83" i="19" s="1"/>
  <c r="L84" i="19" s="1"/>
  <c r="L85" i="19"/>
  <c r="L86" i="19" s="1"/>
  <c r="L87" i="19"/>
  <c r="L88" i="19" s="1"/>
  <c r="L89" i="19"/>
  <c r="L90" i="19" s="1"/>
  <c r="L91" i="19" s="1"/>
  <c r="L92" i="19"/>
  <c r="L93" i="19"/>
  <c r="L94" i="19" s="1"/>
  <c r="L95" i="19"/>
  <c r="L96" i="19" s="1"/>
  <c r="L97" i="19" s="1"/>
  <c r="L98" i="19" s="1"/>
  <c r="L99" i="19"/>
  <c r="L100" i="19" s="1"/>
  <c r="L101" i="19" s="1"/>
  <c r="L102" i="19" s="1"/>
  <c r="L103" i="19"/>
  <c r="L104" i="19" s="1"/>
  <c r="L105" i="19" s="1"/>
  <c r="L106" i="19" s="1"/>
  <c r="L107" i="19"/>
  <c r="L108" i="19" s="1"/>
  <c r="L109" i="19" s="1"/>
  <c r="L110" i="19"/>
  <c r="L111" i="19"/>
  <c r="L112" i="19" s="1"/>
  <c r="L113" i="19" s="1"/>
  <c r="L114" i="19" s="1"/>
  <c r="L115" i="19" s="1"/>
  <c r="L116" i="19" s="1"/>
  <c r="L117" i="19" s="1"/>
  <c r="L118" i="19"/>
  <c r="L119" i="19"/>
  <c r="L120" i="19" s="1"/>
  <c r="L121" i="19" s="1"/>
  <c r="L122" i="19" s="1"/>
  <c r="M14" i="19"/>
  <c r="M15" i="19"/>
  <c r="M16" i="19"/>
  <c r="M17" i="19"/>
  <c r="M18" i="19"/>
  <c r="M19" i="19" s="1"/>
  <c r="M20" i="19" s="1"/>
  <c r="M21" i="19"/>
  <c r="M22" i="19"/>
  <c r="M23" i="19" s="1"/>
  <c r="M24" i="19" s="1"/>
  <c r="M25" i="19"/>
  <c r="M26" i="19"/>
  <c r="M27" i="19" s="1"/>
  <c r="M28" i="19" s="1"/>
  <c r="M29" i="19" s="1"/>
  <c r="M30" i="19"/>
  <c r="M31" i="19" s="1"/>
  <c r="M32" i="19"/>
  <c r="M33" i="19" s="1"/>
  <c r="M34" i="19" s="1"/>
  <c r="M35" i="19" s="1"/>
  <c r="U35" i="19" s="1"/>
  <c r="M36" i="19"/>
  <c r="M37" i="19" s="1"/>
  <c r="M38" i="19" s="1"/>
  <c r="M39" i="19" s="1"/>
  <c r="U39" i="19" s="1"/>
  <c r="M40" i="19"/>
  <c r="M41" i="19" s="1"/>
  <c r="M42" i="19" s="1"/>
  <c r="M43" i="19" s="1"/>
  <c r="M45" i="19"/>
  <c r="M46" i="19"/>
  <c r="M47" i="19"/>
  <c r="M48" i="19"/>
  <c r="M49" i="19" s="1"/>
  <c r="M50" i="19"/>
  <c r="M51" i="19"/>
  <c r="M52" i="19"/>
  <c r="M53" i="19" s="1"/>
  <c r="M54" i="19" s="1"/>
  <c r="M55" i="19"/>
  <c r="M56" i="19"/>
  <c r="M57" i="19" s="1"/>
  <c r="M58" i="19"/>
  <c r="M59" i="19" s="1"/>
  <c r="M60" i="19"/>
  <c r="M61" i="19" s="1"/>
  <c r="M62" i="19"/>
  <c r="M63" i="19" s="1"/>
  <c r="M64" i="19" s="1"/>
  <c r="M65" i="19" s="1"/>
  <c r="M66" i="19"/>
  <c r="M67" i="19" s="1"/>
  <c r="M68" i="19" s="1"/>
  <c r="M69" i="19" s="1"/>
  <c r="M70" i="19"/>
  <c r="M71" i="19" s="1"/>
  <c r="M72" i="19" s="1"/>
  <c r="M73" i="19" s="1"/>
  <c r="M74" i="19"/>
  <c r="M75" i="19" s="1"/>
  <c r="M76" i="19" s="1"/>
  <c r="M77" i="19" s="1"/>
  <c r="M78" i="19"/>
  <c r="M79" i="19" s="1"/>
  <c r="M80" i="19" s="1"/>
  <c r="M81" i="19"/>
  <c r="M82" i="19"/>
  <c r="M83" i="19"/>
  <c r="M84" i="19"/>
  <c r="M85" i="19" s="1"/>
  <c r="M86" i="19" s="1"/>
  <c r="U86" i="19" s="1"/>
  <c r="M87" i="19"/>
  <c r="M88" i="19"/>
  <c r="M89" i="19" s="1"/>
  <c r="M90" i="19"/>
  <c r="M91" i="19"/>
  <c r="M92" i="19"/>
  <c r="M93" i="19" s="1"/>
  <c r="M94" i="19" s="1"/>
  <c r="M95" i="19" s="1"/>
  <c r="U95" i="19" s="1"/>
  <c r="M96" i="19"/>
  <c r="M97" i="19" s="1"/>
  <c r="M98" i="19" s="1"/>
  <c r="M99" i="19"/>
  <c r="M100" i="19"/>
  <c r="M101" i="19"/>
  <c r="M102" i="19"/>
  <c r="M103" i="19" s="1"/>
  <c r="M104" i="19" s="1"/>
  <c r="M105" i="19"/>
  <c r="M106" i="19"/>
  <c r="M107" i="19" s="1"/>
  <c r="M108" i="19" s="1"/>
  <c r="M109" i="19"/>
  <c r="M110" i="19"/>
  <c r="M111" i="19" s="1"/>
  <c r="M112" i="19" s="1"/>
  <c r="M113" i="19" s="1"/>
  <c r="M114" i="19"/>
  <c r="M115" i="19" s="1"/>
  <c r="M116" i="19" s="1"/>
  <c r="M117" i="19"/>
  <c r="M118" i="19"/>
  <c r="M119" i="19" s="1"/>
  <c r="M120" i="19" s="1"/>
  <c r="M121" i="19"/>
  <c r="M122" i="19"/>
  <c r="N14" i="19"/>
  <c r="N15" i="19"/>
  <c r="N16" i="19" s="1"/>
  <c r="N17" i="19" s="1"/>
  <c r="N18" i="19"/>
  <c r="N19" i="19"/>
  <c r="N20" i="19" s="1"/>
  <c r="N21" i="19"/>
  <c r="N22" i="19"/>
  <c r="N23" i="19"/>
  <c r="N24" i="19" s="1"/>
  <c r="N25" i="19" s="1"/>
  <c r="N26" i="19" s="1"/>
  <c r="N27" i="19"/>
  <c r="N28" i="19" s="1"/>
  <c r="N29" i="19" s="1"/>
  <c r="N30" i="19"/>
  <c r="N31" i="19"/>
  <c r="N32" i="19" s="1"/>
  <c r="N33" i="19"/>
  <c r="N34" i="19" s="1"/>
  <c r="N35" i="19" s="1"/>
  <c r="N36" i="19" s="1"/>
  <c r="N37" i="19"/>
  <c r="N38" i="19" s="1"/>
  <c r="N39" i="19" s="1"/>
  <c r="N40" i="19" s="1"/>
  <c r="N41" i="19"/>
  <c r="N42" i="19"/>
  <c r="N43" i="19"/>
  <c r="N44" i="19" s="1"/>
  <c r="N45" i="19"/>
  <c r="N46" i="19" s="1"/>
  <c r="N47" i="19" s="1"/>
  <c r="N48" i="19"/>
  <c r="N49" i="19"/>
  <c r="N50" i="19" s="1"/>
  <c r="N51" i="19" s="1"/>
  <c r="N52" i="19"/>
  <c r="N53" i="19"/>
  <c r="N54" i="19" s="1"/>
  <c r="N55" i="19" s="1"/>
  <c r="N56" i="19" s="1"/>
  <c r="N57" i="19"/>
  <c r="N58" i="19" s="1"/>
  <c r="N59" i="19" s="1"/>
  <c r="N60" i="19"/>
  <c r="N61" i="19"/>
  <c r="N62" i="19" s="1"/>
  <c r="N63" i="19"/>
  <c r="N64" i="19" s="1"/>
  <c r="N65" i="19"/>
  <c r="N66" i="19" s="1"/>
  <c r="N67" i="19"/>
  <c r="N68" i="19" s="1"/>
  <c r="N69" i="19"/>
  <c r="N70" i="19" s="1"/>
  <c r="N71" i="19" s="1"/>
  <c r="N72" i="19"/>
  <c r="N73" i="19"/>
  <c r="N74" i="19" s="1"/>
  <c r="N75" i="19" s="1"/>
  <c r="N76" i="19"/>
  <c r="N77" i="19"/>
  <c r="N78" i="19"/>
  <c r="N79" i="19" s="1"/>
  <c r="N80" i="19" s="1"/>
  <c r="N81" i="19"/>
  <c r="N82" i="19"/>
  <c r="N83" i="19" s="1"/>
  <c r="N84" i="19"/>
  <c r="N85" i="19"/>
  <c r="N86" i="19" s="1"/>
  <c r="N87" i="19" s="1"/>
  <c r="N88" i="19"/>
  <c r="N89" i="19"/>
  <c r="N90" i="19" s="1"/>
  <c r="N91" i="19" s="1"/>
  <c r="N92" i="19" s="1"/>
  <c r="N93" i="19"/>
  <c r="N94" i="19"/>
  <c r="N95" i="19" s="1"/>
  <c r="N96" i="19" s="1"/>
  <c r="N97" i="19" s="1"/>
  <c r="N98" i="19" s="1"/>
  <c r="N99" i="19"/>
  <c r="N100" i="19" s="1"/>
  <c r="N101" i="19" s="1"/>
  <c r="Z101" i="19" s="1"/>
  <c r="N102" i="19"/>
  <c r="N103" i="19" s="1"/>
  <c r="N104" i="19" s="1"/>
  <c r="N105" i="19" s="1"/>
  <c r="N106" i="19"/>
  <c r="N107" i="19"/>
  <c r="N108" i="19" s="1"/>
  <c r="N109" i="19" s="1"/>
  <c r="N110" i="19" s="1"/>
  <c r="N111" i="19"/>
  <c r="N112" i="19"/>
  <c r="N113" i="19" s="1"/>
  <c r="N114" i="19" s="1"/>
  <c r="N115" i="19" s="1"/>
  <c r="N116" i="19" s="1"/>
  <c r="N117" i="19" s="1"/>
  <c r="N118" i="19" s="1"/>
  <c r="N119" i="19"/>
  <c r="N120" i="19"/>
  <c r="N121" i="19" s="1"/>
  <c r="N122" i="19" s="1"/>
  <c r="O14" i="19"/>
  <c r="O15" i="19"/>
  <c r="O16" i="19" s="1"/>
  <c r="O17" i="19" s="1"/>
  <c r="O18" i="19" s="1"/>
  <c r="O20" i="19"/>
  <c r="O21" i="19"/>
  <c r="O22" i="19" s="1"/>
  <c r="O24" i="19"/>
  <c r="O25" i="19"/>
  <c r="O26" i="19" s="1"/>
  <c r="O28" i="19"/>
  <c r="O29" i="19"/>
  <c r="O30" i="19"/>
  <c r="O31" i="19"/>
  <c r="O32" i="19" s="1"/>
  <c r="O33" i="19" s="1"/>
  <c r="O34" i="19" s="1"/>
  <c r="O35" i="19"/>
  <c r="O36" i="19" s="1"/>
  <c r="O37" i="19" s="1"/>
  <c r="O38" i="19" s="1"/>
  <c r="O39" i="19"/>
  <c r="O40" i="19" s="1"/>
  <c r="O41" i="19" s="1"/>
  <c r="O42" i="19" s="1"/>
  <c r="O43" i="19"/>
  <c r="O44" i="19" s="1"/>
  <c r="O45" i="19"/>
  <c r="O46" i="19" s="1"/>
  <c r="O47" i="19" s="1"/>
  <c r="O48" i="19" s="1"/>
  <c r="O49" i="19" s="1"/>
  <c r="O50" i="19"/>
  <c r="O51" i="19"/>
  <c r="O52" i="19" s="1"/>
  <c r="O53" i="19" s="1"/>
  <c r="O54" i="19"/>
  <c r="O55" i="19"/>
  <c r="O56" i="19" s="1"/>
  <c r="O57" i="19" s="1"/>
  <c r="O58" i="19"/>
  <c r="O59" i="19"/>
  <c r="O60" i="19"/>
  <c r="O61" i="19"/>
  <c r="O62" i="19" s="1"/>
  <c r="O63" i="19" s="1"/>
  <c r="O64" i="19" s="1"/>
  <c r="O65" i="19"/>
  <c r="O66" i="19" s="1"/>
  <c r="O67" i="19" s="1"/>
  <c r="O68" i="19" s="1"/>
  <c r="O69" i="19"/>
  <c r="O70" i="19" s="1"/>
  <c r="O71" i="19" s="1"/>
  <c r="O72" i="19" s="1"/>
  <c r="O73" i="19"/>
  <c r="O74" i="19" s="1"/>
  <c r="O75" i="19" s="1"/>
  <c r="O76" i="19" s="1"/>
  <c r="O77" i="19"/>
  <c r="O78" i="19" s="1"/>
  <c r="O79" i="19" s="1"/>
  <c r="O80" i="19" s="1"/>
  <c r="O81" i="19"/>
  <c r="O82" i="19" s="1"/>
  <c r="O83" i="19" s="1"/>
  <c r="O84" i="19" s="1"/>
  <c r="O85" i="19" s="1"/>
  <c r="O86" i="19"/>
  <c r="O87" i="19"/>
  <c r="O88" i="19" s="1"/>
  <c r="O89" i="19" s="1"/>
  <c r="V89" i="19" s="1"/>
  <c r="O90" i="19"/>
  <c r="O91" i="19"/>
  <c r="O92" i="19" s="1"/>
  <c r="O93" i="19" s="1"/>
  <c r="O94" i="19"/>
  <c r="O95" i="19"/>
  <c r="O96" i="19" s="1"/>
  <c r="O97" i="19" s="1"/>
  <c r="O98" i="19" s="1"/>
  <c r="O99" i="19"/>
  <c r="O100" i="19" s="1"/>
  <c r="O101" i="19" s="1"/>
  <c r="O102" i="19" s="1"/>
  <c r="O103" i="19" s="1"/>
  <c r="O104" i="19"/>
  <c r="O105" i="19"/>
  <c r="O106" i="19" s="1"/>
  <c r="O107" i="19" s="1"/>
  <c r="O108" i="19"/>
  <c r="O109" i="19"/>
  <c r="O110" i="19" s="1"/>
  <c r="O111" i="19" s="1"/>
  <c r="O112" i="19"/>
  <c r="O113" i="19"/>
  <c r="O114" i="19" s="1"/>
  <c r="O115" i="19" s="1"/>
  <c r="O116" i="19" s="1"/>
  <c r="O117" i="19" s="1"/>
  <c r="O118" i="19" s="1"/>
  <c r="O119" i="19" s="1"/>
  <c r="O120" i="19"/>
  <c r="O121" i="19"/>
  <c r="O122" i="19" s="1"/>
  <c r="P14" i="19"/>
  <c r="P15" i="19"/>
  <c r="P16" i="19"/>
  <c r="P17" i="19" s="1"/>
  <c r="P18" i="19" s="1"/>
  <c r="P19" i="19" s="1"/>
  <c r="P20" i="19" s="1"/>
  <c r="P21" i="19" s="1"/>
  <c r="P22" i="19" s="1"/>
  <c r="P23" i="19" s="1"/>
  <c r="P24" i="19" s="1"/>
  <c r="P25" i="19" s="1"/>
  <c r="P26" i="19" s="1"/>
  <c r="P27" i="19" s="1"/>
  <c r="P28" i="19" s="1"/>
  <c r="P29" i="19" s="1"/>
  <c r="P30" i="19"/>
  <c r="P31" i="19" s="1"/>
  <c r="P32" i="19" s="1"/>
  <c r="P33" i="19" s="1"/>
  <c r="P34" i="19" s="1"/>
  <c r="P35" i="19" s="1"/>
  <c r="P36" i="19" s="1"/>
  <c r="P37" i="19" s="1"/>
  <c r="P38" i="19" s="1"/>
  <c r="P39" i="19" s="1"/>
  <c r="P40" i="19" s="1"/>
  <c r="P41" i="19" s="1"/>
  <c r="P42" i="19" s="1"/>
  <c r="P43" i="19" s="1"/>
  <c r="P44" i="19" s="1"/>
  <c r="P45" i="19"/>
  <c r="P46" i="19"/>
  <c r="P47" i="19" s="1"/>
  <c r="P48" i="19" s="1"/>
  <c r="P49" i="19" s="1"/>
  <c r="P50" i="19" s="1"/>
  <c r="P51" i="19" s="1"/>
  <c r="P52" i="19" s="1"/>
  <c r="P53" i="19" s="1"/>
  <c r="P54" i="19" s="1"/>
  <c r="P55" i="19" s="1"/>
  <c r="P56" i="19" s="1"/>
  <c r="P57" i="19" s="1"/>
  <c r="P58" i="19" s="1"/>
  <c r="P59" i="19" s="1"/>
  <c r="P60" i="19"/>
  <c r="P61" i="19" s="1"/>
  <c r="P62" i="19" s="1"/>
  <c r="P63" i="19" s="1"/>
  <c r="P64" i="19" s="1"/>
  <c r="P65" i="19" s="1"/>
  <c r="P66" i="19" s="1"/>
  <c r="P67" i="19" s="1"/>
  <c r="P68" i="19" s="1"/>
  <c r="P69" i="19" s="1"/>
  <c r="P70" i="19" s="1"/>
  <c r="P71" i="19" s="1"/>
  <c r="P72" i="19" s="1"/>
  <c r="P73" i="19" s="1"/>
  <c r="P74" i="19" s="1"/>
  <c r="P75" i="19" s="1"/>
  <c r="P76" i="19" s="1"/>
  <c r="P77" i="19" s="1"/>
  <c r="P78" i="19"/>
  <c r="P79" i="19"/>
  <c r="P80" i="19"/>
  <c r="P81" i="19"/>
  <c r="P82" i="19"/>
  <c r="P83" i="19" s="1"/>
  <c r="P84" i="19" s="1"/>
  <c r="P85" i="19" s="1"/>
  <c r="P86" i="19" s="1"/>
  <c r="P87" i="19" s="1"/>
  <c r="P96" i="19"/>
  <c r="P97" i="19"/>
  <c r="P98" i="19"/>
  <c r="P99" i="19"/>
  <c r="P100" i="19"/>
  <c r="P101" i="19" s="1"/>
  <c r="P102" i="19" s="1"/>
  <c r="P103" i="19" s="1"/>
  <c r="P114" i="19"/>
  <c r="P115" i="19"/>
  <c r="P116" i="19"/>
  <c r="P117" i="19" s="1"/>
  <c r="P118" i="19"/>
  <c r="P119" i="19" s="1"/>
  <c r="P120" i="19"/>
  <c r="P121" i="19"/>
  <c r="P122" i="19"/>
  <c r="Q14" i="19"/>
  <c r="Q15" i="19"/>
  <c r="Q16" i="19" s="1"/>
  <c r="Q17" i="19" s="1"/>
  <c r="Q18" i="19" s="1"/>
  <c r="Q30" i="19"/>
  <c r="Q31" i="19"/>
  <c r="Q32" i="19" s="1"/>
  <c r="Q33" i="19" s="1"/>
  <c r="Q34" i="19" s="1"/>
  <c r="Q45" i="19"/>
  <c r="Q46" i="19" s="1"/>
  <c r="Q47" i="19" s="1"/>
  <c r="Q48" i="19" s="1"/>
  <c r="Q49" i="19" s="1"/>
  <c r="Q50" i="19" s="1"/>
  <c r="Q60" i="19"/>
  <c r="Q61" i="19"/>
  <c r="Q62" i="19" s="1"/>
  <c r="Q63" i="19" s="1"/>
  <c r="Q64" i="19" s="1"/>
  <c r="Q65" i="19" s="1"/>
  <c r="Q66" i="19" s="1"/>
  <c r="Q79" i="19"/>
  <c r="Q80" i="19" s="1"/>
  <c r="Q81" i="19"/>
  <c r="Q82" i="19" s="1"/>
  <c r="Q83" i="19"/>
  <c r="Q84" i="19" s="1"/>
  <c r="Q85" i="19" s="1"/>
  <c r="Q86" i="19" s="1"/>
  <c r="Q87" i="19" s="1"/>
  <c r="Q88" i="19" s="1"/>
  <c r="Q89" i="19" s="1"/>
  <c r="Q90" i="19" s="1"/>
  <c r="Q97" i="19"/>
  <c r="Q98" i="19" s="1"/>
  <c r="Q99" i="19"/>
  <c r="Q100" i="19" s="1"/>
  <c r="Q101" i="19" s="1"/>
  <c r="Q102" i="19" s="1"/>
  <c r="Q115" i="19"/>
  <c r="Q116" i="19" s="1"/>
  <c r="Q117" i="19" s="1"/>
  <c r="Q118" i="19" s="1"/>
  <c r="Q122" i="19"/>
  <c r="R14" i="19"/>
  <c r="R15" i="19"/>
  <c r="R16" i="19"/>
  <c r="R17" i="19" s="1"/>
  <c r="R18" i="19"/>
  <c r="R19" i="19" s="1"/>
  <c r="R20" i="19" s="1"/>
  <c r="R21" i="19" s="1"/>
  <c r="R22" i="19" s="1"/>
  <c r="R23" i="19" s="1"/>
  <c r="R24" i="19" s="1"/>
  <c r="R25" i="19" s="1"/>
  <c r="R26" i="19" s="1"/>
  <c r="R27" i="19" s="1"/>
  <c r="R28" i="19" s="1"/>
  <c r="R29" i="19" s="1"/>
  <c r="R30" i="19"/>
  <c r="R31" i="19" s="1"/>
  <c r="R32" i="19"/>
  <c r="R33" i="19" s="1"/>
  <c r="R34" i="19"/>
  <c r="R35" i="19" s="1"/>
  <c r="R36" i="19" s="1"/>
  <c r="R37" i="19" s="1"/>
  <c r="R38" i="19" s="1"/>
  <c r="R39" i="19" s="1"/>
  <c r="R40" i="19" s="1"/>
  <c r="R41" i="19" s="1"/>
  <c r="R42" i="19" s="1"/>
  <c r="R43" i="19" s="1"/>
  <c r="R44" i="19" s="1"/>
  <c r="AC44" i="19" s="1"/>
  <c r="R45" i="19"/>
  <c r="R46" i="19"/>
  <c r="R47" i="19" s="1"/>
  <c r="R48" i="19" s="1"/>
  <c r="R49" i="19" s="1"/>
  <c r="R50" i="19" s="1"/>
  <c r="R51" i="19" s="1"/>
  <c r="R52" i="19" s="1"/>
  <c r="R53" i="19" s="1"/>
  <c r="R54" i="19" s="1"/>
  <c r="R55" i="19" s="1"/>
  <c r="R56" i="19" s="1"/>
  <c r="R57" i="19" s="1"/>
  <c r="R58" i="19" s="1"/>
  <c r="R59" i="19" s="1"/>
  <c r="R60" i="19"/>
  <c r="R61" i="19" s="1"/>
  <c r="R62" i="19" s="1"/>
  <c r="R63" i="19" s="1"/>
  <c r="R64" i="19" s="1"/>
  <c r="R65" i="19" s="1"/>
  <c r="R66" i="19" s="1"/>
  <c r="R67" i="19" s="1"/>
  <c r="R68" i="19" s="1"/>
  <c r="R69" i="19" s="1"/>
  <c r="R70" i="19" s="1"/>
  <c r="R71" i="19" s="1"/>
  <c r="R72" i="19" s="1"/>
  <c r="R73" i="19" s="1"/>
  <c r="R74" i="19" s="1"/>
  <c r="R75" i="19" s="1"/>
  <c r="R76" i="19" s="1"/>
  <c r="R77" i="19" s="1"/>
  <c r="R78" i="19" s="1"/>
  <c r="R79" i="19" s="1"/>
  <c r="R80" i="19" s="1"/>
  <c r="R81" i="19"/>
  <c r="R82" i="19"/>
  <c r="R83" i="19" s="1"/>
  <c r="R84" i="19" s="1"/>
  <c r="R85" i="19" s="1"/>
  <c r="R86" i="19" s="1"/>
  <c r="R87" i="19" s="1"/>
  <c r="R88" i="19" s="1"/>
  <c r="R89" i="19" s="1"/>
  <c r="R90" i="19" s="1"/>
  <c r="R91" i="19" s="1"/>
  <c r="R92" i="19" s="1"/>
  <c r="R93" i="19" s="1"/>
  <c r="R94" i="19" s="1"/>
  <c r="R95" i="19"/>
  <c r="R96" i="19"/>
  <c r="R97" i="19" s="1"/>
  <c r="R98" i="19" s="1"/>
  <c r="R99" i="19"/>
  <c r="R100" i="19"/>
  <c r="R101" i="19" s="1"/>
  <c r="R102" i="19"/>
  <c r="R103" i="19" s="1"/>
  <c r="R104" i="19" s="1"/>
  <c r="R105" i="19" s="1"/>
  <c r="R106" i="19" s="1"/>
  <c r="R107" i="19" s="1"/>
  <c r="R108" i="19" s="1"/>
  <c r="R109" i="19" s="1"/>
  <c r="R110" i="19" s="1"/>
  <c r="R111" i="19" s="1"/>
  <c r="R112" i="19"/>
  <c r="R113" i="19"/>
  <c r="R114" i="19"/>
  <c r="R115" i="19"/>
  <c r="R116" i="19"/>
  <c r="R117" i="19" s="1"/>
  <c r="R118" i="19" s="1"/>
  <c r="R119" i="19" s="1"/>
  <c r="R120" i="19" s="1"/>
  <c r="R121" i="19" s="1"/>
  <c r="R122"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107" i="19"/>
  <c r="T108" i="19"/>
  <c r="T109" i="19"/>
  <c r="T110" i="19"/>
  <c r="T111" i="19"/>
  <c r="T112" i="19"/>
  <c r="T113" i="19"/>
  <c r="T114" i="19"/>
  <c r="T115" i="19"/>
  <c r="T116" i="19"/>
  <c r="T117" i="19"/>
  <c r="T118" i="19"/>
  <c r="T119" i="19"/>
  <c r="T120" i="19"/>
  <c r="T121" i="19"/>
  <c r="T122" i="19"/>
  <c r="U14" i="19"/>
  <c r="U15" i="19"/>
  <c r="U16" i="19"/>
  <c r="U17" i="19"/>
  <c r="U18" i="19"/>
  <c r="U19" i="19"/>
  <c r="U20" i="19"/>
  <c r="U21" i="19"/>
  <c r="U22" i="19"/>
  <c r="U23" i="19"/>
  <c r="U24" i="19"/>
  <c r="U25" i="19"/>
  <c r="U26" i="19"/>
  <c r="U27" i="19"/>
  <c r="U28" i="19"/>
  <c r="U29" i="19"/>
  <c r="U30" i="19"/>
  <c r="U31" i="19"/>
  <c r="U32" i="19"/>
  <c r="U33" i="19"/>
  <c r="U34" i="19"/>
  <c r="U36" i="19"/>
  <c r="U37" i="19"/>
  <c r="U38" i="19"/>
  <c r="U40" i="19"/>
  <c r="U41" i="19"/>
  <c r="U42" i="19"/>
  <c r="U45" i="19"/>
  <c r="U46" i="19"/>
  <c r="U47" i="19"/>
  <c r="U48" i="19"/>
  <c r="U49" i="19"/>
  <c r="U50" i="19"/>
  <c r="U51" i="19"/>
  <c r="U52" i="19"/>
  <c r="U53" i="19"/>
  <c r="U54" i="19"/>
  <c r="U55" i="19"/>
  <c r="U56" i="19"/>
  <c r="U57" i="19"/>
  <c r="U58" i="19"/>
  <c r="U59" i="19"/>
  <c r="U60" i="19"/>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7" i="19"/>
  <c r="U88" i="19"/>
  <c r="U89" i="19"/>
  <c r="U90" i="19"/>
  <c r="U91" i="19"/>
  <c r="U92" i="19"/>
  <c r="U93" i="19"/>
  <c r="U94" i="19"/>
  <c r="U96" i="19"/>
  <c r="U97" i="19"/>
  <c r="U98" i="19"/>
  <c r="U99" i="19"/>
  <c r="U100" i="19"/>
  <c r="U101" i="19"/>
  <c r="U102" i="19"/>
  <c r="U103" i="19"/>
  <c r="U104" i="19"/>
  <c r="U105" i="19"/>
  <c r="U106" i="19"/>
  <c r="U107" i="19"/>
  <c r="U108" i="19"/>
  <c r="U109" i="19"/>
  <c r="U110" i="19"/>
  <c r="U111" i="19"/>
  <c r="U112" i="19"/>
  <c r="U113" i="19"/>
  <c r="U114" i="19"/>
  <c r="U115" i="19"/>
  <c r="U116" i="19"/>
  <c r="U117" i="19"/>
  <c r="U118" i="19"/>
  <c r="U119" i="19"/>
  <c r="U120" i="19"/>
  <c r="U121" i="19"/>
  <c r="U122" i="19"/>
  <c r="V14" i="19"/>
  <c r="V15" i="19"/>
  <c r="V16" i="19"/>
  <c r="V17" i="19"/>
  <c r="V20" i="19"/>
  <c r="V21" i="19"/>
  <c r="V24" i="19"/>
  <c r="V25"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90" i="19"/>
  <c r="V91" i="19"/>
  <c r="V92" i="19"/>
  <c r="V93" i="19"/>
  <c r="V94" i="19"/>
  <c r="V95" i="19"/>
  <c r="V96"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Y17" i="19" s="1"/>
  <c r="X18" i="19"/>
  <c r="X20" i="19"/>
  <c r="X21" i="19"/>
  <c r="X22" i="19"/>
  <c r="X24" i="19"/>
  <c r="X25" i="19"/>
  <c r="X26" i="19"/>
  <c r="X28" i="19"/>
  <c r="X29" i="19"/>
  <c r="X30" i="19"/>
  <c r="X31" i="19"/>
  <c r="X32" i="19"/>
  <c r="X33" i="19"/>
  <c r="X34" i="19"/>
  <c r="X35" i="19"/>
  <c r="X36" i="19"/>
  <c r="X37" i="19"/>
  <c r="X38" i="19"/>
  <c r="X39" i="19"/>
  <c r="X40" i="19"/>
  <c r="X41" i="19"/>
  <c r="X42" i="19"/>
  <c r="X45" i="19"/>
  <c r="X46" i="19"/>
  <c r="X47" i="19"/>
  <c r="X48" i="19"/>
  <c r="X49" i="19"/>
  <c r="X50" i="19"/>
  <c r="X51" i="19"/>
  <c r="X52" i="19"/>
  <c r="X53" i="19"/>
  <c r="X54" i="19"/>
  <c r="X55" i="19"/>
  <c r="X56" i="19"/>
  <c r="X57" i="19"/>
  <c r="X58" i="19"/>
  <c r="X59" i="19"/>
  <c r="X60" i="19"/>
  <c r="X61" i="19"/>
  <c r="X62" i="19"/>
  <c r="X64" i="19"/>
  <c r="X65" i="19"/>
  <c r="X66" i="19"/>
  <c r="X68" i="19"/>
  <c r="X69" i="19"/>
  <c r="X70" i="19"/>
  <c r="X72" i="19"/>
  <c r="X73" i="19"/>
  <c r="X74" i="19"/>
  <c r="X76" i="19"/>
  <c r="X77" i="19"/>
  <c r="X78" i="19"/>
  <c r="X79" i="19"/>
  <c r="X80" i="19"/>
  <c r="X81" i="19"/>
  <c r="X82" i="19"/>
  <c r="X83" i="19"/>
  <c r="X84" i="19"/>
  <c r="X85" i="19"/>
  <c r="X86" i="19"/>
  <c r="X96" i="19"/>
  <c r="X97" i="19"/>
  <c r="X98" i="19"/>
  <c r="Y98" i="19" s="1"/>
  <c r="AE98" i="19" s="1"/>
  <c r="X99" i="19"/>
  <c r="X100" i="19"/>
  <c r="X101" i="19"/>
  <c r="X102" i="19"/>
  <c r="X114" i="19"/>
  <c r="X115" i="19"/>
  <c r="X116" i="19"/>
  <c r="X117" i="19"/>
  <c r="X118" i="19"/>
  <c r="X119" i="19"/>
  <c r="X120" i="19"/>
  <c r="X121" i="19"/>
  <c r="X122" i="19"/>
  <c r="Y122" i="19" s="1"/>
  <c r="Y14" i="19"/>
  <c r="Y15" i="19"/>
  <c r="AF15" i="19" s="1"/>
  <c r="Y16" i="19"/>
  <c r="AF16" i="19" s="1"/>
  <c r="Y30" i="19"/>
  <c r="Y31" i="19"/>
  <c r="Y32" i="19"/>
  <c r="AF32" i="19" s="1"/>
  <c r="Y33" i="19"/>
  <c r="AE33" i="19" s="1"/>
  <c r="Y45" i="19"/>
  <c r="AE45" i="19" s="1"/>
  <c r="Y46" i="19"/>
  <c r="Y49" i="19"/>
  <c r="AE49" i="19" s="1"/>
  <c r="Y60" i="19"/>
  <c r="AE60" i="19" s="1"/>
  <c r="Y61" i="19"/>
  <c r="AE61" i="19" s="1"/>
  <c r="Y64" i="19"/>
  <c r="Y65" i="19"/>
  <c r="AE65" i="19" s="1"/>
  <c r="Y79" i="19"/>
  <c r="Y80" i="19"/>
  <c r="Y81" i="19"/>
  <c r="AE81" i="19" s="1"/>
  <c r="Y82" i="19"/>
  <c r="Y83" i="19"/>
  <c r="Y84" i="19"/>
  <c r="Y85" i="19"/>
  <c r="AE85" i="19" s="1"/>
  <c r="Y97" i="19"/>
  <c r="AE97" i="19" s="1"/>
  <c r="Y99" i="19"/>
  <c r="Y100" i="19"/>
  <c r="Y101" i="19"/>
  <c r="AE101" i="19" s="1"/>
  <c r="Y115" i="19"/>
  <c r="Y116" i="19"/>
  <c r="Y117" i="19"/>
  <c r="AE117" i="19" s="1"/>
  <c r="Z14" i="19"/>
  <c r="AD14" i="19" s="1"/>
  <c r="Z15" i="19"/>
  <c r="AC15" i="19" s="1"/>
  <c r="Z16" i="19"/>
  <c r="Z17" i="19"/>
  <c r="Z18" i="19"/>
  <c r="AD18" i="19" s="1"/>
  <c r="Z19" i="19"/>
  <c r="AC19" i="19" s="1"/>
  <c r="Z20" i="19"/>
  <c r="Z21" i="19"/>
  <c r="Z22" i="19"/>
  <c r="AD22" i="19" s="1"/>
  <c r="Z23" i="19"/>
  <c r="AC23" i="19" s="1"/>
  <c r="Z24" i="19"/>
  <c r="Z25" i="19"/>
  <c r="Z26" i="19"/>
  <c r="AD26" i="19" s="1"/>
  <c r="Z27" i="19"/>
  <c r="AC27" i="19" s="1"/>
  <c r="Z28" i="19"/>
  <c r="Z29" i="19"/>
  <c r="Z30" i="19"/>
  <c r="AD30" i="19" s="1"/>
  <c r="Z31" i="19"/>
  <c r="AC31" i="19" s="1"/>
  <c r="Z32" i="19"/>
  <c r="Z33" i="19"/>
  <c r="Z34" i="19"/>
  <c r="AD34" i="19" s="1"/>
  <c r="Z35" i="19"/>
  <c r="AC35" i="19" s="1"/>
  <c r="Z36" i="19"/>
  <c r="Z37" i="19"/>
  <c r="Z38" i="19"/>
  <c r="AD38" i="19" s="1"/>
  <c r="Z39" i="19"/>
  <c r="Z40" i="19"/>
  <c r="Z41" i="19"/>
  <c r="Z42" i="19"/>
  <c r="AD42" i="19" s="1"/>
  <c r="Z43" i="19"/>
  <c r="Z44" i="19"/>
  <c r="Z45" i="19"/>
  <c r="Z46" i="19"/>
  <c r="AD46" i="19" s="1"/>
  <c r="Z47" i="19"/>
  <c r="AC47" i="19" s="1"/>
  <c r="Z48" i="19"/>
  <c r="Z49" i="19"/>
  <c r="Z50" i="19"/>
  <c r="AD50" i="19" s="1"/>
  <c r="Z51" i="19"/>
  <c r="AC51" i="19" s="1"/>
  <c r="Z52" i="19"/>
  <c r="Z53" i="19"/>
  <c r="Z54" i="19"/>
  <c r="AD54" i="19" s="1"/>
  <c r="Z55" i="19"/>
  <c r="AC55" i="19" s="1"/>
  <c r="Z56" i="19"/>
  <c r="Z57" i="19"/>
  <c r="Z58" i="19"/>
  <c r="AD58" i="19" s="1"/>
  <c r="Z59" i="19"/>
  <c r="AC59" i="19" s="1"/>
  <c r="Z60" i="19"/>
  <c r="Z61" i="19"/>
  <c r="Z62" i="19"/>
  <c r="AD62" i="19" s="1"/>
  <c r="Z63" i="19"/>
  <c r="AC63" i="19" s="1"/>
  <c r="Z64" i="19"/>
  <c r="Z65" i="19"/>
  <c r="Z66" i="19"/>
  <c r="AD66" i="19" s="1"/>
  <c r="Z67" i="19"/>
  <c r="AC67" i="19" s="1"/>
  <c r="Z68" i="19"/>
  <c r="Z69" i="19"/>
  <c r="Z70" i="19"/>
  <c r="AD70" i="19" s="1"/>
  <c r="Z71" i="19"/>
  <c r="AC71" i="19" s="1"/>
  <c r="Z72" i="19"/>
  <c r="Z73" i="19"/>
  <c r="Z74" i="19"/>
  <c r="AD74" i="19" s="1"/>
  <c r="Z75" i="19"/>
  <c r="AC75" i="19" s="1"/>
  <c r="Z76" i="19"/>
  <c r="Z77" i="19"/>
  <c r="Z78" i="19"/>
  <c r="AD78" i="19" s="1"/>
  <c r="Z79" i="19"/>
  <c r="AC79" i="19" s="1"/>
  <c r="Z80" i="19"/>
  <c r="Z81" i="19"/>
  <c r="Z82" i="19"/>
  <c r="AD82" i="19" s="1"/>
  <c r="Z83" i="19"/>
  <c r="AC83" i="19" s="1"/>
  <c r="Z84" i="19"/>
  <c r="Z85" i="19"/>
  <c r="Z86" i="19"/>
  <c r="AD86" i="19" s="1"/>
  <c r="Z87" i="19"/>
  <c r="AC87" i="19" s="1"/>
  <c r="Z88" i="19"/>
  <c r="Z89" i="19"/>
  <c r="Z90" i="19"/>
  <c r="AD90" i="19" s="1"/>
  <c r="Z91" i="19"/>
  <c r="AC91" i="19" s="1"/>
  <c r="Z92" i="19"/>
  <c r="Z93" i="19"/>
  <c r="Z94" i="19"/>
  <c r="AD94" i="19" s="1"/>
  <c r="Z95" i="19"/>
  <c r="AC95" i="19" s="1"/>
  <c r="Z96" i="19"/>
  <c r="Z97" i="19"/>
  <c r="Z98" i="19"/>
  <c r="AD98" i="19" s="1"/>
  <c r="Z99" i="19"/>
  <c r="AC99" i="19" s="1"/>
  <c r="Z100" i="19"/>
  <c r="Z102" i="19"/>
  <c r="AD102" i="19" s="1"/>
  <c r="Z103" i="19"/>
  <c r="AC103" i="19" s="1"/>
  <c r="Z104" i="19"/>
  <c r="Z105" i="19"/>
  <c r="Z106" i="19"/>
  <c r="AD106" i="19" s="1"/>
  <c r="Z107" i="19"/>
  <c r="AC107" i="19" s="1"/>
  <c r="Z108" i="19"/>
  <c r="AC108" i="19" s="1"/>
  <c r="Z109" i="19"/>
  <c r="Z110" i="19"/>
  <c r="AD110" i="19" s="1"/>
  <c r="Z111" i="19"/>
  <c r="AC111" i="19" s="1"/>
  <c r="Z112" i="19"/>
  <c r="Z113" i="19"/>
  <c r="Z114" i="19"/>
  <c r="AD114" i="19" s="1"/>
  <c r="Z115" i="19"/>
  <c r="AC115" i="19" s="1"/>
  <c r="Z116" i="19"/>
  <c r="AD116" i="19" s="1"/>
  <c r="Z117" i="19"/>
  <c r="Z118" i="19"/>
  <c r="AD118" i="19" s="1"/>
  <c r="Z119" i="19"/>
  <c r="AC119" i="19" s="1"/>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5" i="19"/>
  <c r="AB46" i="19"/>
  <c r="AB47" i="19"/>
  <c r="AB48" i="19"/>
  <c r="AB49" i="19"/>
  <c r="AB50" i="19"/>
  <c r="AB51" i="19"/>
  <c r="AB52"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4" i="19"/>
  <c r="AC16" i="19"/>
  <c r="AC17" i="19"/>
  <c r="AC20" i="19"/>
  <c r="AC21" i="19"/>
  <c r="AC24" i="19"/>
  <c r="AC25" i="19"/>
  <c r="AC28" i="19"/>
  <c r="AC29" i="19"/>
  <c r="AC30" i="19"/>
  <c r="AC32" i="19"/>
  <c r="AC33" i="19"/>
  <c r="AC36" i="19"/>
  <c r="AC37" i="19"/>
  <c r="AC40" i="19"/>
  <c r="AC41" i="19"/>
  <c r="AC45" i="19"/>
  <c r="AC46" i="19"/>
  <c r="AC48" i="19"/>
  <c r="AC49" i="19"/>
  <c r="AC52" i="19"/>
  <c r="AC53" i="19"/>
  <c r="AC56" i="19"/>
  <c r="AC57" i="19"/>
  <c r="AC60" i="19"/>
  <c r="AC61" i="19"/>
  <c r="AC62" i="19"/>
  <c r="AC64" i="19"/>
  <c r="AC65" i="19"/>
  <c r="AC68" i="19"/>
  <c r="AC69" i="19"/>
  <c r="AC72" i="19"/>
  <c r="AC73" i="19"/>
  <c r="AC76" i="19"/>
  <c r="AC77" i="19"/>
  <c r="AC78" i="19"/>
  <c r="AC80" i="19"/>
  <c r="AC81" i="19"/>
  <c r="AC84" i="19"/>
  <c r="AC85" i="19"/>
  <c r="AC88" i="19"/>
  <c r="AC89" i="19"/>
  <c r="AC92" i="19"/>
  <c r="AC93" i="19"/>
  <c r="AC94" i="19"/>
  <c r="AC96" i="19"/>
  <c r="AC97" i="19"/>
  <c r="AC100" i="19"/>
  <c r="AC101" i="19"/>
  <c r="AC104" i="19"/>
  <c r="AC105" i="19"/>
  <c r="AC106" i="19"/>
  <c r="AC109" i="19"/>
  <c r="AC110" i="19"/>
  <c r="AC112" i="19"/>
  <c r="AC113" i="19"/>
  <c r="AC114" i="19"/>
  <c r="AC116" i="19"/>
  <c r="AC117" i="19"/>
  <c r="AC120" i="19"/>
  <c r="AC121" i="19"/>
  <c r="AC122" i="19"/>
  <c r="AD16" i="19"/>
  <c r="AD17" i="19"/>
  <c r="AD19" i="19"/>
  <c r="AD20" i="19"/>
  <c r="AD21" i="19"/>
  <c r="AD23" i="19"/>
  <c r="AD24" i="19"/>
  <c r="AD25" i="19"/>
  <c r="AD27" i="19"/>
  <c r="AD28" i="19"/>
  <c r="AD29" i="19"/>
  <c r="AD32" i="19"/>
  <c r="AD33" i="19"/>
  <c r="AD35" i="19"/>
  <c r="AD37" i="19"/>
  <c r="AD39" i="19"/>
  <c r="AD40" i="19"/>
  <c r="AD43" i="19"/>
  <c r="AD44" i="19"/>
  <c r="AD45" i="19"/>
  <c r="AD48" i="19"/>
  <c r="AD49" i="19"/>
  <c r="AD51" i="19"/>
  <c r="AD52" i="19"/>
  <c r="AD53" i="19"/>
  <c r="AD55" i="19"/>
  <c r="AD56" i="19"/>
  <c r="AD57" i="19"/>
  <c r="AD59" i="19"/>
  <c r="AD60" i="19"/>
  <c r="AD61" i="19"/>
  <c r="AD64" i="19"/>
  <c r="AD65" i="19"/>
  <c r="AD67" i="19"/>
  <c r="AD68" i="19"/>
  <c r="AD69" i="19"/>
  <c r="AD71" i="19"/>
  <c r="AD72" i="19"/>
  <c r="AD73" i="19"/>
  <c r="AD75" i="19"/>
  <c r="AD76" i="19"/>
  <c r="AD77" i="19"/>
  <c r="AD80" i="19"/>
  <c r="AD81" i="19"/>
  <c r="AD83" i="19"/>
  <c r="AD84" i="19"/>
  <c r="AD85" i="19"/>
  <c r="AD87" i="19"/>
  <c r="AD88" i="19"/>
  <c r="AD89" i="19"/>
  <c r="AD91" i="19"/>
  <c r="AD92" i="19"/>
  <c r="AD93" i="19"/>
  <c r="AD96" i="19"/>
  <c r="AD97" i="19"/>
  <c r="AD99" i="19"/>
  <c r="AD100" i="19"/>
  <c r="AD101" i="19"/>
  <c r="AD103" i="19"/>
  <c r="AD104" i="19"/>
  <c r="AD105" i="19"/>
  <c r="AD108" i="19"/>
  <c r="AD109" i="19"/>
  <c r="AD112" i="19"/>
  <c r="AD113" i="19"/>
  <c r="AD117" i="19"/>
  <c r="AD119" i="19"/>
  <c r="AD120" i="19"/>
  <c r="AD121" i="19"/>
  <c r="AE14" i="19"/>
  <c r="AE15" i="19"/>
  <c r="AE16" i="19"/>
  <c r="AE30" i="19"/>
  <c r="AE31" i="19"/>
  <c r="AE32" i="19"/>
  <c r="AE46" i="19"/>
  <c r="AE64" i="19"/>
  <c r="AE79" i="19"/>
  <c r="AE80" i="19"/>
  <c r="AE82" i="19"/>
  <c r="AE83" i="19"/>
  <c r="AE84" i="19"/>
  <c r="AE99" i="19"/>
  <c r="AE100" i="19"/>
  <c r="AE115" i="19"/>
  <c r="AE116" i="19"/>
  <c r="AE122" i="19"/>
  <c r="AF14" i="19"/>
  <c r="AF30" i="19"/>
  <c r="AF31" i="19"/>
  <c r="AF33" i="19"/>
  <c r="AF45" i="19"/>
  <c r="AF46" i="19"/>
  <c r="AF49" i="19"/>
  <c r="AF60" i="19"/>
  <c r="AF61" i="19"/>
  <c r="AF64" i="19"/>
  <c r="AF79" i="19"/>
  <c r="AF80" i="19"/>
  <c r="AF82" i="19"/>
  <c r="AF83" i="19"/>
  <c r="AF84" i="19"/>
  <c r="AF97" i="19"/>
  <c r="AF98" i="19"/>
  <c r="AF99" i="19"/>
  <c r="AF100" i="19"/>
  <c r="AF115" i="19"/>
  <c r="AF116" i="19"/>
  <c r="AF122" i="19"/>
  <c r="AG14" i="19"/>
  <c r="AG15" i="19"/>
  <c r="AG16" i="19"/>
  <c r="AG30" i="19"/>
  <c r="AG31" i="19"/>
  <c r="AG32" i="19"/>
  <c r="AG33" i="19"/>
  <c r="AG45" i="19"/>
  <c r="AG46" i="19"/>
  <c r="AG49" i="19"/>
  <c r="AG61" i="19"/>
  <c r="AG64" i="19"/>
  <c r="AG65" i="19"/>
  <c r="AG79" i="19"/>
  <c r="AG80" i="19"/>
  <c r="AG81" i="19"/>
  <c r="AG82" i="19"/>
  <c r="AG83" i="19"/>
  <c r="AG84" i="19"/>
  <c r="AG85" i="19"/>
  <c r="AG97" i="19"/>
  <c r="AG98" i="19"/>
  <c r="AG99" i="19"/>
  <c r="AG100" i="19"/>
  <c r="AG101" i="19"/>
  <c r="AG115" i="19"/>
  <c r="AG116" i="19"/>
  <c r="AG117" i="19"/>
  <c r="AG122" i="19"/>
  <c r="AH14" i="19"/>
  <c r="AH16" i="19"/>
  <c r="AH17" i="19"/>
  <c r="AH30" i="19"/>
  <c r="AH31" i="19"/>
  <c r="AH32" i="19"/>
  <c r="AH33" i="19"/>
  <c r="AH45" i="19"/>
  <c r="AH46" i="19"/>
  <c r="AH49" i="19"/>
  <c r="AH60" i="19"/>
  <c r="AH61" i="19"/>
  <c r="AH64" i="19"/>
  <c r="AH65" i="19"/>
  <c r="AH79" i="19"/>
  <c r="AH80" i="19"/>
  <c r="AH81" i="19"/>
  <c r="AH82" i="19"/>
  <c r="AH83" i="19"/>
  <c r="AH84" i="19"/>
  <c r="AH85" i="19"/>
  <c r="AH97" i="19"/>
  <c r="AH98" i="19"/>
  <c r="AH99" i="19"/>
  <c r="AH100" i="19"/>
  <c r="AH101" i="19"/>
  <c r="AH116" i="19"/>
  <c r="AH117" i="19"/>
  <c r="AH122" i="19"/>
  <c r="AI14" i="19"/>
  <c r="AI15" i="19"/>
  <c r="AI16" i="19"/>
  <c r="AI17" i="19"/>
  <c r="AI18" i="19"/>
  <c r="AI19" i="19"/>
  <c r="AI20" i="19"/>
  <c r="AI21" i="19"/>
  <c r="AI22" i="19"/>
  <c r="AI23" i="19"/>
  <c r="AI24" i="19"/>
  <c r="AI25" i="19"/>
  <c r="AI26" i="19"/>
  <c r="AI27" i="19"/>
  <c r="AI28" i="19"/>
  <c r="AI29" i="19"/>
  <c r="AI30" i="19"/>
  <c r="AI31" i="19"/>
  <c r="AI32" i="19"/>
  <c r="AI33" i="19"/>
  <c r="AI34" i="19"/>
  <c r="AI35" i="19"/>
  <c r="AI36" i="19"/>
  <c r="AI37" i="19"/>
  <c r="AI38" i="19"/>
  <c r="AI39" i="19"/>
  <c r="AI40" i="19"/>
  <c r="AI41" i="19"/>
  <c r="AI42" i="19"/>
  <c r="AI45" i="19"/>
  <c r="AI46" i="19"/>
  <c r="AI47" i="19"/>
  <c r="AI48" i="19"/>
  <c r="AI49" i="19"/>
  <c r="AI50" i="19"/>
  <c r="AI51" i="19"/>
  <c r="AI52" i="19"/>
  <c r="AI53" i="19"/>
  <c r="AI54" i="19"/>
  <c r="AI55" i="19"/>
  <c r="AI56" i="19"/>
  <c r="AI57" i="19"/>
  <c r="AI58" i="19"/>
  <c r="AI59" i="19"/>
  <c r="AI60" i="19"/>
  <c r="AI61" i="19"/>
  <c r="AI62" i="19"/>
  <c r="AI63" i="19"/>
  <c r="AI64" i="19"/>
  <c r="AI65" i="19"/>
  <c r="AI66" i="19"/>
  <c r="AI67" i="19"/>
  <c r="AI68" i="19"/>
  <c r="AI69" i="19"/>
  <c r="AI70" i="19"/>
  <c r="AI71" i="19"/>
  <c r="AI72" i="19"/>
  <c r="AI73" i="19"/>
  <c r="AI74" i="19"/>
  <c r="AI75" i="19"/>
  <c r="AI76" i="19"/>
  <c r="AI77" i="19"/>
  <c r="AI78" i="19"/>
  <c r="AI79" i="19"/>
  <c r="AI80" i="19"/>
  <c r="AI81" i="19"/>
  <c r="AI82" i="19"/>
  <c r="AI83" i="19"/>
  <c r="AI84" i="19"/>
  <c r="AI85" i="19"/>
  <c r="AI86" i="19"/>
  <c r="AI87" i="19"/>
  <c r="AI88" i="19"/>
  <c r="AI89" i="19"/>
  <c r="AI90" i="19"/>
  <c r="AI91" i="19"/>
  <c r="AI92" i="19"/>
  <c r="AI93" i="19"/>
  <c r="AI94" i="19"/>
  <c r="AI95" i="19"/>
  <c r="AI96" i="19"/>
  <c r="AI97" i="19"/>
  <c r="AI98" i="19"/>
  <c r="AI99" i="19"/>
  <c r="AI100" i="19"/>
  <c r="AI101" i="19"/>
  <c r="AI102" i="19"/>
  <c r="AI103" i="19"/>
  <c r="AI104" i="19"/>
  <c r="AI105" i="19"/>
  <c r="AI106" i="19"/>
  <c r="AI107" i="19"/>
  <c r="AI108" i="19"/>
  <c r="AI109" i="19"/>
  <c r="AI110" i="19"/>
  <c r="AI111" i="19"/>
  <c r="AI112" i="19"/>
  <c r="AI113" i="19"/>
  <c r="AI114" i="19"/>
  <c r="AI115" i="19"/>
  <c r="AI116" i="19"/>
  <c r="AI117" i="19"/>
  <c r="AI118" i="19"/>
  <c r="AI119" i="19"/>
  <c r="AI120" i="19"/>
  <c r="AI121" i="19"/>
  <c r="AI122"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4" i="19"/>
  <c r="AJ105" i="19"/>
  <c r="AJ106" i="19"/>
  <c r="AJ107" i="19"/>
  <c r="AJ108" i="19"/>
  <c r="AJ109" i="19"/>
  <c r="AJ110" i="19"/>
  <c r="AJ111" i="19"/>
  <c r="AJ112" i="19"/>
  <c r="AJ113" i="19"/>
  <c r="AJ114" i="19"/>
  <c r="AJ115" i="19"/>
  <c r="AJ116" i="19"/>
  <c r="AJ117" i="19"/>
  <c r="AJ118" i="19"/>
  <c r="AJ119" i="19"/>
  <c r="AJ120" i="19"/>
  <c r="AJ121" i="19"/>
  <c r="AJ122" i="19"/>
  <c r="AK14" i="19"/>
  <c r="AK15" i="19"/>
  <c r="AK16" i="19"/>
  <c r="AK17" i="19"/>
  <c r="AK18" i="19"/>
  <c r="AK19" i="19"/>
  <c r="AK20" i="19"/>
  <c r="AK21" i="19"/>
  <c r="AK22" i="19"/>
  <c r="AK23" i="19"/>
  <c r="AK24" i="19"/>
  <c r="AK25" i="19"/>
  <c r="AK26" i="19"/>
  <c r="AK27" i="19"/>
  <c r="AK28" i="19"/>
  <c r="AK29" i="19"/>
  <c r="AK30" i="19"/>
  <c r="AK31" i="19"/>
  <c r="AK32" i="19"/>
  <c r="AK33" i="19"/>
  <c r="AK34" i="19"/>
  <c r="AK35" i="19"/>
  <c r="AK36" i="19"/>
  <c r="AK37" i="19"/>
  <c r="AK38" i="19"/>
  <c r="AK39" i="19"/>
  <c r="AK40" i="19"/>
  <c r="AK41" i="19"/>
  <c r="AK42" i="19"/>
  <c r="AK45" i="19"/>
  <c r="AK46" i="19"/>
  <c r="AK47" i="19"/>
  <c r="AK48" i="19"/>
  <c r="AK49" i="19"/>
  <c r="AK50" i="19"/>
  <c r="AK51" i="19"/>
  <c r="AK52" i="19"/>
  <c r="AK53" i="19"/>
  <c r="AK54" i="19"/>
  <c r="AK55" i="19"/>
  <c r="AK56" i="19"/>
  <c r="AK57" i="19"/>
  <c r="AK58" i="19"/>
  <c r="AK59" i="19"/>
  <c r="AK60" i="19"/>
  <c r="AK61" i="19"/>
  <c r="AK62" i="19"/>
  <c r="AK63" i="19"/>
  <c r="AK64" i="19"/>
  <c r="AK65" i="19"/>
  <c r="AK66" i="19"/>
  <c r="AK67" i="19"/>
  <c r="AK68" i="19"/>
  <c r="AK69" i="19"/>
  <c r="AK70" i="19"/>
  <c r="AK71" i="19"/>
  <c r="AK72" i="19"/>
  <c r="AK73" i="19"/>
  <c r="AK74" i="19"/>
  <c r="AK75" i="19"/>
  <c r="AK76" i="19"/>
  <c r="AK77" i="19"/>
  <c r="AK78" i="19"/>
  <c r="AK79" i="19"/>
  <c r="AK80" i="19"/>
  <c r="AK81" i="19"/>
  <c r="AK82" i="19"/>
  <c r="AK83" i="19"/>
  <c r="AK84" i="19"/>
  <c r="AK85" i="19"/>
  <c r="AK86" i="19"/>
  <c r="AK87" i="19"/>
  <c r="AK88" i="19"/>
  <c r="AK89" i="19"/>
  <c r="AK90" i="19"/>
  <c r="AK91" i="19"/>
  <c r="AK92" i="19"/>
  <c r="AK93" i="19"/>
  <c r="AK94" i="19"/>
  <c r="AK95" i="19"/>
  <c r="AK96" i="19"/>
  <c r="AK97" i="19"/>
  <c r="AK98" i="19"/>
  <c r="AK99" i="19"/>
  <c r="AK100" i="19"/>
  <c r="AK101" i="19"/>
  <c r="AK102" i="19"/>
  <c r="AK103" i="19"/>
  <c r="AK104" i="19"/>
  <c r="AK105" i="19"/>
  <c r="AK106" i="19"/>
  <c r="AK107" i="19"/>
  <c r="AK108" i="19"/>
  <c r="AK109" i="19"/>
  <c r="AK110" i="19"/>
  <c r="AK111" i="19"/>
  <c r="AK112" i="19"/>
  <c r="AK113" i="19"/>
  <c r="AK114" i="19"/>
  <c r="AK115" i="19"/>
  <c r="AK116" i="19"/>
  <c r="AK117" i="19"/>
  <c r="AK118" i="19"/>
  <c r="AK119" i="19"/>
  <c r="AK120" i="19"/>
  <c r="AK121" i="19"/>
  <c r="AK122" i="19"/>
  <c r="AL14" i="19"/>
  <c r="AL15" i="19"/>
  <c r="AL16" i="19"/>
  <c r="AL17" i="19"/>
  <c r="AL18" i="19"/>
  <c r="AL19" i="19"/>
  <c r="AL20" i="19"/>
  <c r="AL21" i="19"/>
  <c r="AL22" i="19"/>
  <c r="AL23" i="19"/>
  <c r="AL24" i="19"/>
  <c r="AL25" i="19"/>
  <c r="AL26" i="19"/>
  <c r="AL27" i="19"/>
  <c r="AL28" i="19"/>
  <c r="AL29" i="19"/>
  <c r="AL30" i="19"/>
  <c r="AL31" i="19"/>
  <c r="AL32" i="19"/>
  <c r="AL33" i="19"/>
  <c r="AL34" i="19"/>
  <c r="AL35" i="19"/>
  <c r="AL36" i="19"/>
  <c r="AL37" i="19"/>
  <c r="AL38" i="19"/>
  <c r="AL39" i="19"/>
  <c r="AL40" i="19"/>
  <c r="AL41" i="19"/>
  <c r="AL42" i="19"/>
  <c r="AL45" i="19"/>
  <c r="AL46" i="19"/>
  <c r="AL47" i="19"/>
  <c r="AL48" i="19"/>
  <c r="AL49" i="19"/>
  <c r="AL50" i="19"/>
  <c r="AL51" i="19"/>
  <c r="AL52" i="19"/>
  <c r="AL53" i="19"/>
  <c r="AL54" i="19"/>
  <c r="AL55" i="19"/>
  <c r="AL56" i="19"/>
  <c r="AL57" i="19"/>
  <c r="AL58" i="19"/>
  <c r="AL59" i="19"/>
  <c r="AL60" i="19"/>
  <c r="AL61" i="19"/>
  <c r="AL62" i="19"/>
  <c r="AL63" i="19"/>
  <c r="AL64" i="19"/>
  <c r="AL65" i="19"/>
  <c r="AL66" i="19"/>
  <c r="AL67" i="19"/>
  <c r="AL68" i="19"/>
  <c r="AL69" i="19"/>
  <c r="AL70" i="19"/>
  <c r="AL71" i="19"/>
  <c r="AL72" i="19"/>
  <c r="AL73" i="19"/>
  <c r="AL74" i="19"/>
  <c r="AL75" i="19"/>
  <c r="AL76" i="19"/>
  <c r="AL77" i="19"/>
  <c r="AL78" i="19"/>
  <c r="AL79" i="19"/>
  <c r="AL80" i="19"/>
  <c r="AL81" i="19"/>
  <c r="AL82" i="19"/>
  <c r="AL83" i="19"/>
  <c r="AL84" i="19"/>
  <c r="AL85" i="19"/>
  <c r="AL86" i="19"/>
  <c r="AL87" i="19"/>
  <c r="AL88" i="19"/>
  <c r="AL89" i="19"/>
  <c r="AL90" i="19"/>
  <c r="AL91" i="19"/>
  <c r="AL92" i="19"/>
  <c r="AL93" i="19"/>
  <c r="AL94" i="19"/>
  <c r="AL95" i="19"/>
  <c r="AL96" i="19"/>
  <c r="AL97" i="19"/>
  <c r="AL98" i="19"/>
  <c r="AL99" i="19"/>
  <c r="AL100" i="19"/>
  <c r="AL101" i="19"/>
  <c r="AL102" i="19"/>
  <c r="AL103" i="19"/>
  <c r="AL104" i="19"/>
  <c r="AL105" i="19"/>
  <c r="AL106" i="19"/>
  <c r="AL107" i="19"/>
  <c r="AL108" i="19"/>
  <c r="AL109" i="19"/>
  <c r="AL110" i="19"/>
  <c r="AL111" i="19"/>
  <c r="AL112" i="19"/>
  <c r="AL113" i="19"/>
  <c r="AL114" i="19"/>
  <c r="AL115" i="19"/>
  <c r="AL116" i="19"/>
  <c r="AL117" i="19"/>
  <c r="AL118" i="19"/>
  <c r="AL119" i="19"/>
  <c r="AL120" i="19"/>
  <c r="AL121" i="19"/>
  <c r="AL122" i="19"/>
  <c r="AM14" i="19"/>
  <c r="AM15" i="19"/>
  <c r="AM16" i="19"/>
  <c r="AM17" i="19"/>
  <c r="AM30" i="19"/>
  <c r="AM31" i="19"/>
  <c r="AM32" i="19"/>
  <c r="AM33" i="19"/>
  <c r="AM45" i="19"/>
  <c r="AM46" i="19"/>
  <c r="AM49" i="19"/>
  <c r="AM60" i="19"/>
  <c r="AM61" i="19"/>
  <c r="AM64" i="19"/>
  <c r="AM65" i="19"/>
  <c r="AM79" i="19"/>
  <c r="AM80" i="19"/>
  <c r="AM81" i="19"/>
  <c r="AM82" i="19"/>
  <c r="AM83" i="19"/>
  <c r="AM84" i="19"/>
  <c r="AM85" i="19"/>
  <c r="AM97" i="19"/>
  <c r="AM98" i="19"/>
  <c r="AM99" i="19"/>
  <c r="AM100" i="19"/>
  <c r="AM101" i="19"/>
  <c r="AM115" i="19"/>
  <c r="AM116" i="19"/>
  <c r="AM117" i="19"/>
  <c r="AM122" i="19"/>
  <c r="AN14" i="19"/>
  <c r="AN15" i="19"/>
  <c r="AN16" i="19"/>
  <c r="AN30" i="19"/>
  <c r="AN31" i="19"/>
  <c r="AN32" i="19"/>
  <c r="AN33" i="19"/>
  <c r="AN45" i="19"/>
  <c r="AN46" i="19"/>
  <c r="AN49" i="19"/>
  <c r="AN60" i="19"/>
  <c r="AN61" i="19"/>
  <c r="AN64" i="19"/>
  <c r="AN65" i="19"/>
  <c r="AN79" i="19"/>
  <c r="AN80" i="19"/>
  <c r="AN81" i="19"/>
  <c r="AN82" i="19"/>
  <c r="AN83" i="19"/>
  <c r="AN84" i="19"/>
  <c r="AN85" i="19"/>
  <c r="AN97" i="19"/>
  <c r="AN98" i="19"/>
  <c r="AN99" i="19"/>
  <c r="AN100" i="19"/>
  <c r="AN101" i="19"/>
  <c r="AN115" i="19"/>
  <c r="AN116" i="19"/>
  <c r="AN117" i="19"/>
  <c r="AN122" i="19"/>
  <c r="AO14" i="19"/>
  <c r="AO15" i="19"/>
  <c r="AO16" i="19"/>
  <c r="AO17" i="19"/>
  <c r="AO30" i="19"/>
  <c r="AO31" i="19"/>
  <c r="AO32" i="19"/>
  <c r="AO33" i="19"/>
  <c r="AO45" i="19"/>
  <c r="AO46" i="19"/>
  <c r="AO49" i="19"/>
  <c r="AO60" i="19"/>
  <c r="AO61" i="19"/>
  <c r="AO64" i="19"/>
  <c r="AO65" i="19"/>
  <c r="AO79" i="19"/>
  <c r="AO80" i="19"/>
  <c r="AO81" i="19"/>
  <c r="AO82" i="19"/>
  <c r="AO83" i="19"/>
  <c r="AO84" i="19"/>
  <c r="AO85" i="19"/>
  <c r="AO97" i="19"/>
  <c r="AO98" i="19"/>
  <c r="AO99" i="19"/>
  <c r="AO100" i="19"/>
  <c r="AO101" i="19"/>
  <c r="AO115" i="19"/>
  <c r="AO116" i="19"/>
  <c r="AO117" i="19"/>
  <c r="AO122" i="19"/>
  <c r="AP14" i="19"/>
  <c r="AP15" i="19"/>
  <c r="AP16" i="19"/>
  <c r="AP17" i="19"/>
  <c r="AP30" i="19"/>
  <c r="AP31" i="19"/>
  <c r="AP32" i="19"/>
  <c r="AP33" i="19"/>
  <c r="AP45" i="19"/>
  <c r="AP46" i="19"/>
  <c r="AP49" i="19"/>
  <c r="AP60" i="19"/>
  <c r="AP61" i="19"/>
  <c r="AP64" i="19"/>
  <c r="AP65" i="19"/>
  <c r="AP79" i="19"/>
  <c r="AP80" i="19"/>
  <c r="AP81" i="19"/>
  <c r="AP82" i="19"/>
  <c r="AP83" i="19"/>
  <c r="AP84" i="19"/>
  <c r="AP85" i="19"/>
  <c r="AP97" i="19"/>
  <c r="AP98" i="19"/>
  <c r="AP99" i="19"/>
  <c r="AP100" i="19"/>
  <c r="AP101" i="19"/>
  <c r="AP115" i="19"/>
  <c r="AP116" i="19"/>
  <c r="AP117" i="19"/>
  <c r="AP122" i="19"/>
  <c r="AQ14" i="19"/>
  <c r="AQ15" i="19"/>
  <c r="AQ16" i="19"/>
  <c r="AQ17" i="19"/>
  <c r="AQ20" i="19"/>
  <c r="AQ21" i="19"/>
  <c r="AQ24" i="19"/>
  <c r="AQ25" i="19"/>
  <c r="AQ28" i="19"/>
  <c r="AQ29" i="19"/>
  <c r="AQ30" i="19"/>
  <c r="AQ31" i="19"/>
  <c r="AQ32" i="19"/>
  <c r="AQ33" i="19"/>
  <c r="AQ34" i="19"/>
  <c r="AQ35" i="19"/>
  <c r="AQ36" i="19"/>
  <c r="AQ37" i="19"/>
  <c r="AQ38" i="19"/>
  <c r="AQ39" i="19"/>
  <c r="AQ40" i="19"/>
  <c r="AQ41" i="19"/>
  <c r="AQ42" i="19"/>
  <c r="AQ43" i="19"/>
  <c r="AQ44" i="19"/>
  <c r="AQ45" i="19"/>
  <c r="AQ46" i="19"/>
  <c r="AQ47" i="19"/>
  <c r="AQ48" i="19"/>
  <c r="AQ49" i="19"/>
  <c r="AQ50" i="19"/>
  <c r="AQ51" i="19"/>
  <c r="AQ52" i="19"/>
  <c r="AQ53" i="19"/>
  <c r="AQ54" i="19"/>
  <c r="AQ55" i="19"/>
  <c r="AQ56" i="19"/>
  <c r="AQ57" i="19"/>
  <c r="AQ58" i="19"/>
  <c r="AQ59" i="19"/>
  <c r="AQ60" i="19"/>
  <c r="AQ61" i="19"/>
  <c r="AQ62" i="19"/>
  <c r="AQ63" i="19"/>
  <c r="AQ64" i="19"/>
  <c r="AQ65" i="19"/>
  <c r="AQ66" i="19"/>
  <c r="AQ67" i="19"/>
  <c r="AQ68" i="19"/>
  <c r="AQ69" i="19"/>
  <c r="AQ70" i="19"/>
  <c r="AQ71" i="19"/>
  <c r="AQ72" i="19"/>
  <c r="AQ73" i="19"/>
  <c r="AQ74" i="19"/>
  <c r="AQ75" i="19"/>
  <c r="AQ76" i="19"/>
  <c r="AQ77" i="19"/>
  <c r="AQ78" i="19"/>
  <c r="AQ79" i="19"/>
  <c r="AQ80" i="19"/>
  <c r="AQ81" i="19"/>
  <c r="AQ82" i="19"/>
  <c r="AQ83" i="19"/>
  <c r="AQ84" i="19"/>
  <c r="AQ85" i="19"/>
  <c r="AQ86" i="19"/>
  <c r="AQ87" i="19"/>
  <c r="AQ88" i="19"/>
  <c r="AQ89" i="19"/>
  <c r="AQ90" i="19"/>
  <c r="AQ91" i="19"/>
  <c r="AQ92" i="19"/>
  <c r="AQ93" i="19"/>
  <c r="AQ94" i="19"/>
  <c r="AQ95" i="19"/>
  <c r="AQ96" i="19"/>
  <c r="AQ98" i="19"/>
  <c r="AQ99" i="19"/>
  <c r="AQ100" i="19"/>
  <c r="AQ101" i="19"/>
  <c r="AQ102" i="19"/>
  <c r="AQ103" i="19"/>
  <c r="AQ104" i="19"/>
  <c r="AQ105" i="19"/>
  <c r="AQ106" i="19"/>
  <c r="AQ107" i="19"/>
  <c r="AQ108" i="19"/>
  <c r="AQ109" i="19"/>
  <c r="AQ110" i="19"/>
  <c r="AQ111" i="19"/>
  <c r="AQ112" i="19"/>
  <c r="AQ113" i="19"/>
  <c r="AQ114" i="19"/>
  <c r="AQ115" i="19"/>
  <c r="AQ116" i="19"/>
  <c r="AQ117" i="19"/>
  <c r="AQ118" i="19"/>
  <c r="AQ119" i="19"/>
  <c r="AQ120" i="19"/>
  <c r="AQ121" i="19"/>
  <c r="AQ122" i="19"/>
  <c r="AR14" i="19"/>
  <c r="AR15" i="19"/>
  <c r="AR16" i="19"/>
  <c r="AR17" i="19"/>
  <c r="AR20" i="19"/>
  <c r="AR21" i="19"/>
  <c r="AR24" i="19"/>
  <c r="AR25" i="19"/>
  <c r="AR28" i="19"/>
  <c r="AR29" i="19"/>
  <c r="AR30" i="19"/>
  <c r="AR31" i="19"/>
  <c r="AR32"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8" i="19"/>
  <c r="AR99" i="19"/>
  <c r="AR100" i="19"/>
  <c r="AR101" i="19"/>
  <c r="AR102" i="19"/>
  <c r="AR103" i="19"/>
  <c r="AR104" i="19"/>
  <c r="AR105" i="19"/>
  <c r="AR106" i="19"/>
  <c r="AR107" i="19"/>
  <c r="AR108" i="19"/>
  <c r="AR109" i="19"/>
  <c r="AR110" i="19"/>
  <c r="AR111" i="19"/>
  <c r="AR112" i="19"/>
  <c r="AR113" i="19"/>
  <c r="AR114" i="19"/>
  <c r="AR115" i="19"/>
  <c r="AR116" i="19"/>
  <c r="AR117" i="19"/>
  <c r="AR118" i="19"/>
  <c r="AR119" i="19"/>
  <c r="AR120" i="19"/>
  <c r="AR121" i="19"/>
  <c r="AR122" i="19"/>
  <c r="AS14" i="19"/>
  <c r="AS15" i="19"/>
  <c r="AS16" i="19"/>
  <c r="AS17" i="19"/>
  <c r="AS20" i="19"/>
  <c r="AS21" i="19"/>
  <c r="AS24" i="19"/>
  <c r="AS25" i="19"/>
  <c r="AS28" i="19"/>
  <c r="AS29" i="19"/>
  <c r="AS30" i="19"/>
  <c r="AS31" i="19"/>
  <c r="AS32"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8" i="19"/>
  <c r="AS99" i="19"/>
  <c r="AS100" i="19"/>
  <c r="AS101" i="19"/>
  <c r="AS102" i="19"/>
  <c r="AS103" i="19"/>
  <c r="AS104" i="19"/>
  <c r="AS105" i="19"/>
  <c r="AS106" i="19"/>
  <c r="AS107" i="19"/>
  <c r="AS108" i="19"/>
  <c r="AS109" i="19"/>
  <c r="AS110" i="19"/>
  <c r="AS111" i="19"/>
  <c r="AS112" i="19"/>
  <c r="AS113" i="19"/>
  <c r="AS114" i="19"/>
  <c r="AS115" i="19"/>
  <c r="AS116" i="19"/>
  <c r="AS117" i="19"/>
  <c r="AS118" i="19"/>
  <c r="AS119" i="19"/>
  <c r="AS120" i="19"/>
  <c r="AS121" i="19"/>
  <c r="AS122" i="19"/>
  <c r="AT14" i="19"/>
  <c r="AT15" i="19"/>
  <c r="AT16" i="19"/>
  <c r="AT17" i="19"/>
  <c r="AT20" i="19"/>
  <c r="AT21" i="19"/>
  <c r="AT24" i="19"/>
  <c r="AT25" i="19"/>
  <c r="AT28" i="19"/>
  <c r="AT29" i="19"/>
  <c r="AT30" i="19"/>
  <c r="AT31" i="19"/>
  <c r="AT32" i="19"/>
  <c r="AT33" i="19"/>
  <c r="AT34" i="19"/>
  <c r="AT35" i="19"/>
  <c r="AT36" i="19"/>
  <c r="AT37" i="19"/>
  <c r="AT38" i="19"/>
  <c r="AT39" i="19"/>
  <c r="AT40" i="19"/>
  <c r="AT41" i="19"/>
  <c r="AT42" i="19"/>
  <c r="AT43" i="19"/>
  <c r="AT44" i="19"/>
  <c r="AT45" i="19"/>
  <c r="AT46" i="19"/>
  <c r="AT47" i="19"/>
  <c r="AT48" i="19"/>
  <c r="AT49" i="19"/>
  <c r="AT50" i="19"/>
  <c r="AT51" i="19"/>
  <c r="AT52" i="19"/>
  <c r="AT53" i="19"/>
  <c r="AT54" i="19"/>
  <c r="AT55" i="19"/>
  <c r="AT56" i="19"/>
  <c r="AT57" i="19"/>
  <c r="AT58" i="19"/>
  <c r="AT59" i="19"/>
  <c r="AT60" i="19"/>
  <c r="AT61" i="19"/>
  <c r="AT62" i="19"/>
  <c r="AT63" i="19"/>
  <c r="AT64" i="19"/>
  <c r="AT65" i="19"/>
  <c r="AT66" i="19"/>
  <c r="AT67" i="19"/>
  <c r="AT68" i="19"/>
  <c r="AT69" i="19"/>
  <c r="AT70" i="19"/>
  <c r="AT71" i="19"/>
  <c r="AT72" i="19"/>
  <c r="AT73" i="19"/>
  <c r="AT74" i="19"/>
  <c r="AT75" i="19"/>
  <c r="AT76" i="19"/>
  <c r="AT77" i="19"/>
  <c r="AT78" i="19"/>
  <c r="AT79" i="19"/>
  <c r="AT80" i="19"/>
  <c r="AT81" i="19"/>
  <c r="AT82" i="19"/>
  <c r="AT83" i="19"/>
  <c r="AT84" i="19"/>
  <c r="AT85" i="19"/>
  <c r="AT86" i="19"/>
  <c r="AT87" i="19"/>
  <c r="AT88" i="19"/>
  <c r="AT89" i="19"/>
  <c r="AT90" i="19"/>
  <c r="AT91" i="19"/>
  <c r="AT92" i="19"/>
  <c r="AT93" i="19"/>
  <c r="AT94" i="19"/>
  <c r="AT95" i="19"/>
  <c r="AT96" i="19"/>
  <c r="AT98" i="19"/>
  <c r="AT99" i="19"/>
  <c r="AT100" i="19"/>
  <c r="AT101" i="19"/>
  <c r="AT102" i="19"/>
  <c r="AT103" i="19"/>
  <c r="AT104" i="19"/>
  <c r="AT105" i="19"/>
  <c r="AT106" i="19"/>
  <c r="AT107" i="19"/>
  <c r="AT108" i="19"/>
  <c r="AT109" i="19"/>
  <c r="AT110" i="19"/>
  <c r="AT111" i="19"/>
  <c r="AT112" i="19"/>
  <c r="AT113" i="19"/>
  <c r="AT114" i="19"/>
  <c r="AT115" i="19"/>
  <c r="AT116" i="19"/>
  <c r="AT117" i="19"/>
  <c r="AT118" i="19"/>
  <c r="AT119" i="19"/>
  <c r="AT120" i="19"/>
  <c r="AT121" i="19"/>
  <c r="AT122" i="19"/>
  <c r="AU14" i="19"/>
  <c r="AU15" i="19"/>
  <c r="AU16" i="19"/>
  <c r="AU17" i="19"/>
  <c r="AU30" i="19"/>
  <c r="AU31" i="19"/>
  <c r="AU32" i="19"/>
  <c r="AU33" i="19"/>
  <c r="AU45" i="19"/>
  <c r="AU46" i="19"/>
  <c r="AU49" i="19"/>
  <c r="AU60" i="19"/>
  <c r="AU61" i="19"/>
  <c r="AU64" i="19"/>
  <c r="AU65" i="19"/>
  <c r="AU79" i="19"/>
  <c r="AU80" i="19"/>
  <c r="AU81" i="19"/>
  <c r="AU82" i="19"/>
  <c r="AU83" i="19"/>
  <c r="AU84" i="19"/>
  <c r="AU85" i="19"/>
  <c r="AU98" i="19"/>
  <c r="AU99" i="19"/>
  <c r="AU100" i="19"/>
  <c r="AU101" i="19"/>
  <c r="AU115" i="19"/>
  <c r="AU116" i="19"/>
  <c r="AU117" i="19"/>
  <c r="AU122" i="19"/>
  <c r="AV14" i="19"/>
  <c r="AV15" i="19"/>
  <c r="AV16" i="19"/>
  <c r="AV17" i="19"/>
  <c r="AV30" i="19"/>
  <c r="AV31" i="19"/>
  <c r="AV32" i="19"/>
  <c r="AV33" i="19"/>
  <c r="AV45" i="19"/>
  <c r="AV46" i="19"/>
  <c r="AV49" i="19"/>
  <c r="AV60" i="19"/>
  <c r="AV61" i="19"/>
  <c r="AV64" i="19"/>
  <c r="AV65" i="19"/>
  <c r="AV79" i="19"/>
  <c r="AV80" i="19"/>
  <c r="AV81" i="19"/>
  <c r="AV82" i="19"/>
  <c r="AV83" i="19"/>
  <c r="AV84" i="19"/>
  <c r="AV85" i="19"/>
  <c r="AV98" i="19"/>
  <c r="AV99" i="19"/>
  <c r="AV100" i="19"/>
  <c r="AV101" i="19"/>
  <c r="AV115" i="19"/>
  <c r="AV116" i="19"/>
  <c r="AV117" i="19"/>
  <c r="AV122" i="19"/>
  <c r="AW14" i="19"/>
  <c r="AW15" i="19"/>
  <c r="AW16" i="19"/>
  <c r="AW17" i="19"/>
  <c r="AW30" i="19"/>
  <c r="AW31" i="19"/>
  <c r="AW32" i="19"/>
  <c r="AW33" i="19"/>
  <c r="AW45" i="19"/>
  <c r="AW46" i="19"/>
  <c r="AW49" i="19"/>
  <c r="AW60" i="19"/>
  <c r="AW61" i="19"/>
  <c r="AW64" i="19"/>
  <c r="AW65" i="19"/>
  <c r="AW79" i="19"/>
  <c r="AW80" i="19"/>
  <c r="AW81" i="19"/>
  <c r="AW82" i="19"/>
  <c r="AW83" i="19"/>
  <c r="AW84" i="19"/>
  <c r="AW85" i="19"/>
  <c r="AW98" i="19"/>
  <c r="AW99" i="19"/>
  <c r="AW100" i="19"/>
  <c r="AW101" i="19"/>
  <c r="AW115" i="19"/>
  <c r="AW116" i="19"/>
  <c r="AW117" i="19"/>
  <c r="AW122" i="19"/>
  <c r="AX14" i="19"/>
  <c r="AX15" i="19"/>
  <c r="AX16" i="19"/>
  <c r="AX17" i="19"/>
  <c r="AX30" i="19"/>
  <c r="AX31" i="19"/>
  <c r="AX32" i="19"/>
  <c r="AX33" i="19"/>
  <c r="AX45" i="19"/>
  <c r="AX46" i="19"/>
  <c r="AX49" i="19"/>
  <c r="AX60" i="19"/>
  <c r="AX61" i="19"/>
  <c r="AX64" i="19"/>
  <c r="AX65" i="19"/>
  <c r="AX79" i="19"/>
  <c r="AX80" i="19"/>
  <c r="AX81" i="19"/>
  <c r="AX82" i="19"/>
  <c r="AX83" i="19"/>
  <c r="AX84" i="19"/>
  <c r="AX85" i="19"/>
  <c r="AX98" i="19"/>
  <c r="AX99" i="19"/>
  <c r="AX100" i="19"/>
  <c r="AX101" i="19"/>
  <c r="AX115" i="19"/>
  <c r="AX116" i="19"/>
  <c r="AX117" i="19"/>
  <c r="AX122" i="19"/>
  <c r="AY14" i="19"/>
  <c r="AY15" i="19"/>
  <c r="AY16" i="19"/>
  <c r="AY17" i="19"/>
  <c r="AY20" i="19"/>
  <c r="AY21" i="19"/>
  <c r="AY24" i="19"/>
  <c r="AY25" i="19"/>
  <c r="AY28" i="19"/>
  <c r="AY29" i="19"/>
  <c r="AY30" i="19"/>
  <c r="AY31" i="19"/>
  <c r="AY32" i="19"/>
  <c r="AY33" i="19"/>
  <c r="AY34" i="19"/>
  <c r="AY35" i="19"/>
  <c r="AY36" i="19"/>
  <c r="AY37" i="19"/>
  <c r="AY38" i="19"/>
  <c r="AY39" i="19"/>
  <c r="AY40" i="19"/>
  <c r="AY41" i="19"/>
  <c r="AY42" i="19"/>
  <c r="AY45" i="19"/>
  <c r="AY46" i="19"/>
  <c r="AY47" i="19"/>
  <c r="AY48" i="19"/>
  <c r="AY49" i="19"/>
  <c r="AY50" i="19"/>
  <c r="AY51" i="19"/>
  <c r="AY52" i="19"/>
  <c r="AY53" i="19"/>
  <c r="AY54" i="19"/>
  <c r="AY55" i="19"/>
  <c r="AY56" i="19"/>
  <c r="AY57" i="19"/>
  <c r="AY58" i="19"/>
  <c r="AY59" i="19"/>
  <c r="AY60" i="19"/>
  <c r="AY61" i="19"/>
  <c r="AY62" i="19"/>
  <c r="AY63" i="19"/>
  <c r="AY64" i="19"/>
  <c r="AY65" i="19"/>
  <c r="AY66" i="19"/>
  <c r="AY67" i="19"/>
  <c r="AY68" i="19"/>
  <c r="AY69" i="19"/>
  <c r="AY70" i="19"/>
  <c r="AY71" i="19"/>
  <c r="AY72" i="19"/>
  <c r="AY73" i="19"/>
  <c r="AY74" i="19"/>
  <c r="AY75" i="19"/>
  <c r="AY76" i="19"/>
  <c r="AY77" i="19"/>
  <c r="AY78" i="19"/>
  <c r="AY79" i="19"/>
  <c r="AY80" i="19"/>
  <c r="AY81" i="19"/>
  <c r="AY82" i="19"/>
  <c r="AY83" i="19"/>
  <c r="AY84" i="19"/>
  <c r="AY85" i="19"/>
  <c r="AY86" i="19"/>
  <c r="AY87" i="19"/>
  <c r="AY88" i="19"/>
  <c r="AY89" i="19"/>
  <c r="AY90" i="19"/>
  <c r="AY91" i="19"/>
  <c r="AY92" i="19"/>
  <c r="AY93" i="19"/>
  <c r="AY94" i="19"/>
  <c r="AY95" i="19"/>
  <c r="AY96" i="19"/>
  <c r="AY98" i="19"/>
  <c r="AY99" i="19"/>
  <c r="AY100" i="19"/>
  <c r="AY101" i="19"/>
  <c r="AY102" i="19"/>
  <c r="AY103" i="19"/>
  <c r="AY104" i="19"/>
  <c r="AY105" i="19"/>
  <c r="AY106" i="19"/>
  <c r="AY107" i="19"/>
  <c r="AY108" i="19"/>
  <c r="AY109" i="19"/>
  <c r="AY110" i="19"/>
  <c r="AY111" i="19"/>
  <c r="AY112" i="19"/>
  <c r="AY113" i="19"/>
  <c r="AY114" i="19"/>
  <c r="AY115" i="19"/>
  <c r="AY116" i="19"/>
  <c r="AY117" i="19"/>
  <c r="AY118" i="19"/>
  <c r="AY119" i="19"/>
  <c r="AY120" i="19"/>
  <c r="AY121" i="19"/>
  <c r="AY122" i="19"/>
  <c r="AZ14" i="19"/>
  <c r="AZ15" i="19"/>
  <c r="AZ16" i="19"/>
  <c r="AZ17" i="19"/>
  <c r="AZ20" i="19"/>
  <c r="AZ21" i="19"/>
  <c r="AZ24" i="19"/>
  <c r="AZ25" i="19"/>
  <c r="AZ28" i="19"/>
  <c r="AZ29" i="19"/>
  <c r="AZ30" i="19"/>
  <c r="AZ31" i="19"/>
  <c r="AZ32" i="19"/>
  <c r="AZ33" i="19"/>
  <c r="AZ34" i="19"/>
  <c r="AZ35" i="19"/>
  <c r="AZ36" i="19"/>
  <c r="AZ37" i="19"/>
  <c r="AZ38" i="19"/>
  <c r="AZ39" i="19"/>
  <c r="AZ40" i="19"/>
  <c r="AZ41" i="19"/>
  <c r="AZ42"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8" i="19"/>
  <c r="AZ99" i="19"/>
  <c r="AZ100" i="19"/>
  <c r="AZ101" i="19"/>
  <c r="AZ102" i="19"/>
  <c r="AZ103" i="19"/>
  <c r="AZ104" i="19"/>
  <c r="AZ105" i="19"/>
  <c r="AZ106" i="19"/>
  <c r="AZ107" i="19"/>
  <c r="AZ108" i="19"/>
  <c r="AZ109" i="19"/>
  <c r="AZ110" i="19"/>
  <c r="AZ111" i="19"/>
  <c r="AZ112" i="19"/>
  <c r="AZ113" i="19"/>
  <c r="AZ114" i="19"/>
  <c r="AZ115" i="19"/>
  <c r="AZ116" i="19"/>
  <c r="AZ117" i="19"/>
  <c r="AZ118" i="19"/>
  <c r="AZ119" i="19"/>
  <c r="AZ120" i="19"/>
  <c r="AZ121" i="19"/>
  <c r="AZ122" i="19"/>
  <c r="BA14" i="19"/>
  <c r="BA15" i="19"/>
  <c r="BA16" i="19"/>
  <c r="BA17" i="19"/>
  <c r="BA20" i="19"/>
  <c r="BA21" i="19"/>
  <c r="BA24" i="19"/>
  <c r="BA25" i="19"/>
  <c r="BA28" i="19"/>
  <c r="BA29" i="19"/>
  <c r="BA30" i="19"/>
  <c r="BA31" i="19"/>
  <c r="BA32" i="19"/>
  <c r="BA33" i="19"/>
  <c r="BA34" i="19"/>
  <c r="BA35" i="19"/>
  <c r="BA36" i="19"/>
  <c r="BA37" i="19"/>
  <c r="BA38" i="19"/>
  <c r="BA39" i="19"/>
  <c r="BA40" i="19"/>
  <c r="BA41" i="19"/>
  <c r="BA42" i="19"/>
  <c r="BA45" i="19"/>
  <c r="BA46" i="19"/>
  <c r="BA47" i="19"/>
  <c r="BA48" i="19"/>
  <c r="BA49" i="19"/>
  <c r="BA50" i="19"/>
  <c r="BA51" i="19"/>
  <c r="BA52" i="19"/>
  <c r="BA53" i="19"/>
  <c r="BA54" i="19"/>
  <c r="BA55" i="19"/>
  <c r="BA56" i="19"/>
  <c r="BA57" i="19"/>
  <c r="BA58" i="19"/>
  <c r="BA59" i="19"/>
  <c r="BA60" i="19"/>
  <c r="BA61" i="19"/>
  <c r="BA62" i="19"/>
  <c r="BA63" i="19"/>
  <c r="BA64" i="19"/>
  <c r="BA65" i="19"/>
  <c r="BA66" i="19"/>
  <c r="BA67" i="19"/>
  <c r="BA68" i="19"/>
  <c r="BA69" i="19"/>
  <c r="BA70" i="19"/>
  <c r="BA71" i="19"/>
  <c r="BA72" i="19"/>
  <c r="BA73" i="19"/>
  <c r="BA74" i="19"/>
  <c r="BA75" i="19"/>
  <c r="BA76" i="19"/>
  <c r="BA77" i="19"/>
  <c r="BA78" i="19"/>
  <c r="BA79" i="19"/>
  <c r="BA80" i="19"/>
  <c r="BA81" i="19"/>
  <c r="BA82" i="19"/>
  <c r="BA83" i="19"/>
  <c r="BA84" i="19"/>
  <c r="BA85" i="19"/>
  <c r="BA86" i="19"/>
  <c r="BA87" i="19"/>
  <c r="BA88" i="19"/>
  <c r="BA89" i="19"/>
  <c r="BA90" i="19"/>
  <c r="BA91" i="19"/>
  <c r="BA92" i="19"/>
  <c r="BA93" i="19"/>
  <c r="BA94" i="19"/>
  <c r="BA95" i="19"/>
  <c r="BA96" i="19"/>
  <c r="BA98" i="19"/>
  <c r="BA99" i="19"/>
  <c r="BA100" i="19"/>
  <c r="BA101" i="19"/>
  <c r="BA102" i="19"/>
  <c r="BA103" i="19"/>
  <c r="BA104" i="19"/>
  <c r="BA105" i="19"/>
  <c r="BA106" i="19"/>
  <c r="BA107" i="19"/>
  <c r="BA108" i="19"/>
  <c r="BA109" i="19"/>
  <c r="BA110" i="19"/>
  <c r="BA111" i="19"/>
  <c r="BA112" i="19"/>
  <c r="BA113" i="19"/>
  <c r="BA114" i="19"/>
  <c r="BA115" i="19"/>
  <c r="BA116" i="19"/>
  <c r="BA117" i="19"/>
  <c r="BA118" i="19"/>
  <c r="BA119" i="19"/>
  <c r="BA120" i="19"/>
  <c r="BA121" i="19"/>
  <c r="BA122" i="19"/>
  <c r="BB14" i="19"/>
  <c r="BB15" i="19"/>
  <c r="BB16" i="19"/>
  <c r="BB17" i="19"/>
  <c r="BB20" i="19"/>
  <c r="BB21" i="19"/>
  <c r="BB24" i="19"/>
  <c r="BB25" i="19"/>
  <c r="BB28" i="19"/>
  <c r="BB29" i="19"/>
  <c r="BB30" i="19"/>
  <c r="BB31" i="19"/>
  <c r="BB32" i="19"/>
  <c r="BB33" i="19"/>
  <c r="BB34" i="19"/>
  <c r="BB35" i="19"/>
  <c r="BB36" i="19"/>
  <c r="BB37" i="19"/>
  <c r="BB38" i="19"/>
  <c r="BB39" i="19"/>
  <c r="BB40" i="19"/>
  <c r="BB41" i="19"/>
  <c r="BB42" i="19"/>
  <c r="BB45" i="19"/>
  <c r="BB46" i="19"/>
  <c r="BB47" i="19"/>
  <c r="BB48" i="19"/>
  <c r="BB49" i="19"/>
  <c r="BB50" i="19"/>
  <c r="BB51" i="19"/>
  <c r="BB52" i="19"/>
  <c r="BB53" i="19"/>
  <c r="BB54" i="19"/>
  <c r="BB55" i="19"/>
  <c r="BB56" i="19"/>
  <c r="BB57" i="19"/>
  <c r="BB58" i="19"/>
  <c r="BB59" i="19"/>
  <c r="BB60" i="19"/>
  <c r="BB61" i="19"/>
  <c r="BB62" i="19"/>
  <c r="BB63" i="19"/>
  <c r="BB64" i="19"/>
  <c r="BB65" i="19"/>
  <c r="BB66" i="19"/>
  <c r="BB67" i="19"/>
  <c r="BB68" i="19"/>
  <c r="BB69" i="19"/>
  <c r="BB70" i="19"/>
  <c r="BB71" i="19"/>
  <c r="BB72" i="19"/>
  <c r="BB73" i="19"/>
  <c r="BB74" i="19"/>
  <c r="BB75" i="19"/>
  <c r="BB76" i="19"/>
  <c r="BB77" i="19"/>
  <c r="BB78" i="19"/>
  <c r="BB79" i="19"/>
  <c r="BB80" i="19"/>
  <c r="BB81" i="19"/>
  <c r="BB82" i="19"/>
  <c r="BB83" i="19"/>
  <c r="BB84" i="19"/>
  <c r="BB85" i="19"/>
  <c r="BB86" i="19"/>
  <c r="BB87" i="19"/>
  <c r="BB88" i="19"/>
  <c r="BB89" i="19"/>
  <c r="BB90" i="19"/>
  <c r="BB91" i="19"/>
  <c r="BB92" i="19"/>
  <c r="BB93" i="19"/>
  <c r="BB94" i="19"/>
  <c r="BB95" i="19"/>
  <c r="BB96" i="19"/>
  <c r="BB98" i="19"/>
  <c r="BB99" i="19"/>
  <c r="BB100" i="19"/>
  <c r="BB101" i="19"/>
  <c r="BB102" i="19"/>
  <c r="BB103" i="19"/>
  <c r="BB104" i="19"/>
  <c r="BB105" i="19"/>
  <c r="BB106" i="19"/>
  <c r="BB107" i="19"/>
  <c r="BB108" i="19"/>
  <c r="BB109" i="19"/>
  <c r="BB110" i="19"/>
  <c r="BB111" i="19"/>
  <c r="BB112" i="19"/>
  <c r="BB113" i="19"/>
  <c r="BB114" i="19"/>
  <c r="BB115" i="19"/>
  <c r="BB116" i="19"/>
  <c r="BB117" i="19"/>
  <c r="BB118" i="19"/>
  <c r="BB119" i="19"/>
  <c r="BB120" i="19"/>
  <c r="BB121" i="19"/>
  <c r="BB122" i="19"/>
  <c r="BC14" i="19"/>
  <c r="BC15" i="19"/>
  <c r="BC16" i="19"/>
  <c r="BC17" i="19"/>
  <c r="BC30" i="19"/>
  <c r="BC31" i="19"/>
  <c r="BC32" i="19"/>
  <c r="BC33" i="19"/>
  <c r="BC45" i="19"/>
  <c r="BC46" i="19"/>
  <c r="BC49" i="19"/>
  <c r="BC60" i="19"/>
  <c r="BC61" i="19"/>
  <c r="BC64" i="19"/>
  <c r="BC65" i="19"/>
  <c r="BC79" i="19"/>
  <c r="BC80" i="19"/>
  <c r="BC81" i="19"/>
  <c r="BC82" i="19"/>
  <c r="BC83" i="19"/>
  <c r="BC84" i="19"/>
  <c r="BC85" i="19"/>
  <c r="BC98" i="19"/>
  <c r="BC99" i="19"/>
  <c r="BC100" i="19"/>
  <c r="BC101" i="19"/>
  <c r="BC115" i="19"/>
  <c r="BC116" i="19"/>
  <c r="BC117" i="19"/>
  <c r="BC122" i="19"/>
  <c r="BD14" i="19"/>
  <c r="BD15" i="19"/>
  <c r="BD16" i="19"/>
  <c r="BD17" i="19"/>
  <c r="BD30" i="19"/>
  <c r="BD31" i="19"/>
  <c r="BD32" i="19"/>
  <c r="BD33" i="19"/>
  <c r="BD45" i="19"/>
  <c r="BD46" i="19"/>
  <c r="BD49" i="19"/>
  <c r="BD60" i="19"/>
  <c r="BD61" i="19"/>
  <c r="BD64" i="19"/>
  <c r="BD65" i="19"/>
  <c r="BD79" i="19"/>
  <c r="BD80" i="19"/>
  <c r="BD81" i="19"/>
  <c r="BD82" i="19"/>
  <c r="BD83" i="19"/>
  <c r="BD84" i="19"/>
  <c r="BD85" i="19"/>
  <c r="BD98" i="19"/>
  <c r="BD99" i="19"/>
  <c r="BD100" i="19"/>
  <c r="BD101" i="19"/>
  <c r="BD115" i="19"/>
  <c r="BD116" i="19"/>
  <c r="BD117" i="19"/>
  <c r="BD122" i="19"/>
  <c r="BE14" i="19"/>
  <c r="BE15" i="19"/>
  <c r="BE16" i="19"/>
  <c r="BE17" i="19"/>
  <c r="BE30" i="19"/>
  <c r="BE31" i="19"/>
  <c r="BE32" i="19"/>
  <c r="BE33" i="19"/>
  <c r="BE45" i="19"/>
  <c r="BE46" i="19"/>
  <c r="BE49" i="19"/>
  <c r="BE60" i="19"/>
  <c r="BE61" i="19"/>
  <c r="BE64" i="19"/>
  <c r="BE65" i="19"/>
  <c r="BE79" i="19"/>
  <c r="BE80" i="19"/>
  <c r="BE81" i="19"/>
  <c r="BE82" i="19"/>
  <c r="BE83" i="19"/>
  <c r="BE84" i="19"/>
  <c r="BE85" i="19"/>
  <c r="BE98" i="19"/>
  <c r="BE99" i="19"/>
  <c r="BE100" i="19"/>
  <c r="BE101" i="19"/>
  <c r="BE115" i="19"/>
  <c r="BE116" i="19"/>
  <c r="BE117" i="19"/>
  <c r="BE122" i="19"/>
  <c r="BF14" i="19"/>
  <c r="BF15" i="19"/>
  <c r="BF16" i="19"/>
  <c r="BF17" i="19"/>
  <c r="BF30" i="19"/>
  <c r="BF31" i="19"/>
  <c r="BF32" i="19"/>
  <c r="BF33" i="19"/>
  <c r="BF45" i="19"/>
  <c r="BF46" i="19"/>
  <c r="BF49" i="19"/>
  <c r="BF60" i="19"/>
  <c r="BF61" i="19"/>
  <c r="BF64" i="19"/>
  <c r="BF65" i="19"/>
  <c r="BF79" i="19"/>
  <c r="BF80" i="19"/>
  <c r="BF81" i="19"/>
  <c r="BF82" i="19"/>
  <c r="BF83" i="19"/>
  <c r="BF84" i="19"/>
  <c r="BF85" i="19"/>
  <c r="BF98" i="19"/>
  <c r="BF99" i="19"/>
  <c r="BF100" i="19"/>
  <c r="BF101" i="19"/>
  <c r="BF115" i="19"/>
  <c r="BF116" i="19"/>
  <c r="BF117" i="19"/>
  <c r="BF122" i="19"/>
  <c r="Q411" i="3"/>
  <c r="Q410" i="3"/>
  <c r="Q409" i="3"/>
  <c r="Q408" i="3"/>
  <c r="Q407" i="3"/>
  <c r="Q406" i="3"/>
  <c r="Q405" i="3"/>
  <c r="Q404" i="3"/>
  <c r="Q403" i="3"/>
  <c r="Q402" i="3"/>
  <c r="Q401" i="3"/>
  <c r="Q400" i="3"/>
  <c r="Q399" i="3"/>
  <c r="Q398" i="3"/>
  <c r="Q397" i="3"/>
  <c r="Q396" i="3"/>
  <c r="Q395" i="3"/>
  <c r="Q394" i="3"/>
  <c r="Q393" i="3"/>
  <c r="Q392" i="3"/>
  <c r="Q391" i="3"/>
  <c r="Q390" i="3"/>
  <c r="Q389" i="3"/>
  <c r="R406" i="3" a="1"/>
  <c r="R411" i="3" a="1"/>
  <c r="R409" i="3" a="1"/>
  <c r="R407" i="3" a="1"/>
  <c r="R405" i="3" a="1"/>
  <c r="R403" i="3" a="1"/>
  <c r="R401" i="3" a="1"/>
  <c r="R399" i="3" a="1"/>
  <c r="R397" i="3" a="1"/>
  <c r="R395" i="3" a="1"/>
  <c r="R393" i="3" a="1"/>
  <c r="R391" i="3" a="1"/>
  <c r="R389" i="3" a="1"/>
  <c r="R408" i="3" a="1"/>
  <c r="R404" i="3" a="1"/>
  <c r="R402" i="3" a="1"/>
  <c r="R400" i="3" a="1"/>
  <c r="R398" i="3" a="1"/>
  <c r="R396" i="3" a="1"/>
  <c r="R394" i="3" a="1"/>
  <c r="R392" i="3" a="1"/>
  <c r="R390" i="3" a="1"/>
  <c r="R410" i="3" a="1"/>
  <c r="R388" i="3" a="1"/>
  <c r="H7" i="19" a="1"/>
  <c r="H6" i="19" a="1"/>
  <c r="F3" i="17"/>
  <c r="R410" i="3" l="1"/>
  <c r="R390" i="3"/>
  <c r="R392" i="3"/>
  <c r="R394" i="3"/>
  <c r="R396" i="3"/>
  <c r="R398" i="3"/>
  <c r="R400" i="3"/>
  <c r="R402" i="3"/>
  <c r="R404" i="3"/>
  <c r="R408" i="3"/>
  <c r="R389" i="3"/>
  <c r="R391" i="3"/>
  <c r="R393" i="3"/>
  <c r="R395" i="3"/>
  <c r="R397" i="3"/>
  <c r="R399" i="3"/>
  <c r="R401" i="3"/>
  <c r="R403" i="3"/>
  <c r="R405" i="3"/>
  <c r="R407" i="3"/>
  <c r="R409" i="3"/>
  <c r="R411" i="3"/>
  <c r="R406" i="3"/>
  <c r="R388" i="3"/>
  <c r="AE17" i="19"/>
  <c r="AN17" i="19"/>
  <c r="AF17" i="19"/>
  <c r="AG17" i="19"/>
  <c r="AD107" i="19"/>
  <c r="AC98" i="19"/>
  <c r="AC82" i="19"/>
  <c r="AC66" i="19"/>
  <c r="AC50" i="19"/>
  <c r="AC34" i="19"/>
  <c r="AC18" i="19"/>
  <c r="AD122" i="19"/>
  <c r="Y48" i="19"/>
  <c r="Q103" i="19"/>
  <c r="Y102" i="19"/>
  <c r="Y34" i="19"/>
  <c r="Q35" i="19"/>
  <c r="P88" i="19"/>
  <c r="X87" i="19"/>
  <c r="Y87" i="19" s="1"/>
  <c r="AH115" i="19"/>
  <c r="AH15" i="19"/>
  <c r="AG60" i="19"/>
  <c r="AF117" i="19"/>
  <c r="AF101" i="19"/>
  <c r="AF85" i="19"/>
  <c r="AF81" i="19"/>
  <c r="AF65" i="19"/>
  <c r="AD111" i="19"/>
  <c r="AD95" i="19"/>
  <c r="AD79" i="19"/>
  <c r="AD63" i="19"/>
  <c r="AD47" i="19"/>
  <c r="AD41" i="19"/>
  <c r="AD36" i="19"/>
  <c r="AD31" i="19"/>
  <c r="AD15" i="19"/>
  <c r="AC118" i="19"/>
  <c r="AC102" i="19"/>
  <c r="AC86" i="19"/>
  <c r="AC70" i="19"/>
  <c r="AC54" i="19"/>
  <c r="AC38" i="19"/>
  <c r="AC22" i="19"/>
  <c r="Y47" i="19"/>
  <c r="Y66" i="19"/>
  <c r="Q67" i="19"/>
  <c r="AD115" i="19"/>
  <c r="AC90" i="19"/>
  <c r="AC74" i="19"/>
  <c r="AC58" i="19"/>
  <c r="AC42" i="19"/>
  <c r="AC26" i="19"/>
  <c r="AC43" i="19"/>
  <c r="AC39" i="19"/>
  <c r="Q91" i="19"/>
  <c r="Q19" i="19"/>
  <c r="Y18" i="19"/>
  <c r="Q119" i="19"/>
  <c r="Y118" i="19"/>
  <c r="Y50" i="19"/>
  <c r="Q51" i="19"/>
  <c r="X103" i="19"/>
  <c r="P104" i="19"/>
  <c r="O27" i="19"/>
  <c r="V27" i="19" s="1"/>
  <c r="V26" i="19"/>
  <c r="O19" i="19"/>
  <c r="V19" i="19" s="1"/>
  <c r="V18" i="19"/>
  <c r="M44" i="19"/>
  <c r="U43" i="19"/>
  <c r="O23" i="19"/>
  <c r="V23" i="19" s="1"/>
  <c r="V22" i="19"/>
  <c r="Y86" i="19"/>
  <c r="Y62" i="19"/>
  <c r="X75" i="19"/>
  <c r="X71" i="19"/>
  <c r="X67" i="19"/>
  <c r="X63" i="19"/>
  <c r="Y63" i="19" s="1"/>
  <c r="X43" i="19"/>
  <c r="X27" i="19"/>
  <c r="X23" i="19"/>
  <c r="X19" i="19"/>
  <c r="V97" i="19"/>
  <c r="T43" i="19"/>
  <c r="I100" i="19"/>
  <c r="I84" i="19"/>
  <c r="I60" i="19"/>
  <c r="I61" i="19" s="1"/>
  <c r="I62" i="19" s="1"/>
  <c r="I36" i="19"/>
  <c r="I16" i="19"/>
  <c r="I47" i="19"/>
  <c r="H7" i="19"/>
  <c r="H6" i="19"/>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I17" i="19" l="1"/>
  <c r="I48" i="19"/>
  <c r="AE86" i="19"/>
  <c r="AM86" i="19"/>
  <c r="AF86" i="19"/>
  <c r="AV86" i="19"/>
  <c r="BD86" i="19"/>
  <c r="AO86" i="19"/>
  <c r="AG86" i="19"/>
  <c r="AN86" i="19"/>
  <c r="AP86" i="19"/>
  <c r="AX86" i="19"/>
  <c r="BF86" i="19"/>
  <c r="AU86" i="19"/>
  <c r="AH86" i="19"/>
  <c r="BC86" i="19"/>
  <c r="AW86" i="19"/>
  <c r="BE86" i="19"/>
  <c r="AQ27" i="19"/>
  <c r="AY27" i="19"/>
  <c r="AR27" i="19"/>
  <c r="AS27" i="19"/>
  <c r="BA27" i="19"/>
  <c r="AT27" i="19"/>
  <c r="AZ27" i="19"/>
  <c r="BB27" i="19"/>
  <c r="AE50" i="19"/>
  <c r="AM50" i="19"/>
  <c r="AG50" i="19"/>
  <c r="AV50" i="19"/>
  <c r="BD50" i="19"/>
  <c r="AH50" i="19"/>
  <c r="AO50" i="19"/>
  <c r="AP50" i="19"/>
  <c r="AX50" i="19"/>
  <c r="BF50" i="19"/>
  <c r="AU50" i="19"/>
  <c r="AF50" i="19"/>
  <c r="AN50" i="19"/>
  <c r="BC50" i="19"/>
  <c r="AW50" i="19"/>
  <c r="BE50" i="19"/>
  <c r="I101" i="19"/>
  <c r="AS97" i="19"/>
  <c r="AW97" i="19"/>
  <c r="BA97" i="19"/>
  <c r="BE97" i="19"/>
  <c r="AQ97" i="19"/>
  <c r="AU97" i="19"/>
  <c r="AY97" i="19"/>
  <c r="BC97" i="19"/>
  <c r="AV97" i="19"/>
  <c r="AR97" i="19"/>
  <c r="AX97" i="19"/>
  <c r="AZ97" i="19"/>
  <c r="BF97" i="19"/>
  <c r="BB97" i="19"/>
  <c r="BD97" i="19"/>
  <c r="AT97" i="19"/>
  <c r="AR22" i="19"/>
  <c r="AZ22" i="19"/>
  <c r="AS22" i="19"/>
  <c r="AT22" i="19"/>
  <c r="BB22" i="19"/>
  <c r="AQ22" i="19"/>
  <c r="AY22" i="19"/>
  <c r="BA22" i="19"/>
  <c r="AR18" i="19"/>
  <c r="AV18" i="19"/>
  <c r="AZ18" i="19"/>
  <c r="BD18" i="19"/>
  <c r="AS18" i="19"/>
  <c r="AT18" i="19"/>
  <c r="AX18" i="19"/>
  <c r="BB18" i="19"/>
  <c r="BF18" i="19"/>
  <c r="AU18" i="19"/>
  <c r="AQ18" i="19"/>
  <c r="BC18" i="19"/>
  <c r="AW18" i="19"/>
  <c r="AY18" i="19"/>
  <c r="BE18" i="19"/>
  <c r="BA18" i="19"/>
  <c r="P105" i="19"/>
  <c r="X104" i="19"/>
  <c r="AE118" i="19"/>
  <c r="AM118" i="19"/>
  <c r="AF118" i="19"/>
  <c r="AH118" i="19"/>
  <c r="AV118" i="19"/>
  <c r="BD118" i="19"/>
  <c r="AN118" i="19"/>
  <c r="AO118" i="19"/>
  <c r="AG118" i="19"/>
  <c r="AP118" i="19"/>
  <c r="AX118" i="19"/>
  <c r="BF118" i="19"/>
  <c r="AU118" i="19"/>
  <c r="BC118" i="19"/>
  <c r="AW118" i="19"/>
  <c r="BE118" i="19"/>
  <c r="Q92" i="19"/>
  <c r="AE47" i="19"/>
  <c r="AG47" i="19"/>
  <c r="AF47" i="19"/>
  <c r="AH47" i="19"/>
  <c r="AN47" i="19"/>
  <c r="AO47" i="19"/>
  <c r="AU47" i="19"/>
  <c r="BC47" i="19"/>
  <c r="AM47" i="19"/>
  <c r="AW47" i="19"/>
  <c r="BE47" i="19"/>
  <c r="AX47" i="19"/>
  <c r="AP47" i="19"/>
  <c r="BD47" i="19"/>
  <c r="AV47" i="19"/>
  <c r="BF47" i="19"/>
  <c r="AE34" i="19"/>
  <c r="AM34" i="19"/>
  <c r="AV34" i="19"/>
  <c r="BD34" i="19"/>
  <c r="AN34" i="19"/>
  <c r="AF34" i="19"/>
  <c r="AG34" i="19"/>
  <c r="AH34" i="19"/>
  <c r="AO34" i="19"/>
  <c r="AP34" i="19"/>
  <c r="AX34" i="19"/>
  <c r="BF34" i="19"/>
  <c r="AU34" i="19"/>
  <c r="AW34" i="19"/>
  <c r="BE34" i="19"/>
  <c r="BC34" i="19"/>
  <c r="I63" i="19"/>
  <c r="AE63" i="19"/>
  <c r="AG63" i="19"/>
  <c r="AH63" i="19"/>
  <c r="AF63" i="19"/>
  <c r="AU63" i="19"/>
  <c r="BC63" i="19"/>
  <c r="AM63" i="19"/>
  <c r="AN63" i="19"/>
  <c r="AO63" i="19"/>
  <c r="AW63" i="19"/>
  <c r="BE63" i="19"/>
  <c r="AX63" i="19"/>
  <c r="AP63" i="19"/>
  <c r="AV63" i="19"/>
  <c r="BD63" i="19"/>
  <c r="BF63" i="19"/>
  <c r="AQ23" i="19"/>
  <c r="AY23" i="19"/>
  <c r="AR23" i="19"/>
  <c r="AS23" i="19"/>
  <c r="BA23" i="19"/>
  <c r="AT23" i="19"/>
  <c r="AZ23" i="19"/>
  <c r="BB23" i="19"/>
  <c r="AQ19" i="19"/>
  <c r="AY19" i="19"/>
  <c r="AR19" i="19"/>
  <c r="AS19" i="19"/>
  <c r="BA19" i="19"/>
  <c r="AT19" i="19"/>
  <c r="AZ19" i="19"/>
  <c r="BB19" i="19"/>
  <c r="Q120" i="19"/>
  <c r="Y119" i="19"/>
  <c r="AG87" i="19"/>
  <c r="AE87" i="19"/>
  <c r="AH87" i="19"/>
  <c r="AM87" i="19"/>
  <c r="AU87" i="19"/>
  <c r="BC87" i="19"/>
  <c r="AF87" i="19"/>
  <c r="AO87" i="19"/>
  <c r="AW87" i="19"/>
  <c r="BE87" i="19"/>
  <c r="AN87" i="19"/>
  <c r="AP87" i="19"/>
  <c r="AX87" i="19"/>
  <c r="BD87" i="19"/>
  <c r="AV87" i="19"/>
  <c r="BF87" i="19"/>
  <c r="AE102" i="19"/>
  <c r="AM102" i="19"/>
  <c r="AF102" i="19"/>
  <c r="AG102" i="19"/>
  <c r="AH102" i="19"/>
  <c r="AN102" i="19"/>
  <c r="AV102" i="19"/>
  <c r="BD102" i="19"/>
  <c r="AO102" i="19"/>
  <c r="AP102" i="19"/>
  <c r="AX102" i="19"/>
  <c r="BF102" i="19"/>
  <c r="AU102" i="19"/>
  <c r="AW102" i="19"/>
  <c r="BE102" i="19"/>
  <c r="BC102" i="19"/>
  <c r="I37" i="19"/>
  <c r="I85" i="19"/>
  <c r="AM62" i="19"/>
  <c r="AE62" i="19"/>
  <c r="AF62" i="19"/>
  <c r="AG62" i="19"/>
  <c r="AV62" i="19"/>
  <c r="BD62" i="19"/>
  <c r="AN62" i="19"/>
  <c r="AO62" i="19"/>
  <c r="AP62" i="19"/>
  <c r="AX62" i="19"/>
  <c r="BF62" i="19"/>
  <c r="AU62" i="19"/>
  <c r="AH62" i="19"/>
  <c r="BE62" i="19"/>
  <c r="AW62" i="19"/>
  <c r="BC62" i="19"/>
  <c r="AR26" i="19"/>
  <c r="AZ26" i="19"/>
  <c r="AS26" i="19"/>
  <c r="AT26" i="19"/>
  <c r="BB26" i="19"/>
  <c r="AQ26" i="19"/>
  <c r="AY26" i="19"/>
  <c r="BA26" i="19"/>
  <c r="Q52" i="19"/>
  <c r="Y51" i="19"/>
  <c r="AF18" i="19"/>
  <c r="AE18" i="19"/>
  <c r="AM18" i="19"/>
  <c r="AN18" i="19"/>
  <c r="AH18" i="19"/>
  <c r="AO18" i="19"/>
  <c r="AP18" i="19"/>
  <c r="AG18" i="19"/>
  <c r="Q68" i="19"/>
  <c r="Y67" i="19"/>
  <c r="P89" i="19"/>
  <c r="X88" i="19"/>
  <c r="Y88" i="19" s="1"/>
  <c r="Q104" i="19"/>
  <c r="Y103" i="19"/>
  <c r="AL43" i="19"/>
  <c r="AY43" i="19"/>
  <c r="AI43" i="19"/>
  <c r="AJ43" i="19"/>
  <c r="BA43" i="19"/>
  <c r="AK43" i="19"/>
  <c r="AZ43" i="19"/>
  <c r="BB43" i="19"/>
  <c r="T44" i="19"/>
  <c r="X44" i="19"/>
  <c r="U44" i="19"/>
  <c r="Q20" i="19"/>
  <c r="Y19" i="19"/>
  <c r="AU19" i="19" s="1"/>
  <c r="AE66" i="19"/>
  <c r="AM66" i="19"/>
  <c r="AF66" i="19"/>
  <c r="AV66" i="19"/>
  <c r="BD66" i="19"/>
  <c r="AN66" i="19"/>
  <c r="AO66" i="19"/>
  <c r="AH66" i="19"/>
  <c r="AP66" i="19"/>
  <c r="AX66" i="19"/>
  <c r="BF66" i="19"/>
  <c r="AU66" i="19"/>
  <c r="AG66" i="19"/>
  <c r="BE66" i="19"/>
  <c r="AW66" i="19"/>
  <c r="BC66" i="19"/>
  <c r="Q36" i="19"/>
  <c r="Y35" i="19"/>
  <c r="AF48" i="19"/>
  <c r="AE48" i="19"/>
  <c r="AG48" i="19"/>
  <c r="AO48" i="19"/>
  <c r="AH48" i="19"/>
  <c r="AP48" i="19"/>
  <c r="AX48" i="19"/>
  <c r="BF48" i="19"/>
  <c r="AN48" i="19"/>
  <c r="AM48" i="19"/>
  <c r="AV48" i="19"/>
  <c r="BD48" i="19"/>
  <c r="AW48" i="19"/>
  <c r="AU48" i="19"/>
  <c r="BE48" i="19"/>
  <c r="BC48" i="19"/>
  <c r="BB8" i="19"/>
  <c r="BB12" i="19" s="1"/>
  <c r="AR8" i="19"/>
  <c r="AR12" i="19" s="1"/>
  <c r="AL8" i="19"/>
  <c r="AL12" i="19" s="1"/>
  <c r="AT8" i="19"/>
  <c r="AT12" i="19" s="1"/>
  <c r="AG103" i="19" l="1"/>
  <c r="AE103" i="19"/>
  <c r="AH103" i="19"/>
  <c r="AU103" i="19"/>
  <c r="BC103" i="19"/>
  <c r="AF103" i="19"/>
  <c r="AM103" i="19"/>
  <c r="AN103" i="19"/>
  <c r="AO103" i="19"/>
  <c r="AW103" i="19"/>
  <c r="BE103" i="19"/>
  <c r="AP103" i="19"/>
  <c r="AV103" i="19"/>
  <c r="AX103" i="19"/>
  <c r="BF103" i="19"/>
  <c r="BD103" i="19"/>
  <c r="AF88" i="19"/>
  <c r="AG88" i="19"/>
  <c r="AE88" i="19"/>
  <c r="AH88" i="19"/>
  <c r="AN88" i="19"/>
  <c r="AP88" i="19"/>
  <c r="AX88" i="19"/>
  <c r="BF88" i="19"/>
  <c r="AM88" i="19"/>
  <c r="AV88" i="19"/>
  <c r="BD88" i="19"/>
  <c r="AW88" i="19"/>
  <c r="AO88" i="19"/>
  <c r="BE88" i="19"/>
  <c r="BC88" i="19"/>
  <c r="AU88" i="19"/>
  <c r="I49" i="19"/>
  <c r="Q37" i="19"/>
  <c r="Y36" i="19"/>
  <c r="Q21" i="19"/>
  <c r="Y20" i="19"/>
  <c r="AK44" i="19"/>
  <c r="BB44" i="19"/>
  <c r="AI44" i="19"/>
  <c r="AZ44" i="19"/>
  <c r="AJ44" i="19"/>
  <c r="AL44" i="19"/>
  <c r="AY44" i="19"/>
  <c r="BA44" i="19"/>
  <c r="AF51" i="19"/>
  <c r="AG51" i="19"/>
  <c r="AH51" i="19"/>
  <c r="AE51" i="19"/>
  <c r="AM51" i="19"/>
  <c r="AN51" i="19"/>
  <c r="AU51" i="19"/>
  <c r="BC51" i="19"/>
  <c r="AW51" i="19"/>
  <c r="BE51" i="19"/>
  <c r="AX51" i="19"/>
  <c r="AO51" i="19"/>
  <c r="AP51" i="19"/>
  <c r="AV51" i="19"/>
  <c r="BF51" i="19"/>
  <c r="BD51" i="19"/>
  <c r="I38" i="19"/>
  <c r="BD19" i="19"/>
  <c r="AV19" i="19"/>
  <c r="BC19" i="19"/>
  <c r="AF35" i="19"/>
  <c r="AG35" i="19"/>
  <c r="AH35" i="19"/>
  <c r="AE35" i="19"/>
  <c r="AU35" i="19"/>
  <c r="BC35" i="19"/>
  <c r="AN35" i="19"/>
  <c r="AW35" i="19"/>
  <c r="BE35" i="19"/>
  <c r="AX35" i="19"/>
  <c r="AM35" i="19"/>
  <c r="AO35" i="19"/>
  <c r="AP35" i="19"/>
  <c r="BF35" i="19"/>
  <c r="AV35" i="19"/>
  <c r="BD35" i="19"/>
  <c r="P90" i="19"/>
  <c r="X89" i="19"/>
  <c r="Y89" i="19" s="1"/>
  <c r="Q53" i="19"/>
  <c r="Y52" i="19"/>
  <c r="AW19" i="19"/>
  <c r="I64" i="19"/>
  <c r="P106" i="19"/>
  <c r="X105" i="19"/>
  <c r="AG67" i="19"/>
  <c r="AH67" i="19"/>
  <c r="AE67" i="19"/>
  <c r="AM67" i="19"/>
  <c r="AU67" i="19"/>
  <c r="BC67" i="19"/>
  <c r="AF67" i="19"/>
  <c r="AN67" i="19"/>
  <c r="AO67" i="19"/>
  <c r="AW67" i="19"/>
  <c r="BE67" i="19"/>
  <c r="AP67" i="19"/>
  <c r="AV67" i="19"/>
  <c r="BD67" i="19"/>
  <c r="BF67" i="19"/>
  <c r="AX67" i="19"/>
  <c r="AE119" i="19"/>
  <c r="AH119" i="19"/>
  <c r="AU119" i="19"/>
  <c r="BC119" i="19"/>
  <c r="AM119" i="19"/>
  <c r="AF119" i="19"/>
  <c r="AN119" i="19"/>
  <c r="AO119" i="19"/>
  <c r="AW119" i="19"/>
  <c r="BE119" i="19"/>
  <c r="AG119" i="19"/>
  <c r="AP119" i="19"/>
  <c r="BD119" i="19"/>
  <c r="BF119" i="19"/>
  <c r="AV119" i="19"/>
  <c r="AX119" i="19"/>
  <c r="BF19" i="19"/>
  <c r="AX19" i="19"/>
  <c r="I18" i="19"/>
  <c r="AF19" i="19"/>
  <c r="AG19" i="19"/>
  <c r="AH19" i="19"/>
  <c r="AE19" i="19"/>
  <c r="AN19" i="19"/>
  <c r="AM19" i="19"/>
  <c r="AO19" i="19"/>
  <c r="AP19" i="19"/>
  <c r="Q105" i="19"/>
  <c r="Y104" i="19"/>
  <c r="Q69" i="19"/>
  <c r="Y68" i="19"/>
  <c r="I86" i="19"/>
  <c r="Q121" i="19"/>
  <c r="Y121" i="19" s="1"/>
  <c r="Y120" i="19"/>
  <c r="BE19" i="19"/>
  <c r="Q93" i="19"/>
  <c r="I102"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AE68" i="19" l="1"/>
  <c r="AF68" i="19"/>
  <c r="AG68" i="19"/>
  <c r="AP68" i="19"/>
  <c r="AX68" i="19"/>
  <c r="BF68" i="19"/>
  <c r="AM68" i="19"/>
  <c r="AV68" i="19"/>
  <c r="BD68" i="19"/>
  <c r="AW68" i="19"/>
  <c r="AH68" i="19"/>
  <c r="AN68" i="19"/>
  <c r="AO68" i="19"/>
  <c r="AU68" i="19"/>
  <c r="BE68" i="19"/>
  <c r="BC68" i="19"/>
  <c r="P91" i="19"/>
  <c r="X90" i="19"/>
  <c r="Y90" i="19" s="1"/>
  <c r="AF36" i="19"/>
  <c r="AE36" i="19"/>
  <c r="AG36" i="19"/>
  <c r="AO36" i="19"/>
  <c r="AM36" i="19"/>
  <c r="AP36" i="19"/>
  <c r="AX36" i="19"/>
  <c r="BF36" i="19"/>
  <c r="AV36" i="19"/>
  <c r="BD36" i="19"/>
  <c r="AW36" i="19"/>
  <c r="AH36" i="19"/>
  <c r="AN36" i="19"/>
  <c r="AU36" i="19"/>
  <c r="BE36" i="19"/>
  <c r="BC36" i="19"/>
  <c r="AE121" i="19"/>
  <c r="AF121" i="19"/>
  <c r="AN121" i="19"/>
  <c r="AG121" i="19"/>
  <c r="AO121" i="19"/>
  <c r="AW121" i="19"/>
  <c r="BE121" i="19"/>
  <c r="AP121" i="19"/>
  <c r="AH121" i="19"/>
  <c r="AU121" i="19"/>
  <c r="BC121" i="19"/>
  <c r="AV121" i="19"/>
  <c r="AM121" i="19"/>
  <c r="AX121" i="19"/>
  <c r="BD121" i="19"/>
  <c r="BF121" i="19"/>
  <c r="Q70" i="19"/>
  <c r="Y69" i="19"/>
  <c r="I19" i="19"/>
  <c r="P107" i="19"/>
  <c r="X106" i="19"/>
  <c r="AF52" i="19"/>
  <c r="AE52" i="19"/>
  <c r="AG52" i="19"/>
  <c r="AO52" i="19"/>
  <c r="AP52" i="19"/>
  <c r="AX52" i="19"/>
  <c r="BF52" i="19"/>
  <c r="AM52" i="19"/>
  <c r="AN52" i="19"/>
  <c r="AV52" i="19"/>
  <c r="BD52" i="19"/>
  <c r="AW52" i="19"/>
  <c r="AH52" i="19"/>
  <c r="BE52" i="19"/>
  <c r="BC52" i="19"/>
  <c r="AU52" i="19"/>
  <c r="I39" i="19"/>
  <c r="Q38" i="19"/>
  <c r="Y37" i="19"/>
  <c r="AF120" i="19"/>
  <c r="AG120" i="19"/>
  <c r="AE120" i="19"/>
  <c r="AP120" i="19"/>
  <c r="AX120" i="19"/>
  <c r="BF120" i="19"/>
  <c r="AH120" i="19"/>
  <c r="AM120" i="19"/>
  <c r="AV120" i="19"/>
  <c r="BD120" i="19"/>
  <c r="AW120" i="19"/>
  <c r="AN120" i="19"/>
  <c r="AO120" i="19"/>
  <c r="AU120" i="19"/>
  <c r="BE120" i="19"/>
  <c r="BC120" i="19"/>
  <c r="Q94" i="19"/>
  <c r="AF104" i="19"/>
  <c r="AG104" i="19"/>
  <c r="AE104" i="19"/>
  <c r="AP104" i="19"/>
  <c r="AX104" i="19"/>
  <c r="BF104" i="19"/>
  <c r="AH104" i="19"/>
  <c r="AM104" i="19"/>
  <c r="AN104" i="19"/>
  <c r="AV104" i="19"/>
  <c r="BD104" i="19"/>
  <c r="AO104" i="19"/>
  <c r="AW104" i="19"/>
  <c r="AU104" i="19"/>
  <c r="BE104" i="19"/>
  <c r="BC104" i="19"/>
  <c r="AF20" i="19"/>
  <c r="AE20" i="19"/>
  <c r="AG20" i="19"/>
  <c r="AO20" i="19"/>
  <c r="AP20" i="19"/>
  <c r="AX20" i="19"/>
  <c r="BF20" i="19"/>
  <c r="AH20" i="19"/>
  <c r="AN20" i="19"/>
  <c r="AV20" i="19"/>
  <c r="BD20" i="19"/>
  <c r="AW20" i="19"/>
  <c r="AM20" i="19"/>
  <c r="BE20" i="19"/>
  <c r="AU20" i="19"/>
  <c r="BC20" i="19"/>
  <c r="I103" i="19"/>
  <c r="I65" i="19"/>
  <c r="Q54" i="19"/>
  <c r="Y53" i="19"/>
  <c r="I87" i="19"/>
  <c r="Q106" i="19"/>
  <c r="Y105" i="19"/>
  <c r="AE89" i="19"/>
  <c r="AF89" i="19"/>
  <c r="AN89" i="19"/>
  <c r="AO89" i="19"/>
  <c r="AW89" i="19"/>
  <c r="BE89" i="19"/>
  <c r="AH89" i="19"/>
  <c r="AP89" i="19"/>
  <c r="AM89" i="19"/>
  <c r="AU89" i="19"/>
  <c r="BC89" i="19"/>
  <c r="AV89" i="19"/>
  <c r="AG89" i="19"/>
  <c r="AX89" i="19"/>
  <c r="BF89" i="19"/>
  <c r="BD89" i="19"/>
  <c r="Q22" i="19"/>
  <c r="Y21" i="19"/>
  <c r="I50"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AE105" i="19" l="1"/>
  <c r="AF105" i="19"/>
  <c r="AN105" i="19"/>
  <c r="AO105" i="19"/>
  <c r="AW105" i="19"/>
  <c r="BE105" i="19"/>
  <c r="AG105" i="19"/>
  <c r="AP105" i="19"/>
  <c r="AH105" i="19"/>
  <c r="AU105" i="19"/>
  <c r="BC105" i="19"/>
  <c r="AV105" i="19"/>
  <c r="AM105" i="19"/>
  <c r="BD105" i="19"/>
  <c r="BF105" i="19"/>
  <c r="AX105" i="19"/>
  <c r="AE53" i="19"/>
  <c r="AF53" i="19"/>
  <c r="AN53" i="19"/>
  <c r="AG53" i="19"/>
  <c r="AH53" i="19"/>
  <c r="AO53" i="19"/>
  <c r="AW53" i="19"/>
  <c r="BE53" i="19"/>
  <c r="AP53" i="19"/>
  <c r="AM53" i="19"/>
  <c r="AU53" i="19"/>
  <c r="BC53" i="19"/>
  <c r="AV53" i="19"/>
  <c r="AX53" i="19"/>
  <c r="BF53" i="19"/>
  <c r="BD53" i="19"/>
  <c r="AE37" i="19"/>
  <c r="AF37" i="19"/>
  <c r="AN37" i="19"/>
  <c r="AG37" i="19"/>
  <c r="AH37" i="19"/>
  <c r="AO37" i="19"/>
  <c r="AW37" i="19"/>
  <c r="BE37" i="19"/>
  <c r="AM37" i="19"/>
  <c r="AP37" i="19"/>
  <c r="AU37" i="19"/>
  <c r="BC37" i="19"/>
  <c r="AV37" i="19"/>
  <c r="AX37" i="19"/>
  <c r="BF37" i="19"/>
  <c r="BD37" i="19"/>
  <c r="AE69" i="19"/>
  <c r="AF69" i="19"/>
  <c r="AN69" i="19"/>
  <c r="AG69" i="19"/>
  <c r="AH69" i="19"/>
  <c r="AO69" i="19"/>
  <c r="AW69" i="19"/>
  <c r="BE69" i="19"/>
  <c r="AP69" i="19"/>
  <c r="AM69" i="19"/>
  <c r="AU69" i="19"/>
  <c r="BC69" i="19"/>
  <c r="AV69" i="19"/>
  <c r="AX69" i="19"/>
  <c r="BF69" i="19"/>
  <c r="BD69" i="19"/>
  <c r="I51" i="19"/>
  <c r="Y106" i="19"/>
  <c r="Q107" i="19"/>
  <c r="Y54" i="19"/>
  <c r="Q55" i="19"/>
  <c r="I104" i="19"/>
  <c r="Y38" i="19"/>
  <c r="Q39" i="19"/>
  <c r="X107" i="19"/>
  <c r="P108" i="19"/>
  <c r="Q71" i="19"/>
  <c r="Y70" i="19"/>
  <c r="I40" i="19"/>
  <c r="I20" i="19"/>
  <c r="AE90" i="19"/>
  <c r="AM90" i="19"/>
  <c r="AF90" i="19"/>
  <c r="AG90" i="19"/>
  <c r="AV90" i="19"/>
  <c r="BD90" i="19"/>
  <c r="AN90" i="19"/>
  <c r="AO90" i="19"/>
  <c r="AH90" i="19"/>
  <c r="AP90" i="19"/>
  <c r="AX90" i="19"/>
  <c r="BF90" i="19"/>
  <c r="AU90" i="19"/>
  <c r="BE90" i="19"/>
  <c r="AW90" i="19"/>
  <c r="BC90" i="19"/>
  <c r="AE21" i="19"/>
  <c r="AF21" i="19"/>
  <c r="AN21" i="19"/>
  <c r="AG21" i="19"/>
  <c r="AM21" i="19"/>
  <c r="AW21" i="19"/>
  <c r="BE21" i="19"/>
  <c r="AP21" i="19"/>
  <c r="AU21" i="19"/>
  <c r="BC21" i="19"/>
  <c r="AV21" i="19"/>
  <c r="AH21" i="19"/>
  <c r="AO21" i="19"/>
  <c r="BD21" i="19"/>
  <c r="AX21" i="19"/>
  <c r="BF21" i="19"/>
  <c r="Y22" i="19"/>
  <c r="Q23" i="19"/>
  <c r="I88" i="19"/>
  <c r="I66" i="19"/>
  <c r="Q95" i="19"/>
  <c r="P92" i="19"/>
  <c r="X91" i="19"/>
  <c r="Y91" i="19" s="1"/>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E91" i="19" l="1"/>
  <c r="AG91" i="19"/>
  <c r="AH91" i="19"/>
  <c r="AU91" i="19"/>
  <c r="BC91" i="19"/>
  <c r="AN91" i="19"/>
  <c r="AO91" i="19"/>
  <c r="AW91" i="19"/>
  <c r="BE91" i="19"/>
  <c r="AF91" i="19"/>
  <c r="AM91" i="19"/>
  <c r="AP91" i="19"/>
  <c r="AX91" i="19"/>
  <c r="BF91" i="19"/>
  <c r="AV91" i="19"/>
  <c r="BD91" i="19"/>
  <c r="P109" i="19"/>
  <c r="X108" i="19"/>
  <c r="I105" i="19"/>
  <c r="Q108" i="19"/>
  <c r="Y107" i="19"/>
  <c r="Q24" i="19"/>
  <c r="Y23" i="19"/>
  <c r="I41" i="19"/>
  <c r="J39" i="19"/>
  <c r="P93" i="19"/>
  <c r="X92" i="19"/>
  <c r="Y92" i="19" s="1"/>
  <c r="I67" i="19"/>
  <c r="AE22" i="19"/>
  <c r="AM22" i="19"/>
  <c r="AF22" i="19"/>
  <c r="AG22" i="19"/>
  <c r="AH22" i="19"/>
  <c r="AO22" i="19"/>
  <c r="AP22" i="19"/>
  <c r="AN22" i="19"/>
  <c r="AX22" i="19"/>
  <c r="AU22" i="19"/>
  <c r="BD22" i="19"/>
  <c r="BC22" i="19"/>
  <c r="BF22" i="19"/>
  <c r="BE22" i="19"/>
  <c r="AV22" i="19"/>
  <c r="AW22" i="19"/>
  <c r="AE106" i="19"/>
  <c r="AM106" i="19"/>
  <c r="AF106" i="19"/>
  <c r="AV106" i="19"/>
  <c r="BD106" i="19"/>
  <c r="AO106" i="19"/>
  <c r="AG106" i="19"/>
  <c r="AP106" i="19"/>
  <c r="AX106" i="19"/>
  <c r="BF106" i="19"/>
  <c r="AU106" i="19"/>
  <c r="AH106" i="19"/>
  <c r="AN106" i="19"/>
  <c r="BC106" i="19"/>
  <c r="AW106" i="19"/>
  <c r="BE106" i="19"/>
  <c r="AE70" i="19"/>
  <c r="AM70" i="19"/>
  <c r="AF70" i="19"/>
  <c r="AG70" i="19"/>
  <c r="AN70" i="19"/>
  <c r="AV70" i="19"/>
  <c r="BD70" i="19"/>
  <c r="AH70" i="19"/>
  <c r="AO70" i="19"/>
  <c r="AP70" i="19"/>
  <c r="AX70" i="19"/>
  <c r="BF70" i="19"/>
  <c r="AU70" i="19"/>
  <c r="BC70" i="19"/>
  <c r="BE70" i="19"/>
  <c r="AW70" i="19"/>
  <c r="Q56" i="19"/>
  <c r="Y55" i="19"/>
  <c r="I52" i="19"/>
  <c r="I89" i="19"/>
  <c r="I21" i="19"/>
  <c r="Q40" i="19"/>
  <c r="Y39" i="19"/>
  <c r="Q96" i="19"/>
  <c r="Y96" i="19" s="1"/>
  <c r="Q72" i="19"/>
  <c r="Y71" i="19"/>
  <c r="AE38" i="19"/>
  <c r="AM38" i="19"/>
  <c r="AF38" i="19"/>
  <c r="AN38" i="19"/>
  <c r="AV38" i="19"/>
  <c r="BD38" i="19"/>
  <c r="AH38" i="19"/>
  <c r="AO38" i="19"/>
  <c r="AP38" i="19"/>
  <c r="AX38" i="19"/>
  <c r="BF38" i="19"/>
  <c r="AU38" i="19"/>
  <c r="AG38" i="19"/>
  <c r="BC38" i="19"/>
  <c r="AW38" i="19"/>
  <c r="BE38" i="19"/>
  <c r="AE54" i="19"/>
  <c r="AM54" i="19"/>
  <c r="AF54" i="19"/>
  <c r="AV54" i="19"/>
  <c r="BD54" i="19"/>
  <c r="AG54" i="19"/>
  <c r="AH54" i="19"/>
  <c r="AO54" i="19"/>
  <c r="AN54" i="19"/>
  <c r="AP54" i="19"/>
  <c r="AX54" i="19"/>
  <c r="BF54" i="19"/>
  <c r="AU54" i="19"/>
  <c r="BE54" i="19"/>
  <c r="BC54" i="19"/>
  <c r="AW54"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F4" i="17" a="1"/>
  <c r="M92" i="3" a="1"/>
  <c r="L360" i="3" a="1"/>
  <c r="M65" i="3" a="1"/>
  <c r="M67" i="3" a="1"/>
  <c r="M85" i="3" a="1"/>
  <c r="M372" i="3" a="1"/>
  <c r="L63" i="3" a="1"/>
  <c r="M366" i="3" a="1"/>
  <c r="M378" i="3" a="1"/>
  <c r="L92" i="3" a="1"/>
  <c r="M63" i="3" a="1"/>
  <c r="L67" i="3" a="1"/>
  <c r="M322" i="3" a="1"/>
  <c r="M381" i="3" a="1"/>
  <c r="L85" i="3" a="1"/>
  <c r="M357" i="3" a="1"/>
  <c r="L65" i="3" a="1"/>
  <c r="L355" i="3" a="1"/>
  <c r="AG71" i="19" l="1"/>
  <c r="AE71" i="19"/>
  <c r="AH71" i="19"/>
  <c r="AU71" i="19"/>
  <c r="BC71" i="19"/>
  <c r="AN71" i="19"/>
  <c r="AO71" i="19"/>
  <c r="AW71" i="19"/>
  <c r="BE71" i="19"/>
  <c r="AF71" i="19"/>
  <c r="AM71" i="19"/>
  <c r="AP71" i="19"/>
  <c r="AV71" i="19"/>
  <c r="AX71" i="19"/>
  <c r="BF71" i="19"/>
  <c r="BD71" i="19"/>
  <c r="AG39" i="19"/>
  <c r="AE39" i="19"/>
  <c r="AH39" i="19"/>
  <c r="AU39" i="19"/>
  <c r="BC39" i="19"/>
  <c r="AN39" i="19"/>
  <c r="AM39" i="19"/>
  <c r="AO39" i="19"/>
  <c r="AW39" i="19"/>
  <c r="BE39" i="19"/>
  <c r="AX39" i="19"/>
  <c r="AF39" i="19"/>
  <c r="AP39" i="19"/>
  <c r="AV39" i="19"/>
  <c r="BF39" i="19"/>
  <c r="BD39" i="19"/>
  <c r="AG55" i="19"/>
  <c r="AE55" i="19"/>
  <c r="AH55" i="19"/>
  <c r="AF55" i="19"/>
  <c r="AU55" i="19"/>
  <c r="BC55" i="19"/>
  <c r="AO55" i="19"/>
  <c r="AW55" i="19"/>
  <c r="BE55" i="19"/>
  <c r="AX55" i="19"/>
  <c r="AM55" i="19"/>
  <c r="AN55" i="19"/>
  <c r="AP55" i="19"/>
  <c r="BD55" i="19"/>
  <c r="AV55" i="19"/>
  <c r="BF55" i="19"/>
  <c r="AF92" i="19"/>
  <c r="AE92" i="19"/>
  <c r="AG92" i="19"/>
  <c r="AM92" i="19"/>
  <c r="AP92" i="19"/>
  <c r="AX92" i="19"/>
  <c r="BF92" i="19"/>
  <c r="AV92" i="19"/>
  <c r="BD92" i="19"/>
  <c r="AW92" i="19"/>
  <c r="AH92" i="19"/>
  <c r="AN92" i="19"/>
  <c r="AO92" i="19"/>
  <c r="AU92" i="19"/>
  <c r="BE92" i="19"/>
  <c r="BC92" i="19"/>
  <c r="AF23" i="19"/>
  <c r="AG23" i="19"/>
  <c r="AE23" i="19"/>
  <c r="AH23" i="19"/>
  <c r="AN23" i="19"/>
  <c r="AM23" i="19"/>
  <c r="AO23" i="19"/>
  <c r="AP23" i="19"/>
  <c r="BE23" i="19"/>
  <c r="AU23" i="19"/>
  <c r="AX23" i="19"/>
  <c r="BD23" i="19"/>
  <c r="AW23" i="19"/>
  <c r="BF23" i="19"/>
  <c r="AV23" i="19"/>
  <c r="BC23" i="19"/>
  <c r="Q73" i="19"/>
  <c r="Y72" i="19"/>
  <c r="Q41" i="19"/>
  <c r="Y40" i="19"/>
  <c r="I90" i="19"/>
  <c r="Q57" i="19"/>
  <c r="Y56" i="19"/>
  <c r="P94" i="19"/>
  <c r="X93" i="19"/>
  <c r="Y93" i="19" s="1"/>
  <c r="Q25" i="19"/>
  <c r="Y24" i="19"/>
  <c r="I106" i="19"/>
  <c r="H39" i="19"/>
  <c r="J38" i="19"/>
  <c r="AE107" i="19"/>
  <c r="AG107" i="19"/>
  <c r="AH107" i="19"/>
  <c r="AM107" i="19"/>
  <c r="AN107" i="19"/>
  <c r="AU107" i="19"/>
  <c r="BC107" i="19"/>
  <c r="AF107" i="19"/>
  <c r="AO107" i="19"/>
  <c r="AW107" i="19"/>
  <c r="BE107" i="19"/>
  <c r="AP107" i="19"/>
  <c r="AX107" i="19"/>
  <c r="BD107" i="19"/>
  <c r="AV107" i="19"/>
  <c r="BF107" i="19"/>
  <c r="I53" i="19"/>
  <c r="AE96" i="19"/>
  <c r="AF96" i="19"/>
  <c r="AG96" i="19"/>
  <c r="AP96" i="19"/>
  <c r="AX96" i="19"/>
  <c r="BF96" i="19"/>
  <c r="AH96" i="19"/>
  <c r="AN96" i="19"/>
  <c r="AV96" i="19"/>
  <c r="BD96" i="19"/>
  <c r="AW96" i="19"/>
  <c r="AM96" i="19"/>
  <c r="AO96" i="19"/>
  <c r="BE96" i="19"/>
  <c r="AU96" i="19"/>
  <c r="BC96" i="19"/>
  <c r="I22" i="19"/>
  <c r="I68" i="19"/>
  <c r="I42" i="19"/>
  <c r="Q109" i="19"/>
  <c r="Y108" i="19"/>
  <c r="P110" i="19"/>
  <c r="X109"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I43" i="19" l="1"/>
  <c r="I107" i="19"/>
  <c r="P95" i="19"/>
  <c r="X95" i="19" s="1"/>
  <c r="Y95" i="19" s="1"/>
  <c r="X94" i="19"/>
  <c r="Y94" i="19" s="1"/>
  <c r="Q74" i="19"/>
  <c r="Y73" i="19"/>
  <c r="H38" i="19"/>
  <c r="J37" i="19"/>
  <c r="AF24" i="19"/>
  <c r="AG24" i="19"/>
  <c r="AO24" i="19"/>
  <c r="AE24" i="19"/>
  <c r="AP24" i="19"/>
  <c r="AX24" i="19"/>
  <c r="BF24" i="19"/>
  <c r="AH24" i="19"/>
  <c r="AN24" i="19"/>
  <c r="AM24" i="19"/>
  <c r="AV24" i="19"/>
  <c r="BD24" i="19"/>
  <c r="AW24" i="19"/>
  <c r="AU24" i="19"/>
  <c r="BE24" i="19"/>
  <c r="BC24" i="19"/>
  <c r="AF56" i="19"/>
  <c r="AG56" i="19"/>
  <c r="AE56" i="19"/>
  <c r="AM56" i="19"/>
  <c r="AN56" i="19"/>
  <c r="AP56" i="19"/>
  <c r="AX56" i="19"/>
  <c r="BF56" i="19"/>
  <c r="AH56" i="19"/>
  <c r="AV56" i="19"/>
  <c r="BD56" i="19"/>
  <c r="AW56" i="19"/>
  <c r="AO56" i="19"/>
  <c r="AU56" i="19"/>
  <c r="BE56" i="19"/>
  <c r="BC56" i="19"/>
  <c r="AF40" i="19"/>
  <c r="AG40" i="19"/>
  <c r="AO40" i="19"/>
  <c r="AE40" i="19"/>
  <c r="AP40" i="19"/>
  <c r="AX40" i="19"/>
  <c r="BF40" i="19"/>
  <c r="AH40" i="19"/>
  <c r="AN40" i="19"/>
  <c r="AV40" i="19"/>
  <c r="BD40" i="19"/>
  <c r="AW40" i="19"/>
  <c r="AM40" i="19"/>
  <c r="BE40" i="19"/>
  <c r="AU40" i="19"/>
  <c r="BC40" i="19"/>
  <c r="P111" i="19"/>
  <c r="X110" i="19"/>
  <c r="I23" i="19"/>
  <c r="Q26" i="19"/>
  <c r="Y25" i="19"/>
  <c r="Q58" i="19"/>
  <c r="Y57" i="19"/>
  <c r="Q42" i="19"/>
  <c r="Y41" i="19"/>
  <c r="AF108" i="19"/>
  <c r="AE108" i="19"/>
  <c r="AG108" i="19"/>
  <c r="AH108" i="19"/>
  <c r="AP108" i="19"/>
  <c r="AX108" i="19"/>
  <c r="BF108" i="19"/>
  <c r="AM108" i="19"/>
  <c r="AN108" i="19"/>
  <c r="AV108" i="19"/>
  <c r="BD108" i="19"/>
  <c r="AW108" i="19"/>
  <c r="AO108" i="19"/>
  <c r="BE108" i="19"/>
  <c r="BC108" i="19"/>
  <c r="AU108" i="19"/>
  <c r="I69" i="19"/>
  <c r="AE93" i="19"/>
  <c r="AF93" i="19"/>
  <c r="AN93" i="19"/>
  <c r="AH93" i="19"/>
  <c r="AO93" i="19"/>
  <c r="AW93" i="19"/>
  <c r="BE93" i="19"/>
  <c r="AG93" i="19"/>
  <c r="AM93" i="19"/>
  <c r="AP93" i="19"/>
  <c r="AU93" i="19"/>
  <c r="BC93" i="19"/>
  <c r="AV93" i="19"/>
  <c r="BD93" i="19"/>
  <c r="BF93" i="19"/>
  <c r="AX93" i="19"/>
  <c r="AF72" i="19"/>
  <c r="AG72" i="19"/>
  <c r="AE72" i="19"/>
  <c r="AM72" i="19"/>
  <c r="AP72" i="19"/>
  <c r="AX72" i="19"/>
  <c r="BF72" i="19"/>
  <c r="AH72" i="19"/>
  <c r="AN72" i="19"/>
  <c r="AV72" i="19"/>
  <c r="BD72" i="19"/>
  <c r="AW72" i="19"/>
  <c r="AO72" i="19"/>
  <c r="BE72" i="19"/>
  <c r="BC72" i="19"/>
  <c r="AU72" i="19"/>
  <c r="Q110" i="19"/>
  <c r="Y109" i="19"/>
  <c r="I54" i="19"/>
  <c r="I91"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J90" i="19" l="1"/>
  <c r="I92" i="19"/>
  <c r="AE109" i="19"/>
  <c r="AF109" i="19"/>
  <c r="AN109" i="19"/>
  <c r="AO109" i="19"/>
  <c r="AW109" i="19"/>
  <c r="BE109" i="19"/>
  <c r="AH109" i="19"/>
  <c r="AP109" i="19"/>
  <c r="AM109" i="19"/>
  <c r="AU109" i="19"/>
  <c r="BC109" i="19"/>
  <c r="AV109" i="19"/>
  <c r="AG109" i="19"/>
  <c r="AX109" i="19"/>
  <c r="BF109" i="19"/>
  <c r="BD109" i="19"/>
  <c r="AE41" i="19"/>
  <c r="AF41" i="19"/>
  <c r="AN41" i="19"/>
  <c r="AG41" i="19"/>
  <c r="AM41" i="19"/>
  <c r="AW41" i="19"/>
  <c r="BE41" i="19"/>
  <c r="AP41" i="19"/>
  <c r="AU41" i="19"/>
  <c r="BC41" i="19"/>
  <c r="AV41" i="19"/>
  <c r="AH41" i="19"/>
  <c r="AO41" i="19"/>
  <c r="BD41" i="19"/>
  <c r="AX41" i="19"/>
  <c r="BF41" i="19"/>
  <c r="AE25" i="19"/>
  <c r="AF25" i="19"/>
  <c r="AN25" i="19"/>
  <c r="AG25" i="19"/>
  <c r="AW25" i="19"/>
  <c r="BE25" i="19"/>
  <c r="AP25" i="19"/>
  <c r="AH25" i="19"/>
  <c r="AO25" i="19"/>
  <c r="AU25" i="19"/>
  <c r="BC25" i="19"/>
  <c r="AV25" i="19"/>
  <c r="AM25" i="19"/>
  <c r="BF25" i="19"/>
  <c r="AX25" i="19"/>
  <c r="BD25" i="19"/>
  <c r="AE73" i="19"/>
  <c r="AF73" i="19"/>
  <c r="AN73" i="19"/>
  <c r="AG73" i="19"/>
  <c r="AO73" i="19"/>
  <c r="AW73" i="19"/>
  <c r="BE73" i="19"/>
  <c r="AM73" i="19"/>
  <c r="AP73" i="19"/>
  <c r="AU73" i="19"/>
  <c r="BC73" i="19"/>
  <c r="AV73" i="19"/>
  <c r="AH73" i="19"/>
  <c r="AX73" i="19"/>
  <c r="BF73" i="19"/>
  <c r="BD73" i="19"/>
  <c r="Q43" i="19"/>
  <c r="Y42" i="19"/>
  <c r="X111" i="19"/>
  <c r="P112" i="19"/>
  <c r="Y74" i="19"/>
  <c r="Q75" i="19"/>
  <c r="I108" i="19"/>
  <c r="Q111" i="19"/>
  <c r="Y110" i="19"/>
  <c r="Q27" i="19"/>
  <c r="Y26" i="19"/>
  <c r="AE57" i="19"/>
  <c r="AF57" i="19"/>
  <c r="AN57" i="19"/>
  <c r="AG57" i="19"/>
  <c r="AO57" i="19"/>
  <c r="AW57" i="19"/>
  <c r="BE57" i="19"/>
  <c r="AM57" i="19"/>
  <c r="AP57" i="19"/>
  <c r="AU57" i="19"/>
  <c r="BC57" i="19"/>
  <c r="AV57" i="19"/>
  <c r="AH57" i="19"/>
  <c r="BF57" i="19"/>
  <c r="BD57" i="19"/>
  <c r="AX57" i="19"/>
  <c r="I24" i="19"/>
  <c r="H37" i="19"/>
  <c r="J36" i="19"/>
  <c r="AM94" i="19"/>
  <c r="AE94" i="19"/>
  <c r="AF94" i="19"/>
  <c r="AN94" i="19"/>
  <c r="AV94" i="19"/>
  <c r="BD94" i="19"/>
  <c r="AH94" i="19"/>
  <c r="AO94" i="19"/>
  <c r="AG94" i="19"/>
  <c r="AP94" i="19"/>
  <c r="AX94" i="19"/>
  <c r="BF94" i="19"/>
  <c r="AU94" i="19"/>
  <c r="BC94" i="19"/>
  <c r="BE94" i="19"/>
  <c r="AW94" i="19"/>
  <c r="I44" i="19"/>
  <c r="J43" i="19" s="1"/>
  <c r="H43" i="19" s="1"/>
  <c r="I55" i="19"/>
  <c r="I70" i="19"/>
  <c r="Y58" i="19"/>
  <c r="Q59" i="19"/>
  <c r="Y59" i="19" s="1"/>
  <c r="AE95" i="19"/>
  <c r="AG95" i="19"/>
  <c r="AH95" i="19"/>
  <c r="AF95" i="19"/>
  <c r="AU95" i="19"/>
  <c r="BC95" i="19"/>
  <c r="AN95" i="19"/>
  <c r="AM95" i="19"/>
  <c r="AO95" i="19"/>
  <c r="AW95" i="19"/>
  <c r="BE95" i="19"/>
  <c r="AP95" i="19"/>
  <c r="AV95" i="19"/>
  <c r="AX95" i="19"/>
  <c r="BF95" i="19"/>
  <c r="BD95"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J54" i="19" l="1"/>
  <c r="I56" i="19"/>
  <c r="I25" i="19"/>
  <c r="AM110" i="19"/>
  <c r="AE110" i="19"/>
  <c r="AF110" i="19"/>
  <c r="AG110" i="19"/>
  <c r="AV110" i="19"/>
  <c r="BD110" i="19"/>
  <c r="AO110" i="19"/>
  <c r="AH110" i="19"/>
  <c r="AN110" i="19"/>
  <c r="AP110" i="19"/>
  <c r="AX110" i="19"/>
  <c r="BF110" i="19"/>
  <c r="AU110" i="19"/>
  <c r="BE110" i="19"/>
  <c r="AW110" i="19"/>
  <c r="BC110" i="19"/>
  <c r="Q76" i="19"/>
  <c r="Y75" i="19"/>
  <c r="AE42" i="19"/>
  <c r="AF42" i="19"/>
  <c r="AM42" i="19"/>
  <c r="AG42" i="19"/>
  <c r="AH42" i="19"/>
  <c r="AO42" i="19"/>
  <c r="AV42" i="19"/>
  <c r="BD42" i="19"/>
  <c r="AP42" i="19"/>
  <c r="AX42" i="19"/>
  <c r="BF42" i="19"/>
  <c r="AU42" i="19"/>
  <c r="AN42" i="19"/>
  <c r="BE42" i="19"/>
  <c r="AW42" i="19"/>
  <c r="BC42" i="19"/>
  <c r="AE58" i="19"/>
  <c r="AM58" i="19"/>
  <c r="AF58" i="19"/>
  <c r="AH58" i="19"/>
  <c r="AV58" i="19"/>
  <c r="BD58" i="19"/>
  <c r="AN58" i="19"/>
  <c r="AO58" i="19"/>
  <c r="AG58" i="19"/>
  <c r="AP58" i="19"/>
  <c r="AX58" i="19"/>
  <c r="BF58" i="19"/>
  <c r="AU58" i="19"/>
  <c r="AW58" i="19"/>
  <c r="BC58" i="19"/>
  <c r="BE58" i="19"/>
  <c r="H90" i="19"/>
  <c r="J89" i="19"/>
  <c r="I71" i="19"/>
  <c r="J69" i="19"/>
  <c r="J42" i="19"/>
  <c r="Q112" i="19"/>
  <c r="Y111" i="19"/>
  <c r="AE74" i="19"/>
  <c r="AM74" i="19"/>
  <c r="AF74" i="19"/>
  <c r="AH74" i="19"/>
  <c r="AV74" i="19"/>
  <c r="BD74" i="19"/>
  <c r="AG74" i="19"/>
  <c r="AO74" i="19"/>
  <c r="AP74" i="19"/>
  <c r="AX74" i="19"/>
  <c r="BF74" i="19"/>
  <c r="AU74" i="19"/>
  <c r="AN74" i="19"/>
  <c r="AW74" i="19"/>
  <c r="BE74" i="19"/>
  <c r="BC74" i="19"/>
  <c r="Q44" i="19"/>
  <c r="Y44" i="19" s="1"/>
  <c r="Y43" i="19"/>
  <c r="Q28" i="19"/>
  <c r="Y27" i="19"/>
  <c r="AE59" i="19"/>
  <c r="AG59" i="19"/>
  <c r="AH59" i="19"/>
  <c r="AU59" i="19"/>
  <c r="BC59" i="19"/>
  <c r="AF59" i="19"/>
  <c r="AM59" i="19"/>
  <c r="AN59" i="19"/>
  <c r="AO59" i="19"/>
  <c r="AW59" i="19"/>
  <c r="BE59" i="19"/>
  <c r="AP59" i="19"/>
  <c r="AX59" i="19"/>
  <c r="BF59" i="19"/>
  <c r="AV59" i="19"/>
  <c r="BD59" i="19"/>
  <c r="H36" i="19"/>
  <c r="J35" i="19"/>
  <c r="AE26" i="19"/>
  <c r="AF26" i="19"/>
  <c r="AM26" i="19"/>
  <c r="AG26" i="19"/>
  <c r="AN26" i="19"/>
  <c r="AP26" i="19"/>
  <c r="AH26" i="19"/>
  <c r="AO26" i="19"/>
  <c r="AX26" i="19"/>
  <c r="AW26" i="19"/>
  <c r="BE26" i="19"/>
  <c r="BD26" i="19"/>
  <c r="BF26" i="19"/>
  <c r="BC26" i="19"/>
  <c r="AU26" i="19"/>
  <c r="AV26" i="19"/>
  <c r="I109" i="19"/>
  <c r="P113" i="19"/>
  <c r="X113" i="19" s="1"/>
  <c r="X112" i="19"/>
  <c r="I93"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AE27" i="19" l="1"/>
  <c r="AG27" i="19"/>
  <c r="AH27" i="19"/>
  <c r="AF27" i="19"/>
  <c r="AM27" i="19"/>
  <c r="AO27" i="19"/>
  <c r="AN27" i="19"/>
  <c r="AP27" i="19"/>
  <c r="BE27" i="19"/>
  <c r="AU27" i="19"/>
  <c r="AX27" i="19"/>
  <c r="AW27" i="19"/>
  <c r="BF27" i="19"/>
  <c r="BC27" i="19"/>
  <c r="AV27" i="19"/>
  <c r="BD27" i="19"/>
  <c r="I94" i="19"/>
  <c r="Q113" i="19"/>
  <c r="Y112" i="19"/>
  <c r="H89" i="19"/>
  <c r="J88" i="19"/>
  <c r="I26" i="19"/>
  <c r="J24" i="19"/>
  <c r="I72" i="19"/>
  <c r="Q77" i="19"/>
  <c r="Y76" i="19"/>
  <c r="H54" i="19"/>
  <c r="J53" i="19"/>
  <c r="I110" i="19"/>
  <c r="J108" i="19"/>
  <c r="Q29" i="19"/>
  <c r="Y29" i="19" s="1"/>
  <c r="Y28" i="19"/>
  <c r="H35" i="19"/>
  <c r="J34" i="19"/>
  <c r="AE43" i="19"/>
  <c r="AG43" i="19"/>
  <c r="AH43" i="19"/>
  <c r="AF43" i="19"/>
  <c r="AU43" i="19"/>
  <c r="AW43" i="19"/>
  <c r="AX43" i="19"/>
  <c r="AV43" i="19"/>
  <c r="AN43" i="19"/>
  <c r="AM43" i="19"/>
  <c r="BE43" i="19"/>
  <c r="BF43" i="19"/>
  <c r="AO43" i="19"/>
  <c r="BC43" i="19"/>
  <c r="AP43" i="19"/>
  <c r="BD43" i="19"/>
  <c r="H42" i="19"/>
  <c r="J41" i="19"/>
  <c r="AE111" i="19"/>
  <c r="AG111" i="19"/>
  <c r="AH111" i="19"/>
  <c r="AU111" i="19"/>
  <c r="BC111" i="19"/>
  <c r="AO111" i="19"/>
  <c r="AW111" i="19"/>
  <c r="BE111" i="19"/>
  <c r="AF111" i="19"/>
  <c r="AM111" i="19"/>
  <c r="AN111" i="19"/>
  <c r="AP111" i="19"/>
  <c r="AX111" i="19"/>
  <c r="BF111" i="19"/>
  <c r="BD111" i="19"/>
  <c r="AV111" i="19"/>
  <c r="AF44" i="19"/>
  <c r="AE44" i="19"/>
  <c r="AG44" i="19"/>
  <c r="AX44" i="19"/>
  <c r="AH44" i="19"/>
  <c r="AV44" i="19"/>
  <c r="AW44" i="19"/>
  <c r="AU44" i="19"/>
  <c r="AP44" i="19"/>
  <c r="BE44" i="19"/>
  <c r="AM44" i="19"/>
  <c r="BC44" i="19"/>
  <c r="BF44" i="19"/>
  <c r="AO44" i="19"/>
  <c r="AN44" i="19"/>
  <c r="BD44" i="19"/>
  <c r="H69" i="19"/>
  <c r="J68" i="19"/>
  <c r="AE75" i="19"/>
  <c r="AG75" i="19"/>
  <c r="AH75" i="19"/>
  <c r="AF75" i="19"/>
  <c r="AN75" i="19"/>
  <c r="AU75" i="19"/>
  <c r="BC75" i="19"/>
  <c r="AM75" i="19"/>
  <c r="AO75" i="19"/>
  <c r="AW75" i="19"/>
  <c r="BE75" i="19"/>
  <c r="AP75" i="19"/>
  <c r="BD75" i="19"/>
  <c r="AV75" i="19"/>
  <c r="BF75" i="19"/>
  <c r="AX75" i="19"/>
  <c r="I57"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H68" i="19" l="1"/>
  <c r="J67" i="19"/>
  <c r="H34" i="19"/>
  <c r="J33" i="19"/>
  <c r="H108" i="19"/>
  <c r="J107" i="19"/>
  <c r="AF76" i="19"/>
  <c r="AE76" i="19"/>
  <c r="AG76" i="19"/>
  <c r="AP76" i="19"/>
  <c r="AX76" i="19"/>
  <c r="BF76" i="19"/>
  <c r="AH76" i="19"/>
  <c r="AN76" i="19"/>
  <c r="AV76" i="19"/>
  <c r="BD76" i="19"/>
  <c r="AW76" i="19"/>
  <c r="AM76" i="19"/>
  <c r="AO76" i="19"/>
  <c r="BE76" i="19"/>
  <c r="AU76" i="19"/>
  <c r="BC76" i="19"/>
  <c r="H24" i="19"/>
  <c r="J23" i="19"/>
  <c r="AE112" i="19"/>
  <c r="AF112" i="19"/>
  <c r="AG112" i="19"/>
  <c r="AM112" i="19"/>
  <c r="AN112" i="19"/>
  <c r="AP112" i="19"/>
  <c r="AX112" i="19"/>
  <c r="BF112" i="19"/>
  <c r="AV112" i="19"/>
  <c r="BD112" i="19"/>
  <c r="AW112" i="19"/>
  <c r="AH112" i="19"/>
  <c r="AO112" i="19"/>
  <c r="AU112" i="19"/>
  <c r="BE112" i="19"/>
  <c r="BC112" i="19"/>
  <c r="I58" i="19"/>
  <c r="I111" i="19"/>
  <c r="Q78" i="19"/>
  <c r="Y78" i="19" s="1"/>
  <c r="Y77" i="19"/>
  <c r="I27" i="19"/>
  <c r="Q114" i="19"/>
  <c r="Y114" i="19" s="1"/>
  <c r="Y113" i="19"/>
  <c r="H41" i="19"/>
  <c r="J40" i="19"/>
  <c r="H40" i="19" s="1"/>
  <c r="AF28" i="19"/>
  <c r="AE28" i="19"/>
  <c r="AG28" i="19"/>
  <c r="AO28" i="19"/>
  <c r="AH28" i="19"/>
  <c r="AN28" i="19"/>
  <c r="AP28" i="19"/>
  <c r="AX28" i="19"/>
  <c r="BF28" i="19"/>
  <c r="AM28" i="19"/>
  <c r="AV28" i="19"/>
  <c r="BD28" i="19"/>
  <c r="AW28" i="19"/>
  <c r="BE28" i="19"/>
  <c r="BC28" i="19"/>
  <c r="AU28" i="19"/>
  <c r="H53" i="19"/>
  <c r="J52" i="19"/>
  <c r="I73" i="19"/>
  <c r="H88" i="19"/>
  <c r="J87" i="19"/>
  <c r="AE29" i="19"/>
  <c r="AN29" i="19"/>
  <c r="AG29" i="19"/>
  <c r="AW29" i="19"/>
  <c r="BE29" i="19"/>
  <c r="AH29" i="19"/>
  <c r="AO29" i="19"/>
  <c r="AP29" i="19"/>
  <c r="AF29" i="19"/>
  <c r="AM29" i="19"/>
  <c r="AU29" i="19"/>
  <c r="BC29" i="19"/>
  <c r="AV29" i="19"/>
  <c r="BD29" i="19"/>
  <c r="AX29" i="19"/>
  <c r="BF29" i="19"/>
  <c r="I95"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I28" i="19" l="1"/>
  <c r="H23" i="19"/>
  <c r="J22" i="19"/>
  <c r="H33" i="19"/>
  <c r="J32" i="19"/>
  <c r="I96" i="19"/>
  <c r="I74" i="19"/>
  <c r="I112" i="19"/>
  <c r="H52" i="19"/>
  <c r="J51" i="19"/>
  <c r="AE113" i="19"/>
  <c r="AF113" i="19"/>
  <c r="AN113" i="19"/>
  <c r="AH113" i="19"/>
  <c r="AO113" i="19"/>
  <c r="AW113" i="19"/>
  <c r="BE113" i="19"/>
  <c r="AG113" i="19"/>
  <c r="AM113" i="19"/>
  <c r="AP113" i="19"/>
  <c r="AU113" i="19"/>
  <c r="BC113" i="19"/>
  <c r="AV113" i="19"/>
  <c r="BD113" i="19"/>
  <c r="AX113" i="19"/>
  <c r="BF113" i="19"/>
  <c r="AE77" i="19"/>
  <c r="AF77" i="19"/>
  <c r="AN77" i="19"/>
  <c r="AG77" i="19"/>
  <c r="AM77" i="19"/>
  <c r="AO77" i="19"/>
  <c r="AW77" i="19"/>
  <c r="BE77" i="19"/>
  <c r="AP77" i="19"/>
  <c r="AH77" i="19"/>
  <c r="AU77" i="19"/>
  <c r="BC77" i="19"/>
  <c r="AV77" i="19"/>
  <c r="AX77" i="19"/>
  <c r="BF77" i="19"/>
  <c r="BD77" i="19"/>
  <c r="H107" i="19"/>
  <c r="J106" i="19"/>
  <c r="H67" i="19"/>
  <c r="J66" i="19"/>
  <c r="H87" i="19"/>
  <c r="J86" i="19"/>
  <c r="AE114" i="19"/>
  <c r="AM114" i="19"/>
  <c r="AF114" i="19"/>
  <c r="AV114" i="19"/>
  <c r="BD114" i="19"/>
  <c r="AH114" i="19"/>
  <c r="AN114" i="19"/>
  <c r="AO114" i="19"/>
  <c r="AG114" i="19"/>
  <c r="AP114" i="19"/>
  <c r="AX114" i="19"/>
  <c r="BF114" i="19"/>
  <c r="AU114" i="19"/>
  <c r="BC114" i="19"/>
  <c r="BE114" i="19"/>
  <c r="AW114" i="19"/>
  <c r="AM78" i="19"/>
  <c r="AE78" i="19"/>
  <c r="AF78" i="19"/>
  <c r="AV78" i="19"/>
  <c r="BD78" i="19"/>
  <c r="AO78" i="19"/>
  <c r="AG78" i="19"/>
  <c r="AN78" i="19"/>
  <c r="AP78" i="19"/>
  <c r="AX78" i="19"/>
  <c r="BF78" i="19"/>
  <c r="AU78" i="19"/>
  <c r="AH78" i="19"/>
  <c r="BC78" i="19"/>
  <c r="AW78" i="19"/>
  <c r="BE78" i="19"/>
  <c r="I59" i="19"/>
  <c r="J58" i="19" s="1"/>
  <c r="H58" i="19" s="1"/>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H86" i="19" l="1"/>
  <c r="J85" i="19"/>
  <c r="H106" i="19"/>
  <c r="J105" i="19"/>
  <c r="I113" i="19"/>
  <c r="I97" i="19"/>
  <c r="H22" i="19"/>
  <c r="J21" i="19"/>
  <c r="H66" i="19"/>
  <c r="J65" i="19"/>
  <c r="H51" i="19"/>
  <c r="J50" i="19"/>
  <c r="H32" i="19"/>
  <c r="J31" i="19"/>
  <c r="I29" i="19"/>
  <c r="J28" i="19" s="1"/>
  <c r="H28" i="19" s="1"/>
  <c r="J27" i="19"/>
  <c r="J57" i="19"/>
  <c r="I75" i="19"/>
  <c r="J73" i="19"/>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I76" i="19" l="1"/>
  <c r="H31" i="19"/>
  <c r="G31" i="19"/>
  <c r="G32" i="19" s="1"/>
  <c r="G33" i="19" s="1"/>
  <c r="G34" i="19" s="1"/>
  <c r="G35" i="19" s="1"/>
  <c r="G36" i="19" s="1"/>
  <c r="G37" i="19" s="1"/>
  <c r="G38" i="19" s="1"/>
  <c r="G39" i="19" s="1"/>
  <c r="G40" i="19" s="1"/>
  <c r="G41" i="19" s="1"/>
  <c r="G42" i="19" s="1"/>
  <c r="G43" i="19" s="1"/>
  <c r="G44" i="19" s="1"/>
  <c r="J30" i="19"/>
  <c r="H65" i="19"/>
  <c r="J64" i="19"/>
  <c r="H105" i="19"/>
  <c r="J104" i="19"/>
  <c r="I98" i="19"/>
  <c r="J97" i="19" s="1"/>
  <c r="H97" i="19" s="1"/>
  <c r="J96" i="19"/>
  <c r="H50" i="19"/>
  <c r="J49" i="19"/>
  <c r="H85" i="19"/>
  <c r="J84" i="19"/>
  <c r="H57" i="19"/>
  <c r="J56" i="19"/>
  <c r="H27" i="19"/>
  <c r="J26" i="19"/>
  <c r="H21" i="19"/>
  <c r="J20" i="19"/>
  <c r="H73" i="19"/>
  <c r="J72" i="19"/>
  <c r="I114"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H84" i="19" l="1"/>
  <c r="J83" i="19"/>
  <c r="H96" i="19"/>
  <c r="J95" i="19"/>
  <c r="H64" i="19"/>
  <c r="J63" i="19"/>
  <c r="I115" i="19"/>
  <c r="H72" i="19"/>
  <c r="J71" i="19"/>
  <c r="I77" i="19"/>
  <c r="H26" i="19"/>
  <c r="J25" i="19"/>
  <c r="H25" i="19" s="1"/>
  <c r="H20" i="19"/>
  <c r="J19" i="19"/>
  <c r="H56" i="19"/>
  <c r="J55" i="19"/>
  <c r="H55" i="19" s="1"/>
  <c r="H49" i="19"/>
  <c r="J48" i="19"/>
  <c r="H104" i="19"/>
  <c r="J103" i="19"/>
  <c r="H30"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H48" i="19" l="1"/>
  <c r="J47" i="19"/>
  <c r="H19" i="19"/>
  <c r="J18" i="19"/>
  <c r="H95" i="19"/>
  <c r="J94" i="19"/>
  <c r="I78" i="19"/>
  <c r="H71" i="19"/>
  <c r="J70" i="19"/>
  <c r="H70" i="19" s="1"/>
  <c r="H83" i="19"/>
  <c r="J82" i="19"/>
  <c r="I116" i="19"/>
  <c r="H103" i="19"/>
  <c r="J102" i="19"/>
  <c r="H63" i="19"/>
  <c r="J62"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H102" i="19" l="1"/>
  <c r="J101" i="19"/>
  <c r="J81" i="19"/>
  <c r="H81" i="19" s="1"/>
  <c r="H82" i="19"/>
  <c r="H18" i="19"/>
  <c r="J17" i="19"/>
  <c r="I79" i="19"/>
  <c r="H62" i="19"/>
  <c r="J61" i="19"/>
  <c r="H94" i="19"/>
  <c r="J93" i="19"/>
  <c r="H47" i="19"/>
  <c r="J46" i="19"/>
  <c r="I117" i="19"/>
  <c r="J115"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I80" i="19" l="1"/>
  <c r="J79" i="19" s="1"/>
  <c r="H79" i="19" s="1"/>
  <c r="G46" i="19"/>
  <c r="G47" i="19" s="1"/>
  <c r="G48" i="19" s="1"/>
  <c r="G49" i="19" s="1"/>
  <c r="G50" i="19" s="1"/>
  <c r="G51" i="19" s="1"/>
  <c r="G52" i="19" s="1"/>
  <c r="G53" i="19" s="1"/>
  <c r="G54" i="19" s="1"/>
  <c r="G55" i="19" s="1"/>
  <c r="G56" i="19" s="1"/>
  <c r="G57" i="19" s="1"/>
  <c r="G58" i="19" s="1"/>
  <c r="G59" i="19" s="1"/>
  <c r="H46" i="19"/>
  <c r="J45" i="19"/>
  <c r="H101" i="19"/>
  <c r="J100" i="19"/>
  <c r="I118" i="19"/>
  <c r="H61" i="19"/>
  <c r="J60" i="19"/>
  <c r="H17" i="19"/>
  <c r="J16" i="19"/>
  <c r="H115" i="19"/>
  <c r="J114" i="19"/>
  <c r="H93" i="19"/>
  <c r="J92" i="19"/>
  <c r="G82" i="19"/>
  <c r="G83" i="19" s="1"/>
  <c r="G84" i="19" s="1"/>
  <c r="G85" i="19" s="1"/>
  <c r="G86" i="19" s="1"/>
  <c r="G87" i="19" s="1"/>
  <c r="G88" i="19" s="1"/>
  <c r="G89" i="19" s="1"/>
  <c r="G90" i="19" s="1"/>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H114" i="19" l="1"/>
  <c r="J113" i="19"/>
  <c r="H60" i="19"/>
  <c r="I119" i="19"/>
  <c r="H100" i="19"/>
  <c r="G100" i="19"/>
  <c r="G101" i="19" s="1"/>
  <c r="G102" i="19" s="1"/>
  <c r="G103" i="19" s="1"/>
  <c r="G104" i="19" s="1"/>
  <c r="G105" i="19" s="1"/>
  <c r="G106" i="19" s="1"/>
  <c r="G107" i="19" s="1"/>
  <c r="G108" i="19" s="1"/>
  <c r="J99" i="19"/>
  <c r="H92" i="19"/>
  <c r="J91" i="19"/>
  <c r="H91" i="19" s="1"/>
  <c r="H16" i="19"/>
  <c r="J15" i="19"/>
  <c r="G61" i="19"/>
  <c r="G62" i="19" s="1"/>
  <c r="G63" i="19" s="1"/>
  <c r="G64" i="19" s="1"/>
  <c r="G65" i="19" s="1"/>
  <c r="G66" i="19" s="1"/>
  <c r="G67" i="19" s="1"/>
  <c r="G68" i="19" s="1"/>
  <c r="G69" i="19" s="1"/>
  <c r="G70" i="19" s="1"/>
  <c r="G71" i="19" s="1"/>
  <c r="G72" i="19" s="1"/>
  <c r="G73" i="19" s="1"/>
  <c r="H45" i="19"/>
  <c r="J78" i="19"/>
  <c r="W288" i="3"/>
  <c r="X284" i="3"/>
  <c r="W285" i="3" s="1"/>
  <c r="I120" i="19" l="1"/>
  <c r="H15" i="19"/>
  <c r="G91" i="19"/>
  <c r="G92" i="19" s="1"/>
  <c r="G93" i="19" s="1"/>
  <c r="G94" i="19" s="1"/>
  <c r="G95" i="19" s="1"/>
  <c r="G96" i="19" s="1"/>
  <c r="G97" i="19" s="1"/>
  <c r="G98" i="19" s="1"/>
  <c r="H113" i="19"/>
  <c r="J112" i="19"/>
  <c r="H78" i="19"/>
  <c r="J77" i="19"/>
  <c r="G16" i="19"/>
  <c r="G17" i="19" s="1"/>
  <c r="G18" i="19" s="1"/>
  <c r="G19" i="19" s="1"/>
  <c r="G20" i="19" s="1"/>
  <c r="G21" i="19" s="1"/>
  <c r="G22" i="19" s="1"/>
  <c r="G23" i="19" s="1"/>
  <c r="G24" i="19" s="1"/>
  <c r="G25" i="19" s="1"/>
  <c r="G26" i="19" s="1"/>
  <c r="G27" i="19" s="1"/>
  <c r="G28" i="19" s="1"/>
  <c r="G29" i="19" s="1"/>
  <c r="H99" i="19"/>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112" i="19" l="1"/>
  <c r="J111" i="19"/>
  <c r="H77" i="19"/>
  <c r="J76" i="19"/>
  <c r="I121"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76" i="19" l="1"/>
  <c r="J75" i="19"/>
  <c r="H111" i="19"/>
  <c r="J110" i="19"/>
  <c r="I122"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10" i="19" l="1"/>
  <c r="J109" i="19"/>
  <c r="H75" i="19"/>
  <c r="J74" i="19"/>
  <c r="J122" i="19"/>
  <c r="J121"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74" i="19" l="1"/>
  <c r="G74" i="19"/>
  <c r="G75" i="19" s="1"/>
  <c r="G76" i="19" s="1"/>
  <c r="G77" i="19" s="1"/>
  <c r="G78" i="19" s="1"/>
  <c r="G79" i="19" s="1"/>
  <c r="G80" i="19" s="1"/>
  <c r="H121" i="19"/>
  <c r="J120" i="19"/>
  <c r="H109" i="19"/>
  <c r="G109" i="19"/>
  <c r="G110" i="19" s="1"/>
  <c r="G111" i="19" s="1"/>
  <c r="G112" i="19" s="1"/>
  <c r="G113" i="19" s="1"/>
  <c r="G114" i="19" s="1"/>
  <c r="G115" i="19" s="1"/>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20" i="19" l="1"/>
  <c r="J119"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9" i="19" l="1"/>
  <c r="J118" i="19"/>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H118" i="19" l="1"/>
  <c r="J117" i="19"/>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H117" i="19" l="1"/>
  <c r="J116" i="19"/>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H116" i="19" l="1"/>
  <c r="G116" i="19"/>
  <c r="G117" i="19" s="1"/>
  <c r="G118" i="19" s="1"/>
  <c r="G119" i="19" s="1"/>
  <c r="G120" i="19" s="1"/>
  <c r="G121" i="19" s="1"/>
  <c r="G122" i="19" s="1"/>
  <c r="AB76"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4BC5DF6E-4330-428C-AE54-8F1EEBEC3057}">
      <text>
        <r>
          <rPr>
            <b/>
            <sz val="9"/>
            <color indexed="81"/>
            <rFont val="Tahoma"/>
            <family val="2"/>
          </rPr>
          <t>0.189393939393939:Rate (byte/s)_x000D_
1.51515151515152:Rate (bit/s)</t>
        </r>
      </text>
    </comment>
    <comment ref="Q390" authorId="0" shapeId="0" xr:uid="{15749EA4-0C7D-427D-9787-8F310CF51D4B}">
      <text>
        <r>
          <rPr>
            <b/>
            <sz val="9"/>
            <color indexed="81"/>
            <rFont val="Tahoma"/>
            <family val="2"/>
          </rPr>
          <t>0.378787878787879:Rate (byte/s)_x000D_
3.03030303030303:Rate (bit/s)</t>
        </r>
      </text>
    </comment>
    <comment ref="Q391" authorId="0" shapeId="0" xr:uid="{72449FDF-DEFB-49DD-85D4-1E10A35FA76E}">
      <text>
        <r>
          <rPr>
            <b/>
            <sz val="9"/>
            <color indexed="81"/>
            <rFont val="Tahoma"/>
            <family val="2"/>
          </rPr>
          <t>0.378787878787879:Rate (byte/s)_x000D_
3.03030303030303:Rate (bit/s)</t>
        </r>
      </text>
    </comment>
    <comment ref="Q392" authorId="0" shapeId="0" xr:uid="{DCDC9EF0-6FF4-42C0-B816-0C435E8947CF}">
      <text>
        <r>
          <rPr>
            <b/>
            <sz val="9"/>
            <color indexed="81"/>
            <rFont val="Tahoma"/>
            <family val="2"/>
          </rPr>
          <t>0.378787878787879:Rate (byte/s)_x000D_
3.03030303030303:Rate (bit/s)</t>
        </r>
      </text>
    </comment>
    <comment ref="Q393" authorId="0" shapeId="0" xr:uid="{59F44525-0357-4A5A-A66E-BDF0E25E94B3}">
      <text>
        <r>
          <rPr>
            <b/>
            <sz val="9"/>
            <color indexed="81"/>
            <rFont val="Tahoma"/>
            <family val="2"/>
          </rPr>
          <t>0.757575757575758:Rate (byte/s)_x000D_
6.06060606060606:Rate (bit/s)</t>
        </r>
      </text>
    </comment>
    <comment ref="Q394" authorId="0" shapeId="0" xr:uid="{84340D92-6E6E-4FEE-BE15-857FDCB33650}">
      <text>
        <r>
          <rPr>
            <b/>
            <sz val="9"/>
            <color indexed="81"/>
            <rFont val="Tahoma"/>
            <family val="2"/>
          </rPr>
          <t>0.946969696969697:Rate (byte/s)_x000D_
7.57575757575758:Rate (bit/s)</t>
        </r>
      </text>
    </comment>
    <comment ref="Q395" authorId="0" shapeId="0" xr:uid="{E52EF078-E471-4286-AEC8-C42FE90FE5E2}">
      <text>
        <r>
          <rPr>
            <b/>
            <sz val="9"/>
            <color indexed="81"/>
            <rFont val="Tahoma"/>
            <family val="2"/>
          </rPr>
          <t>1.32575757575758:Rate (byte/s)_x000D_
10.6060606060606:Rate (bit/s)</t>
        </r>
      </text>
    </comment>
    <comment ref="Q396" authorId="0" shapeId="0" xr:uid="{82DE6774-A8FB-48C1-A9B6-A04BCC54F698}">
      <text>
        <r>
          <rPr>
            <b/>
            <sz val="9"/>
            <color indexed="81"/>
            <rFont val="Tahoma"/>
            <family val="2"/>
          </rPr>
          <t>1.32575757575758:Rate (byte/s)_x000D_
10.6060606060606:Rate (bit/s)</t>
        </r>
      </text>
    </comment>
    <comment ref="Q397" authorId="0" shapeId="0" xr:uid="{0413BB20-F2BB-42E9-A17C-6712D1B99ED0}">
      <text>
        <r>
          <rPr>
            <b/>
            <sz val="9"/>
            <color indexed="81"/>
            <rFont val="Tahoma"/>
            <family val="2"/>
          </rPr>
          <t>1.51515151515152:Rate (byte/s)_x000D_
12.1212121212121:Rate (bit/s)</t>
        </r>
      </text>
    </comment>
    <comment ref="Q398" authorId="0" shapeId="0" xr:uid="{1240B275-DD53-4447-90C0-0844847D63F7}">
      <text>
        <r>
          <rPr>
            <b/>
            <sz val="9"/>
            <color indexed="81"/>
            <rFont val="Tahoma"/>
            <family val="2"/>
          </rPr>
          <t>1.70454545454545:Rate (byte/s)_x000D_
13.6363636363636:Rate (bit/s)</t>
        </r>
      </text>
    </comment>
    <comment ref="Q399" authorId="0" shapeId="0" xr:uid="{C1E8B5C6-8950-4ADC-840A-5199CA0F0147}">
      <text>
        <r>
          <rPr>
            <b/>
            <sz val="9"/>
            <color indexed="81"/>
            <rFont val="Tahoma"/>
            <family val="2"/>
          </rPr>
          <t>2.08333333333333:Rate (byte/s)_x000D_
16.6666666666667:Rate (bit/s)</t>
        </r>
      </text>
    </comment>
    <comment ref="Q400" authorId="0" shapeId="0" xr:uid="{DB28C354-1EA0-45B5-B4E4-CECAC0EF754A}">
      <text>
        <r>
          <rPr>
            <b/>
            <sz val="9"/>
            <color indexed="81"/>
            <rFont val="Tahoma"/>
            <family val="2"/>
          </rPr>
          <t>2.27272727272727:Rate (byte/s)_x000D_
18.1818181818182:Rate (bit/s)</t>
        </r>
      </text>
    </comment>
    <comment ref="Q401" authorId="0" shapeId="0" xr:uid="{234C8B79-7C7E-4432-91DD-900B6DE3A787}">
      <text>
        <r>
          <rPr>
            <b/>
            <sz val="9"/>
            <color indexed="81"/>
            <rFont val="Tahoma"/>
            <family val="2"/>
          </rPr>
          <t>2.46212121212121:Rate (byte/s)_x000D_
19.6969696969697:Rate (bit/s)</t>
        </r>
      </text>
    </comment>
    <comment ref="Q402" authorId="0" shapeId="0" xr:uid="{34F4B46F-B0C6-4C1E-BB5E-6094DD337779}">
      <text>
        <r>
          <rPr>
            <b/>
            <sz val="9"/>
            <color indexed="81"/>
            <rFont val="Tahoma"/>
            <family val="2"/>
          </rPr>
          <t>2.65151515151515:Rate (byte/s)_x000D_
21.2121212121212:Rate (bit/s)</t>
        </r>
      </text>
    </comment>
    <comment ref="Q403" authorId="0" shapeId="0" xr:uid="{C5F3D631-C508-411D-83FB-1F7A16FFD685}">
      <text>
        <r>
          <rPr>
            <b/>
            <sz val="9"/>
            <color indexed="81"/>
            <rFont val="Tahoma"/>
            <family val="2"/>
          </rPr>
          <t>2.84090909090909:Rate (byte/s)_x000D_
22.7272727272727:Rate (bit/s)</t>
        </r>
      </text>
    </comment>
    <comment ref="Q404" authorId="0" shapeId="0" xr:uid="{7BCC7BF9-0D47-4A99-A102-335FC5B61A1D}">
      <text>
        <r>
          <rPr>
            <b/>
            <sz val="9"/>
            <color indexed="81"/>
            <rFont val="Tahoma"/>
            <family val="2"/>
          </rPr>
          <t>3.03030303030303:Rate (byte/s)_x000D_
24.2424242424242:Rate (bit/s)</t>
        </r>
      </text>
    </comment>
    <comment ref="Q405" authorId="0" shapeId="0" xr:uid="{D35E053F-08C3-4189-AC71-84818EC6F468}">
      <text>
        <r>
          <rPr>
            <b/>
            <sz val="9"/>
            <color indexed="81"/>
            <rFont val="Tahoma"/>
            <family val="2"/>
          </rPr>
          <t>3.21969696969697:Rate (byte/s)_x000D_
25.7575757575758:Rate (bit/s)</t>
        </r>
      </text>
    </comment>
    <comment ref="Q406" authorId="0" shapeId="0" xr:uid="{BEEF2C02-980A-45BC-B360-593B94A16946}">
      <text>
        <r>
          <rPr>
            <b/>
            <sz val="9"/>
            <color indexed="81"/>
            <rFont val="Tahoma"/>
            <family val="2"/>
          </rPr>
          <t>3.21969696969697:Rate (byte/s)_x000D_
25.7575757575758:Rate (bit/s)</t>
        </r>
      </text>
    </comment>
    <comment ref="Q407" authorId="0" shapeId="0" xr:uid="{167BB6F6-AAD1-4C64-894D-43CAAE92D627}">
      <text>
        <r>
          <rPr>
            <b/>
            <sz val="9"/>
            <color indexed="81"/>
            <rFont val="Tahoma"/>
            <family val="2"/>
          </rPr>
          <t>3.21969696969697:Rate (byte/s)_x000D_
25.7575757575758:Rate (bit/s)</t>
        </r>
      </text>
    </comment>
    <comment ref="Q408" authorId="0" shapeId="0" xr:uid="{28B3C7E2-8687-4E11-AACC-D2A249EB67D7}">
      <text>
        <r>
          <rPr>
            <b/>
            <sz val="9"/>
            <color indexed="81"/>
            <rFont val="Tahoma"/>
            <family val="2"/>
          </rPr>
          <t>3.59848484848485:Rate (byte/s)_x000D_
28.7878787878788:Rate (bit/s)</t>
        </r>
      </text>
    </comment>
    <comment ref="Q409" authorId="0" shapeId="0" xr:uid="{275E65BA-7982-413E-B5D0-353478C04489}">
      <text>
        <r>
          <rPr>
            <b/>
            <sz val="9"/>
            <color indexed="81"/>
            <rFont val="Tahoma"/>
            <family val="2"/>
          </rPr>
          <t>3.78787878787879:Rate (byte/s)_x000D_
30.3030303030303:Rate (bit/s)</t>
        </r>
      </text>
    </comment>
    <comment ref="Q410" authorId="0" shapeId="0" xr:uid="{E03128CF-51DC-4973-BE0F-23C6DFF1702E}">
      <text>
        <r>
          <rPr>
            <b/>
            <sz val="9"/>
            <color indexed="81"/>
            <rFont val="Tahoma"/>
            <family val="2"/>
          </rPr>
          <t>4.16666666666667:Rate (byte/s)_x000D_
33.3333333333333:Rate (bit/s)</t>
        </r>
      </text>
    </comment>
    <comment ref="Q411" authorId="0" shapeId="0" xr:uid="{2063EEC5-EB2E-4504-A456-A4CACF509F68}">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<sst xmlns="http://schemas.openxmlformats.org/spreadsheetml/2006/main" count="23878" uniqueCount="8516">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</sst>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1">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30" fillId="0" borderId="0" applyBorder="0" applyProtection="0"/>
    <xf numFmtId="0" fontId="5" fillId="0" borderId="0"/>
    <xf numFmtId="0" fontId="4" fillId="0" borderId="0"/>
    <xf numFmtId="0" fontId="71" fillId="0" borderId="0"/>
    <xf numFmtId="0" fontId="3" fillId="0" borderId="0"/>
  </cellStyleXfs>
  <cellXfs count="559">
    <xf numFmtId="0" fontId="0" fillId="0" borderId="0" xfId="0"/>
    <xf numFmtId="0" fontId="51"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6" fillId="2" borderId="0" xfId="0" applyFont="1" applyFill="1"/>
    <xf numFmtId="0" fontId="6"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6"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0" fillId="0" borderId="0" xfId="1" applyNumberFormat="1" applyBorder="1" applyAlignment="1" applyProtection="1">
      <alignment horizontal="center"/>
    </xf>
    <xf numFmtId="165" fontId="30" fillId="0" borderId="0" xfId="1" applyBorder="1" applyAlignment="1" applyProtection="1">
      <alignment horizontal="center"/>
    </xf>
    <xf numFmtId="1" fontId="30" fillId="0" borderId="0" xfId="1" applyNumberFormat="1" applyBorder="1" applyProtection="1"/>
    <xf numFmtId="165" fontId="30" fillId="0" borderId="1" xfId="1" applyBorder="1" applyAlignment="1" applyProtection="1">
      <alignment horizontal="center"/>
    </xf>
    <xf numFmtId="1" fontId="30" fillId="0" borderId="1" xfId="1" applyNumberFormat="1" applyBorder="1" applyProtection="1"/>
    <xf numFmtId="165" fontId="6"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6" fillId="5" borderId="0" xfId="0" applyNumberFormat="1" applyFont="1" applyFill="1" applyAlignment="1">
      <alignment horizontal="center"/>
    </xf>
    <xf numFmtId="0" fontId="0" fillId="7" borderId="2" xfId="0" applyFill="1" applyBorder="1" applyAlignment="1">
      <alignment horizontal="center"/>
    </xf>
    <xf numFmtId="0" fontId="9" fillId="0" borderId="0" xfId="0" applyFont="1" applyAlignment="1">
      <alignment horizontal="right"/>
    </xf>
    <xf numFmtId="2" fontId="0" fillId="0" borderId="0" xfId="0" applyNumberFormat="1" applyAlignment="1">
      <alignment horizontal="center"/>
    </xf>
    <xf numFmtId="0" fontId="0" fillId="8" borderId="0" xfId="0" applyFill="1"/>
    <xf numFmtId="165" fontId="30"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0" fillId="9" borderId="0" xfId="0" applyNumberFormat="1" applyFont="1" applyFill="1" applyAlignment="1">
      <alignment horizontal="center"/>
    </xf>
    <xf numFmtId="0" fontId="11" fillId="9" borderId="0" xfId="0" applyFont="1" applyFill="1" applyAlignment="1">
      <alignment horizontal="center"/>
    </xf>
    <xf numFmtId="0" fontId="9" fillId="0" borderId="0" xfId="0" applyFont="1" applyAlignment="1">
      <alignment horizontal="center"/>
    </xf>
    <xf numFmtId="0" fontId="0" fillId="10" borderId="0" xfId="0" applyFill="1" applyAlignment="1">
      <alignment horizontal="center"/>
    </xf>
    <xf numFmtId="0" fontId="0" fillId="10" borderId="0" xfId="0" applyFill="1"/>
    <xf numFmtId="165" fontId="10" fillId="10" borderId="0" xfId="0" applyNumberFormat="1" applyFont="1" applyFill="1" applyAlignment="1">
      <alignment horizontal="center"/>
    </xf>
    <xf numFmtId="0" fontId="11"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6" fillId="12" borderId="0" xfId="1" applyNumberFormat="1" applyFont="1" applyFill="1" applyBorder="1" applyAlignment="1" applyProtection="1">
      <alignment horizontal="center"/>
    </xf>
    <xf numFmtId="165" fontId="6" fillId="12" borderId="0" xfId="1" applyFont="1" applyFill="1" applyBorder="1" applyAlignment="1" applyProtection="1">
      <alignment horizontal="center"/>
    </xf>
    <xf numFmtId="165" fontId="6"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6"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6"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2" fillId="12" borderId="0" xfId="0" applyFont="1" applyFill="1" applyAlignment="1">
      <alignment horizontal="center"/>
    </xf>
    <xf numFmtId="168" fontId="0" fillId="12" borderId="11" xfId="0" applyNumberFormat="1" applyFill="1" applyBorder="1" applyAlignment="1">
      <alignment horizontal="center"/>
    </xf>
    <xf numFmtId="1" fontId="12"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2"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2"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3" fillId="0" borderId="2" xfId="0" applyFont="1" applyBorder="1"/>
    <xf numFmtId="0" fontId="14" fillId="0" borderId="0" xfId="0" applyFont="1"/>
    <xf numFmtId="0" fontId="13" fillId="13" borderId="2" xfId="0" applyFont="1" applyFill="1" applyBorder="1"/>
    <xf numFmtId="3" fontId="0" fillId="0" borderId="0" xfId="0" applyNumberFormat="1"/>
    <xf numFmtId="0" fontId="15" fillId="13" borderId="2" xfId="0" applyFont="1" applyFill="1" applyBorder="1"/>
    <xf numFmtId="0" fontId="0" fillId="12" borderId="14" xfId="0" applyFill="1" applyBorder="1" applyAlignment="1">
      <alignment horizontal="center"/>
    </xf>
    <xf numFmtId="1" fontId="12"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6" fillId="12" borderId="0" xfId="0" applyFont="1" applyFill="1" applyAlignment="1">
      <alignment horizontal="center"/>
    </xf>
    <xf numFmtId="0" fontId="16" fillId="12" borderId="0" xfId="0" applyFont="1" applyFill="1" applyAlignment="1">
      <alignment horizontal="center"/>
    </xf>
    <xf numFmtId="0" fontId="12" fillId="12" borderId="15" xfId="0" applyFont="1" applyFill="1" applyBorder="1" applyAlignment="1">
      <alignment horizontal="center"/>
    </xf>
    <xf numFmtId="0" fontId="6" fillId="0" borderId="0" xfId="0" applyFont="1"/>
    <xf numFmtId="0" fontId="0" fillId="14" borderId="0" xfId="0" applyFill="1" applyAlignment="1">
      <alignment horizontal="center"/>
    </xf>
    <xf numFmtId="0" fontId="0" fillId="0" borderId="0" xfId="0" applyAlignment="1">
      <alignment horizontal="left"/>
    </xf>
    <xf numFmtId="0" fontId="12" fillId="0" borderId="0" xfId="0" applyFont="1" applyAlignment="1">
      <alignment horizontal="center"/>
    </xf>
    <xf numFmtId="0" fontId="0" fillId="0" borderId="17" xfId="0" applyBorder="1" applyAlignment="1">
      <alignment horizontal="center"/>
    </xf>
    <xf numFmtId="0" fontId="12" fillId="2" borderId="0" xfId="0" applyFont="1" applyFill="1" applyAlignment="1">
      <alignment horizontal="center"/>
    </xf>
    <xf numFmtId="1" fontId="0" fillId="0" borderId="0" xfId="0" applyNumberFormat="1" applyAlignment="1">
      <alignment horizontal="center"/>
    </xf>
    <xf numFmtId="0" fontId="6" fillId="15" borderId="3" xfId="0" applyFont="1" applyFill="1" applyBorder="1"/>
    <xf numFmtId="0" fontId="0" fillId="15" borderId="6" xfId="0" applyFill="1" applyBorder="1" applyAlignment="1">
      <alignment horizontal="left"/>
    </xf>
    <xf numFmtId="0" fontId="6" fillId="15" borderId="7" xfId="0" applyFont="1" applyFill="1" applyBorder="1"/>
    <xf numFmtId="0" fontId="0" fillId="15" borderId="9" xfId="0" applyFill="1" applyBorder="1" applyAlignment="1">
      <alignment horizontal="left"/>
    </xf>
    <xf numFmtId="0" fontId="6"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2"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2"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7" fillId="2" borderId="2" xfId="0" applyFont="1" applyFill="1" applyBorder="1" applyAlignment="1">
      <alignment horizontal="center"/>
    </xf>
    <xf numFmtId="0" fontId="18"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2" fillId="2" borderId="0" xfId="0" applyNumberFormat="1" applyFont="1" applyFill="1" applyAlignment="1">
      <alignment horizontal="center"/>
    </xf>
    <xf numFmtId="0" fontId="16"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3" fillId="0" borderId="2" xfId="0" applyFont="1" applyBorder="1" applyAlignment="1">
      <alignment horizontal="center"/>
    </xf>
    <xf numFmtId="0" fontId="15" fillId="0" borderId="2" xfId="0" applyFont="1" applyBorder="1" applyAlignment="1">
      <alignment horizontal="center"/>
    </xf>
    <xf numFmtId="0" fontId="19" fillId="0" borderId="2" xfId="0" applyFont="1" applyBorder="1" applyAlignment="1">
      <alignment horizontal="center"/>
    </xf>
    <xf numFmtId="0" fontId="15"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6" fillId="15" borderId="3" xfId="0" applyFont="1" applyFill="1" applyBorder="1" applyAlignment="1">
      <alignment horizontal="center"/>
    </xf>
    <xf numFmtId="0" fontId="0" fillId="15" borderId="6" xfId="0" applyFill="1" applyBorder="1" applyAlignment="1">
      <alignment horizontal="center"/>
    </xf>
    <xf numFmtId="0" fontId="20" fillId="0" borderId="0" xfId="0" applyFont="1" applyAlignment="1">
      <alignment vertical="center"/>
    </xf>
    <xf numFmtId="0" fontId="6" fillId="15" borderId="7" xfId="0" applyFont="1" applyFill="1" applyBorder="1" applyAlignment="1">
      <alignment horizontal="center"/>
    </xf>
    <xf numFmtId="0" fontId="0" fillId="15" borderId="9" xfId="0" applyFill="1" applyBorder="1" applyAlignment="1">
      <alignment horizontal="center"/>
    </xf>
    <xf numFmtId="0" fontId="6" fillId="15" borderId="14" xfId="0" applyFont="1" applyFill="1" applyBorder="1" applyAlignment="1">
      <alignment horizontal="center"/>
    </xf>
    <xf numFmtId="0" fontId="0" fillId="15" borderId="16" xfId="0" applyFill="1" applyBorder="1" applyAlignment="1">
      <alignment horizontal="center"/>
    </xf>
    <xf numFmtId="0" fontId="14" fillId="0" borderId="0" xfId="0" applyFont="1" applyAlignment="1">
      <alignment horizontal="right"/>
    </xf>
    <xf numFmtId="1" fontId="6" fillId="0" borderId="0" xfId="0" applyNumberFormat="1" applyFont="1" applyAlignment="1">
      <alignment horizontal="center"/>
    </xf>
    <xf numFmtId="1" fontId="6" fillId="12" borderId="0" xfId="0" applyNumberFormat="1" applyFont="1" applyFill="1" applyAlignment="1">
      <alignment horizontal="center"/>
    </xf>
    <xf numFmtId="169" fontId="0" fillId="0" borderId="0" xfId="0" applyNumberFormat="1" applyAlignment="1">
      <alignment horizontal="center"/>
    </xf>
    <xf numFmtId="0" fontId="6" fillId="0" borderId="0" xfId="0" applyFont="1" applyAlignment="1">
      <alignment horizontal="center"/>
    </xf>
    <xf numFmtId="0" fontId="6"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2" fillId="12" borderId="0" xfId="0" applyNumberFormat="1" applyFont="1" applyFill="1" applyAlignment="1">
      <alignment horizontal="center"/>
    </xf>
    <xf numFmtId="0" fontId="14" fillId="0" borderId="2" xfId="0" applyFont="1" applyBorder="1" applyAlignment="1">
      <alignment horizontal="center"/>
    </xf>
    <xf numFmtId="0" fontId="13" fillId="22" borderId="2" xfId="0" applyFont="1" applyFill="1" applyBorder="1"/>
    <xf numFmtId="0" fontId="15" fillId="22" borderId="2" xfId="0" applyFont="1" applyFill="1" applyBorder="1"/>
    <xf numFmtId="0" fontId="13" fillId="22" borderId="2" xfId="0" applyFont="1" applyFill="1" applyBorder="1" applyAlignment="1">
      <alignment horizontal="center"/>
    </xf>
    <xf numFmtId="0" fontId="15"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3"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1" fillId="2" borderId="0" xfId="2" applyFont="1" applyFill="1"/>
    <xf numFmtId="0" fontId="5" fillId="2" borderId="0" xfId="2" applyFill="1"/>
    <xf numFmtId="0" fontId="6" fillId="12" borderId="7" xfId="0" applyFont="1" applyFill="1" applyBorder="1" applyAlignment="1">
      <alignment horizontal="center"/>
    </xf>
    <xf numFmtId="1" fontId="6" fillId="20" borderId="0" xfId="0" applyNumberFormat="1" applyFont="1" applyFill="1" applyAlignment="1">
      <alignment horizontal="center"/>
    </xf>
    <xf numFmtId="0" fontId="21"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3" fillId="0" borderId="0" xfId="0" applyFont="1"/>
    <xf numFmtId="164" fontId="0" fillId="0" borderId="0" xfId="0" applyNumberFormat="1" applyAlignment="1">
      <alignment horizontal="right"/>
    </xf>
    <xf numFmtId="0" fontId="22" fillId="0" borderId="0" xfId="0" applyFont="1"/>
    <xf numFmtId="0" fontId="21" fillId="11" borderId="0" xfId="2" applyFont="1" applyFill="1"/>
    <xf numFmtId="0" fontId="6" fillId="23" borderId="2" xfId="0" applyFont="1" applyFill="1" applyBorder="1" applyAlignment="1">
      <alignment horizontal="center"/>
    </xf>
    <xf numFmtId="20" fontId="5" fillId="2" borderId="0" xfId="2" applyNumberFormat="1" applyFill="1" applyAlignment="1">
      <alignment vertical="center" wrapText="1"/>
    </xf>
    <xf numFmtId="0" fontId="5" fillId="2" borderId="0" xfId="2" applyFill="1" applyAlignment="1">
      <alignment vertical="center" wrapText="1"/>
    </xf>
    <xf numFmtId="0" fontId="5" fillId="4" borderId="0" xfId="2" applyFill="1" applyAlignment="1">
      <alignment vertical="center"/>
    </xf>
    <xf numFmtId="171" fontId="0" fillId="0" borderId="0" xfId="0" applyNumberFormat="1" applyAlignment="1">
      <alignment horizontal="center"/>
    </xf>
    <xf numFmtId="0" fontId="23" fillId="0" borderId="0" xfId="0" applyFont="1" applyAlignment="1">
      <alignment horizontal="center"/>
    </xf>
    <xf numFmtId="0" fontId="24" fillId="12" borderId="3" xfId="0" applyFont="1" applyFill="1" applyBorder="1" applyAlignment="1">
      <alignment horizontal="center"/>
    </xf>
    <xf numFmtId="1" fontId="24" fillId="20" borderId="0" xfId="0" applyNumberFormat="1" applyFont="1" applyFill="1" applyAlignment="1">
      <alignment horizontal="center"/>
    </xf>
    <xf numFmtId="164" fontId="23" fillId="0" borderId="0" xfId="0" applyNumberFormat="1" applyFont="1" applyAlignment="1">
      <alignment horizontal="center"/>
    </xf>
    <xf numFmtId="1" fontId="23" fillId="12" borderId="0" xfId="0" applyNumberFormat="1" applyFont="1" applyFill="1" applyAlignment="1">
      <alignment horizontal="center"/>
    </xf>
    <xf numFmtId="1" fontId="23" fillId="0" borderId="0" xfId="0" applyNumberFormat="1" applyFont="1" applyAlignment="1">
      <alignment horizontal="center"/>
    </xf>
    <xf numFmtId="1" fontId="23" fillId="12" borderId="9" xfId="0" applyNumberFormat="1" applyFont="1" applyFill="1" applyBorder="1" applyAlignment="1">
      <alignment horizontal="center"/>
    </xf>
    <xf numFmtId="0" fontId="25" fillId="11" borderId="0" xfId="2" applyFont="1" applyFill="1"/>
    <xf numFmtId="0" fontId="26" fillId="2" borderId="0" xfId="2" applyFont="1" applyFill="1"/>
    <xf numFmtId="20" fontId="26" fillId="2" borderId="0" xfId="2" applyNumberFormat="1" applyFont="1" applyFill="1" applyAlignment="1">
      <alignment vertical="center" wrapText="1"/>
    </xf>
    <xf numFmtId="0" fontId="0" fillId="24" borderId="0" xfId="0" applyFill="1" applyAlignment="1">
      <alignment horizontal="center"/>
    </xf>
    <xf numFmtId="1" fontId="6" fillId="24" borderId="0" xfId="0" applyNumberFormat="1" applyFont="1" applyFill="1" applyAlignment="1">
      <alignment horizontal="center"/>
    </xf>
    <xf numFmtId="0" fontId="6" fillId="12" borderId="3" xfId="0" applyFont="1" applyFill="1" applyBorder="1" applyAlignment="1">
      <alignment horizontal="left"/>
    </xf>
    <xf numFmtId="172" fontId="6" fillId="0" borderId="0" xfId="0" applyNumberFormat="1" applyFont="1" applyAlignment="1">
      <alignment horizontal="center"/>
    </xf>
    <xf numFmtId="0" fontId="0" fillId="25" borderId="0" xfId="0" applyFill="1" applyAlignment="1">
      <alignment horizontal="center"/>
    </xf>
    <xf numFmtId="1" fontId="6" fillId="26" borderId="0" xfId="0" applyNumberFormat="1" applyFont="1" applyFill="1" applyAlignment="1">
      <alignment horizontal="center"/>
    </xf>
    <xf numFmtId="0" fontId="6" fillId="27" borderId="0" xfId="0" applyFont="1" applyFill="1"/>
    <xf numFmtId="1" fontId="6" fillId="25" borderId="0" xfId="0" applyNumberFormat="1" applyFont="1" applyFill="1" applyAlignment="1">
      <alignment horizontal="center"/>
    </xf>
    <xf numFmtId="173" fontId="0" fillId="25" borderId="0" xfId="0" applyNumberFormat="1" applyFill="1" applyAlignment="1">
      <alignment horizontal="center"/>
    </xf>
    <xf numFmtId="164" fontId="6" fillId="0" borderId="0" xfId="0" applyNumberFormat="1" applyFont="1" applyAlignment="1">
      <alignment horizontal="center"/>
    </xf>
    <xf numFmtId="0" fontId="6" fillId="15" borderId="3" xfId="0" applyFont="1" applyFill="1" applyBorder="1" applyAlignment="1">
      <alignment horizontal="right"/>
    </xf>
    <xf numFmtId="0" fontId="29"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0" fillId="0" borderId="0" xfId="0" applyFont="1"/>
    <xf numFmtId="0" fontId="30" fillId="0" borderId="0" xfId="0" applyFont="1" applyAlignment="1">
      <alignment horizontal="right"/>
    </xf>
    <xf numFmtId="0" fontId="30" fillId="0" borderId="0" xfId="0" applyFont="1" applyAlignment="1">
      <alignment horizontal="center"/>
    </xf>
    <xf numFmtId="0" fontId="31" fillId="15" borderId="3" xfId="0" applyFont="1" applyFill="1" applyBorder="1" applyAlignment="1">
      <alignment horizontal="center"/>
    </xf>
    <xf numFmtId="169" fontId="30" fillId="15" borderId="6" xfId="0" applyNumberFormat="1" applyFont="1" applyFill="1" applyBorder="1" applyAlignment="1">
      <alignment horizontal="center"/>
    </xf>
    <xf numFmtId="0" fontId="13" fillId="29" borderId="2" xfId="0" applyFont="1" applyFill="1" applyBorder="1"/>
    <xf numFmtId="0" fontId="15" fillId="29" borderId="2" xfId="0" applyFont="1" applyFill="1" applyBorder="1"/>
    <xf numFmtId="0" fontId="0" fillId="30" borderId="0" xfId="0" applyFill="1" applyAlignment="1">
      <alignment horizontal="center"/>
    </xf>
    <xf numFmtId="0" fontId="0" fillId="30" borderId="0" xfId="0" applyFill="1"/>
    <xf numFmtId="0" fontId="5" fillId="30" borderId="0" xfId="2" applyFill="1" applyAlignment="1">
      <alignment vertical="center" wrapText="1"/>
    </xf>
    <xf numFmtId="0" fontId="21" fillId="11" borderId="0" xfId="2" applyFont="1" applyFill="1" applyAlignment="1">
      <alignment horizontal="center"/>
    </xf>
    <xf numFmtId="1" fontId="21" fillId="11" borderId="24" xfId="2" applyNumberFormat="1" applyFont="1" applyFill="1" applyBorder="1" applyAlignment="1">
      <alignment horizontal="center"/>
    </xf>
    <xf numFmtId="169" fontId="21" fillId="11" borderId="25" xfId="2" applyNumberFormat="1" applyFont="1" applyFill="1" applyBorder="1" applyAlignment="1">
      <alignment horizontal="center"/>
    </xf>
    <xf numFmtId="0" fontId="32" fillId="0" borderId="0" xfId="0" applyFont="1"/>
    <xf numFmtId="0" fontId="21" fillId="11" borderId="26" xfId="2" applyFont="1" applyFill="1" applyBorder="1" applyAlignment="1">
      <alignment horizontal="center"/>
    </xf>
    <xf numFmtId="0" fontId="21" fillId="11" borderId="27" xfId="2" applyFont="1" applyFill="1" applyBorder="1" applyAlignment="1">
      <alignment horizontal="center"/>
    </xf>
    <xf numFmtId="1" fontId="21" fillId="11" borderId="0" xfId="2" applyNumberFormat="1" applyFont="1" applyFill="1" applyAlignment="1">
      <alignment horizontal="center"/>
    </xf>
    <xf numFmtId="169" fontId="21"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1"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3" fillId="0" borderId="0" xfId="0" applyFont="1" applyAlignment="1">
      <alignment vertical="center" wrapText="1"/>
    </xf>
    <xf numFmtId="0" fontId="33" fillId="15" borderId="0" xfId="0" applyFont="1" applyFill="1" applyAlignment="1">
      <alignment vertical="center" wrapText="1"/>
    </xf>
    <xf numFmtId="0" fontId="34" fillId="15" borderId="0" xfId="0" applyFont="1" applyFill="1" applyAlignment="1">
      <alignment vertical="center" wrapText="1"/>
    </xf>
    <xf numFmtId="173" fontId="0" fillId="0" borderId="0" xfId="0" applyNumberFormat="1" applyAlignment="1">
      <alignment horizontal="center"/>
    </xf>
    <xf numFmtId="0" fontId="34" fillId="0" borderId="0" xfId="0" applyFont="1"/>
    <xf numFmtId="0" fontId="34" fillId="0" borderId="0" xfId="0" applyFont="1" applyAlignment="1">
      <alignment vertical="center" wrapText="1"/>
    </xf>
    <xf numFmtId="0" fontId="33" fillId="33" borderId="0" xfId="0" applyFont="1" applyFill="1" applyAlignment="1">
      <alignment vertical="center" wrapText="1"/>
    </xf>
    <xf numFmtId="0" fontId="34" fillId="33" borderId="0" xfId="0" applyFont="1" applyFill="1" applyAlignment="1">
      <alignment vertical="center" wrapText="1"/>
    </xf>
    <xf numFmtId="0" fontId="0" fillId="30" borderId="0" xfId="0" applyFill="1" applyAlignment="1">
      <alignment horizontal="left"/>
    </xf>
    <xf numFmtId="0" fontId="21" fillId="15" borderId="0" xfId="2" applyFont="1" applyFill="1"/>
    <xf numFmtId="0" fontId="0" fillId="34" borderId="0" xfId="0" applyFill="1"/>
    <xf numFmtId="0" fontId="0" fillId="13" borderId="0" xfId="0" applyFill="1" applyAlignment="1">
      <alignment horizontal="left"/>
    </xf>
    <xf numFmtId="0" fontId="21" fillId="33" borderId="0" xfId="2" applyFont="1" applyFill="1"/>
    <xf numFmtId="0" fontId="6" fillId="13" borderId="0" xfId="0" applyFont="1" applyFill="1" applyAlignment="1">
      <alignment horizontal="center"/>
    </xf>
    <xf numFmtId="0" fontId="21" fillId="35" borderId="0" xfId="2" applyFont="1" applyFill="1"/>
    <xf numFmtId="0" fontId="33" fillId="35" borderId="0" xfId="0" applyFont="1" applyFill="1" applyAlignment="1">
      <alignment vertical="center" wrapText="1"/>
    </xf>
    <xf numFmtId="0" fontId="34" fillId="35" borderId="0" xfId="0" applyFont="1" applyFill="1" applyAlignment="1">
      <alignment vertical="center" wrapText="1"/>
    </xf>
    <xf numFmtId="0" fontId="15" fillId="25" borderId="2" xfId="0" applyFont="1" applyFill="1" applyBorder="1"/>
    <xf numFmtId="0" fontId="34" fillId="0" borderId="0" xfId="0" applyFont="1" applyAlignment="1">
      <alignment horizontal="center" vertical="center" wrapText="1"/>
    </xf>
    <xf numFmtId="0" fontId="21" fillId="2" borderId="0" xfId="2" applyFont="1" applyFill="1" applyAlignment="1">
      <alignment vertical="center" wrapText="1"/>
    </xf>
    <xf numFmtId="1" fontId="6" fillId="12" borderId="0" xfId="0" applyNumberFormat="1" applyFont="1" applyFill="1" applyAlignment="1">
      <alignment horizontal="center" wrapText="1"/>
    </xf>
    <xf numFmtId="1" fontId="6" fillId="36" borderId="0" xfId="0" applyNumberFormat="1" applyFont="1" applyFill="1" applyAlignment="1">
      <alignment horizontal="center"/>
    </xf>
    <xf numFmtId="1" fontId="32" fillId="12" borderId="9" xfId="0" applyNumberFormat="1" applyFont="1" applyFill="1" applyBorder="1" applyAlignment="1">
      <alignment horizontal="center"/>
    </xf>
    <xf numFmtId="0" fontId="21"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6" fillId="25" borderId="0" xfId="0" applyFont="1" applyFill="1" applyAlignment="1">
      <alignment horizontal="center" wrapText="1"/>
    </xf>
    <xf numFmtId="0" fontId="0" fillId="36" borderId="0" xfId="0" applyFill="1"/>
    <xf numFmtId="0" fontId="21" fillId="13" borderId="0" xfId="2" applyFont="1" applyFill="1" applyAlignment="1">
      <alignment horizontal="center"/>
    </xf>
    <xf numFmtId="0" fontId="6" fillId="30" borderId="0" xfId="0" applyFont="1" applyFill="1" applyAlignment="1">
      <alignment horizontal="center"/>
    </xf>
    <xf numFmtId="0" fontId="0" fillId="30" borderId="0" xfId="0" applyFill="1" applyAlignment="1">
      <alignment vertical="center" wrapText="1"/>
    </xf>
    <xf numFmtId="0" fontId="21" fillId="30" borderId="0" xfId="2" applyFont="1" applyFill="1" applyAlignment="1">
      <alignment horizontal="center"/>
    </xf>
    <xf numFmtId="0" fontId="0" fillId="0" borderId="0" xfId="0" applyAlignment="1">
      <alignment vertical="center" wrapText="1"/>
    </xf>
    <xf numFmtId="2" fontId="21" fillId="11" borderId="0" xfId="2" applyNumberFormat="1" applyFont="1" applyFill="1" applyAlignment="1">
      <alignment horizontal="center"/>
    </xf>
    <xf numFmtId="2" fontId="0" fillId="0" borderId="0" xfId="0" applyNumberFormat="1"/>
    <xf numFmtId="1" fontId="6" fillId="25" borderId="0" xfId="0" applyNumberFormat="1" applyFont="1" applyFill="1" applyAlignment="1">
      <alignment horizontal="center" wrapText="1"/>
    </xf>
    <xf numFmtId="1" fontId="32" fillId="0" borderId="0" xfId="0" applyNumberFormat="1" applyFont="1" applyAlignment="1">
      <alignment horizontal="center"/>
    </xf>
    <xf numFmtId="0" fontId="32" fillId="0" borderId="0" xfId="0" applyFont="1" applyAlignment="1">
      <alignment horizontal="center"/>
    </xf>
    <xf numFmtId="172" fontId="21" fillId="33" borderId="0" xfId="2" applyNumberFormat="1" applyFont="1" applyFill="1"/>
    <xf numFmtId="0" fontId="35" fillId="0" borderId="0" xfId="0" applyFont="1" applyAlignment="1">
      <alignment horizontal="center"/>
    </xf>
    <xf numFmtId="0" fontId="35" fillId="0" borderId="0" xfId="0" applyFont="1"/>
    <xf numFmtId="0" fontId="35" fillId="0" borderId="0" xfId="0" applyFont="1" applyAlignment="1">
      <alignment horizontal="right"/>
    </xf>
    <xf numFmtId="172" fontId="0" fillId="13" borderId="0" xfId="0" applyNumberFormat="1" applyFill="1"/>
    <xf numFmtId="173" fontId="6" fillId="13" borderId="0" xfId="0" applyNumberFormat="1" applyFont="1" applyFill="1" applyAlignment="1">
      <alignment horizontal="center"/>
    </xf>
    <xf numFmtId="172" fontId="21" fillId="13" borderId="0" xfId="2" applyNumberFormat="1" applyFont="1" applyFill="1" applyAlignment="1">
      <alignment horizontal="center"/>
    </xf>
    <xf numFmtId="172" fontId="21"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6" fillId="0" borderId="0" xfId="0" applyFont="1" applyAlignment="1">
      <alignment horizontal="right"/>
    </xf>
    <xf numFmtId="0" fontId="13" fillId="15" borderId="2" xfId="0" applyFont="1" applyFill="1" applyBorder="1"/>
    <xf numFmtId="0" fontId="37" fillId="15" borderId="2" xfId="0" applyFont="1" applyFill="1" applyBorder="1"/>
    <xf numFmtId="0" fontId="6" fillId="15" borderId="0" xfId="0" applyFont="1" applyFill="1" applyAlignment="1">
      <alignment horizontal="center"/>
    </xf>
    <xf numFmtId="1" fontId="38" fillId="15" borderId="0" xfId="0" applyNumberFormat="1" applyFont="1" applyFill="1" applyAlignment="1">
      <alignment horizontal="center"/>
    </xf>
    <xf numFmtId="2" fontId="21" fillId="13" borderId="0" xfId="2" applyNumberFormat="1" applyFont="1" applyFill="1" applyAlignment="1">
      <alignment horizontal="center"/>
    </xf>
    <xf numFmtId="0" fontId="39" fillId="13" borderId="0" xfId="0" applyFont="1" applyFill="1" applyAlignment="1">
      <alignment horizontal="center"/>
    </xf>
    <xf numFmtId="1" fontId="0" fillId="15" borderId="0" xfId="0" applyNumberFormat="1" applyFill="1" applyAlignment="1">
      <alignment horizontal="center" wrapText="1"/>
    </xf>
    <xf numFmtId="1" fontId="35" fillId="25" borderId="0" xfId="0" applyNumberFormat="1" applyFont="1" applyFill="1" applyAlignment="1">
      <alignment horizontal="center"/>
    </xf>
    <xf numFmtId="0" fontId="40"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5" fillId="12" borderId="9" xfId="0" applyNumberFormat="1" applyFont="1" applyFill="1" applyBorder="1" applyAlignment="1">
      <alignment horizontal="center"/>
    </xf>
    <xf numFmtId="1" fontId="32" fillId="25" borderId="0" xfId="0" applyNumberFormat="1" applyFont="1" applyFill="1" applyAlignment="1">
      <alignment horizontal="center"/>
    </xf>
    <xf numFmtId="1" fontId="32" fillId="12" borderId="0" xfId="0" applyNumberFormat="1" applyFont="1" applyFill="1" applyAlignment="1">
      <alignment horizontal="center" wrapText="1"/>
    </xf>
    <xf numFmtId="1" fontId="0" fillId="25" borderId="0" xfId="0" applyNumberFormat="1" applyFill="1" applyAlignment="1">
      <alignment horizontal="center"/>
    </xf>
    <xf numFmtId="2" fontId="21" fillId="30" borderId="0" xfId="2" applyNumberFormat="1" applyFont="1" applyFill="1" applyAlignment="1">
      <alignment horizontal="center"/>
    </xf>
    <xf numFmtId="0" fontId="29" fillId="0" borderId="0" xfId="0" applyFont="1"/>
    <xf numFmtId="1" fontId="41" fillId="12" borderId="0" xfId="0" applyNumberFormat="1" applyFont="1" applyFill="1" applyAlignment="1">
      <alignment horizontal="center" wrapText="1"/>
    </xf>
    <xf numFmtId="1" fontId="35"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0" fillId="0" borderId="0" xfId="0" applyNumberFormat="1" applyFont="1" applyAlignment="1">
      <alignment horizontal="center"/>
    </xf>
    <xf numFmtId="0" fontId="0" fillId="37" borderId="0" xfId="0" applyFill="1"/>
    <xf numFmtId="0" fontId="42" fillId="0" borderId="0" xfId="0" applyFont="1"/>
    <xf numFmtId="0" fontId="43" fillId="38" borderId="0" xfId="0" applyFont="1" applyFill="1"/>
    <xf numFmtId="1" fontId="35" fillId="38" borderId="9" xfId="0" applyNumberFormat="1" applyFont="1" applyFill="1" applyBorder="1" applyAlignment="1">
      <alignment horizontal="center"/>
    </xf>
    <xf numFmtId="172" fontId="35" fillId="38" borderId="9" xfId="0" applyNumberFormat="1" applyFont="1" applyFill="1" applyBorder="1" applyAlignment="1">
      <alignment horizontal="center"/>
    </xf>
    <xf numFmtId="0" fontId="44" fillId="38" borderId="0" xfId="0" applyFont="1" applyFill="1"/>
    <xf numFmtId="0" fontId="29" fillId="15" borderId="0" xfId="0" applyFont="1" applyFill="1"/>
    <xf numFmtId="1" fontId="6"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6" fillId="40" borderId="0" xfId="0" applyFont="1" applyFill="1" applyAlignment="1">
      <alignment horizontal="center"/>
    </xf>
    <xf numFmtId="0" fontId="0" fillId="41" borderId="0" xfId="0" applyFill="1" applyAlignment="1">
      <alignment horizontal="center"/>
    </xf>
    <xf numFmtId="0" fontId="6"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6"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6" fillId="40" borderId="0" xfId="0" applyNumberFormat="1" applyFont="1" applyFill="1" applyAlignment="1">
      <alignment horizontal="center"/>
    </xf>
    <xf numFmtId="0" fontId="6" fillId="16" borderId="2" xfId="0" applyFont="1" applyFill="1" applyBorder="1" applyAlignment="1">
      <alignment horizontal="center"/>
    </xf>
    <xf numFmtId="0" fontId="6"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6" fillId="4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49" fillId="0" borderId="0" xfId="0" applyFont="1"/>
    <xf numFmtId="0" fontId="48" fillId="0" borderId="0" xfId="0" applyFont="1"/>
    <xf numFmtId="0" fontId="49" fillId="0" borderId="0" xfId="0" applyFont="1" applyAlignment="1">
      <alignment horizontal="center"/>
    </xf>
    <xf numFmtId="0" fontId="50" fillId="0" borderId="0" xfId="0" applyFont="1" applyAlignment="1">
      <alignment horizontal="center"/>
    </xf>
    <xf numFmtId="0" fontId="6" fillId="0" borderId="2" xfId="0" applyFont="1" applyBorder="1" applyAlignment="1">
      <alignment horizontal="left"/>
    </xf>
    <xf numFmtId="0" fontId="51" fillId="43" borderId="24" xfId="0" applyFont="1" applyFill="1" applyBorder="1" applyAlignment="1">
      <alignment vertical="center" wrapText="1"/>
    </xf>
    <xf numFmtId="0" fontId="51" fillId="43" borderId="2" xfId="0" applyFont="1" applyFill="1" applyBorder="1" applyAlignment="1">
      <alignment vertical="center" wrapText="1"/>
    </xf>
    <xf numFmtId="0" fontId="53" fillId="0" borderId="2" xfId="0" applyFont="1" applyBorder="1" applyAlignment="1">
      <alignment horizontal="center" wrapText="1" readingOrder="1"/>
    </xf>
    <xf numFmtId="171" fontId="53" fillId="0" borderId="8" xfId="0" applyNumberFormat="1" applyFont="1" applyBorder="1" applyAlignment="1">
      <alignment horizontal="right" wrapText="1" readingOrder="1"/>
    </xf>
    <xf numFmtId="171" fontId="53" fillId="0" borderId="8" xfId="0" applyNumberFormat="1" applyFont="1" applyBorder="1" applyAlignment="1">
      <alignment horizontal="right"/>
    </xf>
    <xf numFmtId="171" fontId="53" fillId="0" borderId="2" xfId="0" applyNumberFormat="1" applyFont="1" applyBorder="1" applyAlignment="1">
      <alignment horizontal="right" wrapText="1" readingOrder="1"/>
    </xf>
    <xf numFmtId="171" fontId="53" fillId="0" borderId="2" xfId="0" applyNumberFormat="1" applyFont="1" applyBorder="1" applyAlignment="1">
      <alignment horizontal="right"/>
    </xf>
    <xf numFmtId="0" fontId="53" fillId="0" borderId="2" xfId="0" applyFont="1" applyBorder="1"/>
    <xf numFmtId="0" fontId="54" fillId="0" borderId="0" xfId="0" applyFont="1"/>
    <xf numFmtId="0" fontId="5" fillId="0" borderId="3" xfId="0" applyFont="1" applyBorder="1"/>
    <xf numFmtId="0" fontId="5" fillId="0" borderId="4" xfId="0" applyFont="1" applyBorder="1"/>
    <xf numFmtId="0" fontId="5" fillId="0" borderId="6" xfId="0" applyFont="1" applyBorder="1"/>
    <xf numFmtId="0" fontId="5" fillId="0" borderId="7" xfId="0" applyFont="1" applyBorder="1"/>
    <xf numFmtId="0" fontId="5" fillId="0" borderId="0" xfId="0" applyFont="1"/>
    <xf numFmtId="2" fontId="5" fillId="0" borderId="9" xfId="0" applyNumberFormat="1" applyFont="1" applyBorder="1"/>
    <xf numFmtId="0" fontId="5" fillId="0" borderId="9" xfId="0" applyFont="1" applyBorder="1"/>
    <xf numFmtId="0" fontId="0" fillId="0" borderId="9" xfId="0" applyBorder="1"/>
    <xf numFmtId="1" fontId="5" fillId="0" borderId="9" xfId="0" applyNumberFormat="1" applyFont="1" applyBorder="1"/>
    <xf numFmtId="1" fontId="21" fillId="0" borderId="9" xfId="0" applyNumberFormat="1" applyFont="1" applyBorder="1"/>
    <xf numFmtId="0" fontId="5" fillId="0" borderId="14" xfId="0" applyFont="1" applyBorder="1"/>
    <xf numFmtId="0" fontId="5" fillId="0" borderId="15" xfId="0" applyFont="1" applyBorder="1"/>
    <xf numFmtId="1" fontId="21" fillId="0" borderId="16" xfId="0" applyNumberFormat="1" applyFont="1" applyBorder="1"/>
    <xf numFmtId="0" fontId="0" fillId="33" borderId="0" xfId="0" applyFill="1" applyAlignment="1">
      <alignment horizontal="center"/>
    </xf>
    <xf numFmtId="0" fontId="0" fillId="33" borderId="0" xfId="0" applyFill="1"/>
    <xf numFmtId="0" fontId="6"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0" fillId="8" borderId="0" xfId="1" applyFill="1" applyBorder="1" applyProtection="1"/>
    <xf numFmtId="0" fontId="11" fillId="9" borderId="0" xfId="0" applyFont="1" applyFill="1"/>
    <xf numFmtId="0" fontId="11"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6" fillId="0" borderId="0" xfId="0" applyNumberFormat="1" applyFont="1" applyAlignment="1">
      <alignment horizontal="center"/>
    </xf>
    <xf numFmtId="0" fontId="57" fillId="46" borderId="30" xfId="3" applyFont="1" applyFill="1" applyBorder="1"/>
    <xf numFmtId="0" fontId="0" fillId="47" borderId="0" xfId="0" applyFill="1"/>
    <xf numFmtId="0" fontId="57" fillId="46" borderId="30" xfId="0" applyFont="1" applyFill="1" applyBorder="1"/>
    <xf numFmtId="0" fontId="30" fillId="2" borderId="0" xfId="2" applyFont="1" applyFill="1"/>
    <xf numFmtId="0" fontId="30" fillId="2" borderId="0" xfId="2" applyFont="1" applyFill="1" applyAlignment="1">
      <alignment vertical="center" wrapText="1"/>
    </xf>
    <xf numFmtId="0" fontId="57" fillId="48" borderId="30" xfId="0" applyFont="1" applyFill="1" applyBorder="1"/>
    <xf numFmtId="0" fontId="58" fillId="46" borderId="30" xfId="3" applyFont="1" applyFill="1" applyBorder="1"/>
    <xf numFmtId="0" fontId="0" fillId="49" borderId="0" xfId="0" applyFill="1"/>
    <xf numFmtId="0" fontId="57" fillId="50" borderId="2" xfId="0" applyFont="1" applyFill="1" applyBorder="1"/>
    <xf numFmtId="0" fontId="58" fillId="50" borderId="2" xfId="0" applyFont="1" applyFill="1" applyBorder="1"/>
    <xf numFmtId="0" fontId="59" fillId="50" borderId="2" xfId="0" applyFont="1" applyFill="1" applyBorder="1"/>
    <xf numFmtId="0" fontId="0" fillId="51" borderId="0" xfId="0" applyFill="1"/>
    <xf numFmtId="0" fontId="58" fillId="48" borderId="30" xfId="0" applyFont="1" applyFill="1" applyBorder="1"/>
    <xf numFmtId="1" fontId="0" fillId="52" borderId="0" xfId="0" applyNumberFormat="1" applyFill="1" applyAlignment="1">
      <alignment horizontal="center"/>
    </xf>
    <xf numFmtId="2" fontId="21" fillId="13" borderId="1" xfId="2" applyNumberFormat="1" applyFont="1" applyFill="1" applyBorder="1" applyAlignment="1">
      <alignment horizontal="center"/>
    </xf>
    <xf numFmtId="0" fontId="57" fillId="53" borderId="30" xfId="0" applyFont="1" applyFill="1" applyBorder="1"/>
    <xf numFmtId="1" fontId="32" fillId="54" borderId="9" xfId="0" applyNumberFormat="1" applyFont="1" applyFill="1" applyBorder="1" applyAlignment="1">
      <alignment horizontal="center"/>
    </xf>
    <xf numFmtId="1" fontId="60" fillId="0" borderId="0" xfId="0" applyNumberFormat="1" applyFont="1" applyAlignment="1">
      <alignment horizontal="center"/>
    </xf>
    <xf numFmtId="2" fontId="21" fillId="13" borderId="31" xfId="2" applyNumberFormat="1" applyFont="1" applyFill="1" applyBorder="1" applyAlignment="1">
      <alignment horizontal="center"/>
    </xf>
    <xf numFmtId="0" fontId="57" fillId="46" borderId="0" xfId="3" applyFont="1" applyFill="1"/>
    <xf numFmtId="1" fontId="0" fillId="55" borderId="0" xfId="0" applyNumberFormat="1" applyFill="1" applyAlignment="1">
      <alignment horizontal="center"/>
    </xf>
    <xf numFmtId="0" fontId="62" fillId="30" borderId="0" xfId="0" applyFont="1" applyFill="1" applyAlignment="1">
      <alignment horizontal="center"/>
    </xf>
    <xf numFmtId="1" fontId="60"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3" fillId="0" borderId="0" xfId="0" applyFont="1"/>
    <xf numFmtId="0" fontId="64" fillId="0" borderId="0" xfId="0" applyFont="1"/>
    <xf numFmtId="0" fontId="64" fillId="57" borderId="0" xfId="0" applyFont="1" applyFill="1"/>
    <xf numFmtId="0" fontId="65" fillId="0" borderId="0" xfId="0" applyFont="1"/>
    <xf numFmtId="0" fontId="65" fillId="57" borderId="0" xfId="0" applyFont="1" applyFill="1"/>
    <xf numFmtId="1" fontId="62" fillId="0" borderId="0" xfId="0" applyNumberFormat="1" applyFont="1" applyAlignment="1">
      <alignment horizontal="center"/>
    </xf>
    <xf numFmtId="2" fontId="21" fillId="58" borderId="0" xfId="2" applyNumberFormat="1" applyFont="1" applyFill="1" applyAlignment="1">
      <alignment horizontal="center"/>
    </xf>
    <xf numFmtId="0" fontId="57" fillId="0" borderId="30" xfId="0" applyFont="1" applyBorder="1"/>
    <xf numFmtId="0" fontId="0" fillId="56" borderId="0" xfId="0" applyFill="1" applyAlignment="1">
      <alignment horizontal="right"/>
    </xf>
    <xf numFmtId="0" fontId="58" fillId="46" borderId="30" xfId="0" applyFont="1" applyFill="1" applyBorder="1"/>
    <xf numFmtId="0" fontId="59" fillId="0" borderId="2" xfId="0" applyFont="1" applyBorder="1"/>
    <xf numFmtId="1" fontId="0" fillId="59" borderId="0" xfId="0" applyNumberFormat="1" applyFill="1" applyAlignment="1">
      <alignment horizontal="center"/>
    </xf>
    <xf numFmtId="1" fontId="32" fillId="12" borderId="0" xfId="0" applyNumberFormat="1" applyFont="1" applyFill="1" applyAlignment="1">
      <alignment horizontal="center"/>
    </xf>
    <xf numFmtId="1" fontId="62" fillId="12" borderId="9" xfId="0" applyNumberFormat="1" applyFont="1" applyFill="1" applyBorder="1" applyAlignment="1">
      <alignment horizontal="center"/>
    </xf>
    <xf numFmtId="0" fontId="59" fillId="60" borderId="2" xfId="0" applyFont="1" applyFill="1" applyBorder="1"/>
    <xf numFmtId="1" fontId="0" fillId="61" borderId="0" xfId="0" applyNumberFormat="1" applyFill="1" applyAlignment="1">
      <alignment horizontal="center"/>
    </xf>
    <xf numFmtId="2" fontId="6" fillId="49" borderId="0" xfId="0" applyNumberFormat="1" applyFont="1" applyFill="1" applyAlignment="1">
      <alignment horizontal="center"/>
    </xf>
    <xf numFmtId="0" fontId="57" fillId="49" borderId="30" xfId="0" applyFont="1" applyFill="1" applyBorder="1"/>
    <xf numFmtId="0" fontId="57" fillId="56" borderId="30" xfId="0" applyFont="1" applyFill="1" applyBorder="1"/>
    <xf numFmtId="0" fontId="58" fillId="49" borderId="30" xfId="0" applyFont="1" applyFill="1" applyBorder="1"/>
    <xf numFmtId="0" fontId="5" fillId="2" borderId="0" xfId="2" applyFill="1" applyAlignment="1">
      <alignment horizontal="right" vertical="center" wrapText="1"/>
    </xf>
    <xf numFmtId="0" fontId="58" fillId="62" borderId="2" xfId="0" applyFont="1" applyFill="1" applyBorder="1"/>
    <xf numFmtId="0" fontId="58"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7" fillId="65" borderId="30" xfId="0" applyFont="1" applyFill="1" applyBorder="1"/>
    <xf numFmtId="0" fontId="59" fillId="66" borderId="2" xfId="0" applyFont="1" applyFill="1" applyBorder="1"/>
    <xf numFmtId="1" fontId="0" fillId="55" borderId="0" xfId="0" applyNumberFormat="1" applyFill="1" applyAlignment="1">
      <alignment horizontal="center" wrapText="1"/>
    </xf>
    <xf numFmtId="0" fontId="59" fillId="69" borderId="2" xfId="0" applyFont="1" applyFill="1" applyBorder="1"/>
    <xf numFmtId="1" fontId="66" fillId="0" borderId="0" xfId="0" applyNumberFormat="1" applyFont="1" applyAlignment="1">
      <alignment horizontal="center"/>
    </xf>
    <xf numFmtId="1" fontId="66"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67" fillId="68" borderId="0" xfId="0" applyFont="1" applyFill="1"/>
    <xf numFmtId="0" fontId="67" fillId="0" borderId="0" xfId="0" applyFont="1"/>
    <xf numFmtId="1" fontId="68" fillId="12" borderId="9" xfId="0" applyNumberFormat="1" applyFont="1" applyFill="1" applyBorder="1" applyAlignment="1">
      <alignment horizontal="center"/>
    </xf>
    <xf numFmtId="0" fontId="69" fillId="13" borderId="0" xfId="0" applyFont="1" applyFill="1" applyAlignment="1">
      <alignment horizontal="center"/>
    </xf>
    <xf numFmtId="1" fontId="68" fillId="67" borderId="0" xfId="0" applyNumberFormat="1" applyFont="1" applyFill="1" applyAlignment="1">
      <alignment horizontal="center"/>
    </xf>
    <xf numFmtId="0" fontId="70" fillId="0" borderId="0" xfId="0" applyFont="1"/>
    <xf numFmtId="0" fontId="71" fillId="0" borderId="0" xfId="4"/>
    <xf numFmtId="22" fontId="71" fillId="0" borderId="0" xfId="4" applyNumberFormat="1"/>
    <xf numFmtId="0" fontId="6" fillId="70" borderId="0" xfId="0" applyFont="1" applyFill="1"/>
    <xf numFmtId="0" fontId="0" fillId="70" borderId="0" xfId="0" applyFill="1"/>
    <xf numFmtId="0" fontId="11" fillId="71" borderId="0" xfId="0" applyFont="1" applyFill="1" applyAlignment="1">
      <alignment horizontal="center"/>
    </xf>
    <xf numFmtId="0" fontId="11"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2" fillId="73" borderId="0" xfId="0" applyFont="1" applyFill="1" applyAlignment="1">
      <alignment horizontal="center"/>
    </xf>
    <xf numFmtId="0" fontId="72"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3" fillId="0" borderId="0" xfId="0" applyNumberFormat="1" applyFont="1" applyAlignment="1">
      <alignment horizontal="right"/>
    </xf>
    <xf numFmtId="0" fontId="73" fillId="0" borderId="0" xfId="0" applyFont="1"/>
    <xf numFmtId="0" fontId="6" fillId="0" borderId="0" xfId="0" applyFont="1" applyAlignment="1">
      <alignment horizontal="center" wrapText="1"/>
    </xf>
    <xf numFmtId="1" fontId="6" fillId="0" borderId="0" xfId="0" applyNumberFormat="1" applyFont="1" applyAlignment="1">
      <alignment horizontal="center" wrapText="1"/>
    </xf>
    <xf numFmtId="0" fontId="6" fillId="65" borderId="0" xfId="0" applyFont="1" applyFill="1" applyAlignment="1">
      <alignment horizontal="center" wrapText="1"/>
    </xf>
    <xf numFmtId="0" fontId="6" fillId="0" borderId="0" xfId="0" applyFont="1" applyAlignment="1">
      <alignment horizontal="right" wrapText="1"/>
    </xf>
    <xf numFmtId="0" fontId="6" fillId="65" borderId="0" xfId="0" applyFont="1" applyFill="1" applyAlignment="1">
      <alignment horizontal="right" wrapText="1"/>
    </xf>
    <xf numFmtId="170" fontId="6" fillId="57" borderId="0" xfId="0" applyNumberFormat="1" applyFont="1" applyFill="1" applyAlignment="1">
      <alignment horizontal="center" wrapText="1"/>
    </xf>
    <xf numFmtId="0" fontId="6" fillId="57" borderId="0" xfId="0" applyFont="1" applyFill="1" applyAlignment="1">
      <alignment horizontal="center" wrapText="1"/>
    </xf>
    <xf numFmtId="0" fontId="6"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4" fillId="0" borderId="26" xfId="0" applyFont="1" applyBorder="1" applyAlignment="1">
      <alignment horizontal="center" wrapText="1"/>
    </xf>
    <xf numFmtId="0" fontId="74" fillId="0" borderId="1" xfId="0" applyFont="1" applyBorder="1" applyAlignment="1">
      <alignment horizontal="center" wrapText="1"/>
    </xf>
    <xf numFmtId="0" fontId="74"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6" fillId="0" borderId="0" xfId="0" applyNumberFormat="1" applyFont="1" applyAlignment="1">
      <alignment horizontal="right" wrapText="1"/>
    </xf>
    <xf numFmtId="1" fontId="75" fillId="74" borderId="0" xfId="3" applyNumberFormat="1" applyFont="1" applyFill="1"/>
    <xf numFmtId="0" fontId="57" fillId="46" borderId="0" xfId="3" applyFont="1" applyFill="1" applyAlignment="1">
      <alignment horizontal="center"/>
    </xf>
    <xf numFmtId="0" fontId="57"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3" fillId="0" borderId="0" xfId="5"/>
    <xf numFmtId="164" fontId="30" fillId="65" borderId="0" xfId="5" applyNumberFormat="1" applyFont="1" applyFill="1" applyAlignment="1">
      <alignment horizontal="right"/>
    </xf>
    <xf numFmtId="164" fontId="3" fillId="65" borderId="0" xfId="5" applyNumberFormat="1" applyFill="1"/>
    <xf numFmtId="0" fontId="3" fillId="0" borderId="0" xfId="5" applyAlignment="1">
      <alignment horizontal="right"/>
    </xf>
    <xf numFmtId="1" fontId="3" fillId="0" borderId="0" xfId="5" applyNumberFormat="1" applyAlignment="1">
      <alignment horizontal="right"/>
    </xf>
    <xf numFmtId="0" fontId="3" fillId="0" borderId="0" xfId="5" applyAlignment="1">
      <alignment horizontal="center"/>
    </xf>
    <xf numFmtId="0" fontId="6" fillId="0" borderId="0" xfId="5" applyFont="1" applyAlignment="1">
      <alignment horizontal="center" wrapText="1"/>
    </xf>
    <xf numFmtId="0" fontId="74" fillId="0" borderId="27" xfId="5" applyFont="1" applyBorder="1" applyAlignment="1">
      <alignment horizontal="center" wrapText="1"/>
    </xf>
    <xf numFmtId="0" fontId="74" fillId="0" borderId="1" xfId="5" applyFont="1" applyBorder="1" applyAlignment="1">
      <alignment horizontal="center" wrapText="1"/>
    </xf>
    <xf numFmtId="0" fontId="74" fillId="0" borderId="26" xfId="5" applyFont="1" applyBorder="1" applyAlignment="1">
      <alignment horizontal="center" wrapText="1"/>
    </xf>
    <xf numFmtId="0" fontId="77" fillId="57" borderId="0" xfId="5" applyFont="1" applyFill="1" applyAlignment="1">
      <alignment horizontal="center" wrapText="1"/>
    </xf>
    <xf numFmtId="0" fontId="77" fillId="51" borderId="0" xfId="5" applyFont="1" applyFill="1" applyAlignment="1">
      <alignment horizontal="center" wrapText="1"/>
    </xf>
    <xf numFmtId="170" fontId="77" fillId="57" borderId="0" xfId="5" applyNumberFormat="1" applyFont="1" applyFill="1" applyAlignment="1">
      <alignment horizontal="center" wrapText="1"/>
    </xf>
    <xf numFmtId="1" fontId="6" fillId="0" borderId="0" xfId="5" applyNumberFormat="1" applyFont="1" applyAlignment="1">
      <alignment horizontal="center" wrapText="1"/>
    </xf>
    <xf numFmtId="1" fontId="6" fillId="0" borderId="0" xfId="5" applyNumberFormat="1" applyFont="1" applyAlignment="1">
      <alignment horizontal="right" wrapText="1"/>
    </xf>
    <xf numFmtId="0" fontId="6" fillId="0" borderId="0" xfId="5" applyFont="1" applyAlignment="1">
      <alignment horizontal="right" wrapText="1"/>
    </xf>
    <xf numFmtId="0" fontId="3" fillId="0" borderId="25" xfId="5" applyBorder="1" applyAlignment="1">
      <alignment horizontal="center"/>
    </xf>
    <xf numFmtId="0" fontId="3" fillId="0" borderId="32" xfId="5" applyBorder="1" applyAlignment="1">
      <alignment horizontal="center"/>
    </xf>
    <xf numFmtId="0" fontId="3" fillId="0" borderId="24" xfId="5" applyBorder="1" applyAlignment="1">
      <alignment horizontal="center"/>
    </xf>
    <xf numFmtId="0" fontId="3" fillId="57" borderId="0" xfId="5" applyFill="1" applyAlignment="1">
      <alignment horizontal="center"/>
    </xf>
    <xf numFmtId="0" fontId="3" fillId="51" borderId="0" xfId="5" applyFill="1" applyAlignment="1">
      <alignment horizontal="center"/>
    </xf>
    <xf numFmtId="1" fontId="3" fillId="0" borderId="0" xfId="5" applyNumberFormat="1"/>
    <xf numFmtId="170" fontId="3" fillId="0" borderId="0" xfId="5" applyNumberFormat="1" applyAlignment="1">
      <alignment horizontal="center"/>
    </xf>
    <xf numFmtId="170" fontId="3" fillId="0" borderId="0" xfId="5" applyNumberFormat="1"/>
    <xf numFmtId="1" fontId="3" fillId="76" borderId="0" xfId="5" applyNumberFormat="1" applyFill="1" applyAlignment="1">
      <alignment horizontal="right"/>
    </xf>
    <xf numFmtId="0" fontId="3" fillId="76" borderId="0" xfId="5" applyFill="1" applyAlignment="1">
      <alignment horizontal="right"/>
    </xf>
    <xf numFmtId="164" fontId="3" fillId="76" borderId="0" xfId="5" applyNumberFormat="1" applyFill="1"/>
    <xf numFmtId="0" fontId="3" fillId="76" borderId="0" xfId="5" applyFill="1"/>
    <xf numFmtId="164" fontId="3" fillId="0" borderId="0" xfId="5" applyNumberFormat="1"/>
    <xf numFmtId="164" fontId="3" fillId="65" borderId="0" xfId="5" applyNumberFormat="1" applyFill="1" applyAlignment="1">
      <alignment horizontal="right"/>
    </xf>
    <xf numFmtId="164" fontId="3" fillId="0" borderId="0" xfId="5" applyNumberFormat="1" applyAlignment="1">
      <alignment horizontal="right"/>
    </xf>
    <xf numFmtId="164" fontId="3" fillId="0" borderId="0" xfId="5" applyNumberFormat="1" applyAlignment="1">
      <alignment horizontal="center"/>
    </xf>
    <xf numFmtId="1" fontId="0" fillId="45" borderId="0" xfId="0" applyNumberFormat="1" applyFill="1" applyAlignment="1">
      <alignment horizontal="center"/>
    </xf>
    <xf numFmtId="0" fontId="2" fillId="0" borderId="0" xfId="5" applyFont="1" applyAlignment="1">
      <alignment horizontal="center"/>
    </xf>
    <xf numFmtId="175" fontId="3" fillId="0" borderId="0" xfId="5" applyNumberFormat="1"/>
    <xf numFmtId="164" fontId="0" fillId="65" borderId="0" xfId="5" applyNumberFormat="1" applyFont="1" applyFill="1" applyAlignment="1">
      <alignment horizontal="right"/>
    </xf>
    <xf numFmtId="1" fontId="3" fillId="76" borderId="0" xfId="5" applyNumberFormat="1" applyFill="1"/>
    <xf numFmtId="0" fontId="6" fillId="0" borderId="0" xfId="5" applyFont="1" applyAlignment="1">
      <alignment wrapText="1"/>
    </xf>
    <xf numFmtId="0" fontId="1" fillId="0" borderId="0" xfId="5" applyFont="1" applyAlignment="1">
      <alignment horizontal="right"/>
    </xf>
    <xf numFmtId="0" fontId="0" fillId="0" borderId="0" xfId="0" applyAlignment="1">
      <alignment horizontal="center"/>
    </xf>
    <xf numFmtId="0" fontId="0" fillId="6" borderId="2" xfId="0" applyFill="1" applyBorder="1" applyAlignment="1">
      <alignment horizontal="center"/>
    </xf>
    <xf numFmtId="0" fontId="7" fillId="7" borderId="2" xfId="0" applyFont="1" applyFill="1" applyBorder="1" applyAlignment="1">
      <alignment horizontal="right"/>
    </xf>
    <xf numFmtId="0" fontId="0" fillId="7" borderId="2" xfId="0" applyFill="1" applyBorder="1" applyAlignment="1">
      <alignment horizontal="right"/>
    </xf>
    <xf numFmtId="0" fontId="45" fillId="16" borderId="2" xfId="0" applyFont="1" applyFill="1" applyBorder="1" applyAlignment="1">
      <alignment horizontal="center"/>
    </xf>
    <xf numFmtId="0" fontId="48" fillId="0" borderId="28" xfId="0" applyFont="1" applyBorder="1" applyAlignment="1">
      <alignment horizontal="left" wrapText="1"/>
    </xf>
    <xf numFmtId="0" fontId="0" fillId="0" borderId="2" xfId="0" applyBorder="1" applyAlignment="1">
      <alignment horizontal="center"/>
    </xf>
    <xf numFmtId="0" fontId="48" fillId="0" borderId="28" xfId="0" applyFont="1" applyBorder="1" applyAlignment="1">
      <alignment horizontal="left" vertical="center" wrapText="1"/>
    </xf>
    <xf numFmtId="0" fontId="0" fillId="0" borderId="10" xfId="0" applyBorder="1" applyAlignment="1">
      <alignment horizontal="center"/>
    </xf>
    <xf numFmtId="0" fontId="47" fillId="16" borderId="2" xfId="0" applyFont="1" applyFill="1" applyBorder="1" applyAlignment="1">
      <alignment horizontal="center"/>
    </xf>
    <xf numFmtId="0" fontId="49" fillId="0" borderId="28" xfId="0" applyFont="1" applyBorder="1" applyAlignment="1">
      <alignment horizontal="left"/>
    </xf>
    <xf numFmtId="0" fontId="55" fillId="0" borderId="23" xfId="0" applyFont="1" applyBorder="1" applyAlignment="1">
      <alignment horizontal="center"/>
    </xf>
    <xf numFmtId="0" fontId="51" fillId="43" borderId="29" xfId="0" applyFont="1" applyFill="1" applyBorder="1" applyAlignment="1">
      <alignment horizontal="center" vertical="center" wrapText="1" readingOrder="1"/>
    </xf>
    <xf numFmtId="0" fontId="52" fillId="0" borderId="28" xfId="0" applyFont="1" applyBorder="1" applyAlignment="1">
      <alignment horizontal="left" vertical="top" wrapText="1"/>
    </xf>
    <xf numFmtId="0" fontId="54" fillId="20" borderId="0" xfId="0" applyFont="1" applyFill="1" applyAlignment="1">
      <alignment horizontal="center"/>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48" dataCellStyle="Normal 5"/>
    <tableColumn id="4" xr3:uid="{E3799C3A-4B31-4D4E-8397-EE7909C117C2}" uniqueName="4" name="MET" queryTableFieldId="4" dataDxfId="47" dataCellStyle="Normal 5"/>
    <tableColumn id="5" xr3:uid="{DE120A99-B5F2-4B1A-A22E-A9BEEE9C55B0}" uniqueName="5" name="cmd" queryTableFieldId="5" dataDxfId="97" dataCellStyle="Normal 5"/>
    <tableColumn id="6" xr3:uid="{19AF7F27-0D9D-4BCE-A533-94878B619783}" uniqueName="6" name="arg" queryTableFieldId="6" dataDxfId="96" dataCellStyle="Normal 5"/>
    <tableColumn id="14" xr3:uid="{662EB3B0-32F5-402D-80A6-61D3564CADAD}" uniqueName="14" name="a" queryTableFieldId="14" dataDxfId="46" dataCellStyle="Normal 5"/>
    <tableColumn id="15" xr3:uid="{9C5328F3-FA02-47D1-83DC-B1DBCA9D89BA}" uniqueName="15" name="cmd+arg" queryTableFieldId="15" dataDxfId="45" dataCellStyle="Normal 5">
      <calculatedColumnFormula>_xlfn.TEXTJOIN("+",TRUE,$C14:$D14)</calculatedColumnFormula>
    </tableColumn>
    <tableColumn id="16" xr3:uid="{F4B97D7B-76B9-472C-BE55-DDF523C91B54}" uniqueName="16" name="Segment_x000a_MET Start" queryTableFieldId="16" dataDxfId="44" dataCellStyle="Normal 5">
      <calculatedColumnFormula>IF($C14="ON",$B14,IF(RIGHT($G13,9)="MET Start","",IF(AND($J14&lt;&gt;0,$J13=1),$B14,$G13)))</calculatedColumnFormula>
    </tableColumn>
    <tableColumn id="17" xr3:uid="{75D7A893-75C0-4A6D-8B25-0B595F60D7D7}" uniqueName="17" name="Segment_x000a_MET End" queryTableFieldId="17" dataDxfId="43" dataCellStyle="Normal 5">
      <calculatedColumnFormula>IF($C14="OFF",$B14,IF($B15="",$B14+31500000,IF($J14=1,$B15,H15)))</calculatedColumnFormula>
    </tableColumn>
    <tableColumn id="18" xr3:uid="{FE7FC58F-1F68-4601-9509-6833A5279466}" uniqueName="18" name="Offset_x000a_fr ON" queryTableFieldId="18" dataDxfId="42" dataCellStyle="Normal 5">
      <calculatedColumnFormula>IF($F14="ON",0,IF(OR(I13="",LEFT(I13,6)="Offset"),"",I13+1))</calculatedColumnFormula>
    </tableColumn>
    <tableColumn id="19" xr3:uid="{2E9987EA-D81C-4D54-957D-0506DB032AC5}" uniqueName="19" name="Offset_x000a_to End" queryTableFieldId="19" dataDxfId="41" dataCellStyle="Normal 5">
      <calculatedColumnFormula>IF($F14="OFF",0,IF(AND($I15&lt;&gt;0,$I14&lt;&gt;9,$F15&lt;&gt;"MAC+111",($B15-$B14)&lt;7200),J15+1,1))</calculatedColumnFormula>
    </tableColumn>
    <tableColumn id="20" xr3:uid="{462F98F8-6248-4D4E-8AD2-6EC7109B2E52}" uniqueName="20" name="b" queryTableFieldId="20" dataDxfId="40" dataCellStyle="Normal 5"/>
    <tableColumn id="21" xr3:uid="{0FBD6B38-B1E1-4E9C-81A5-CA14B2F9084A}" uniqueName="21" name="N1" queryTableFieldId="21" dataDxfId="95" dataCellStyle="Normal 5">
      <calculatedColumnFormula>IF($C14="ON","",IF($C14="N1",$D14,IF(L13="N1","",L13)))</calculatedColumnFormula>
    </tableColumn>
    <tableColumn id="22" xr3:uid="{A5045F8C-7AE0-4763-BBC4-A4CC8954069F}" uniqueName="22" name="N2" queryTableFieldId="22" dataDxfId="94" dataCellStyle="Normal 5">
      <calculatedColumnFormula>IF($C14="ON","",IF($C14="N2",$D14,IF($F14="MAC+103",3,IF($F14="MAC+104",2,IF(M13="N2","",M13)))))</calculatedColumnFormula>
    </tableColumn>
    <tableColumn id="23" xr3:uid="{9B014DB1-4E67-4325-A7FF-B51BB73C144C}" uniqueName="23" name="N3" queryTableFieldId="23" dataDxfId="93" dataCellStyle="Normal 5">
      <calculatedColumnFormula>IF($C14="ON","",IF($C14="N3",$D14,IF(N13="N3","",N13)))</calculatedColumnFormula>
    </tableColumn>
    <tableColumn id="24" xr3:uid="{5660ED6E-B39C-41E9-9202-1674D6671C41}" uniqueName="24" name="STAT" queryTableFieldId="24" dataDxfId="92" dataCellStyle="Normal 5">
      <calculatedColumnFormula>IF($C14="ON","",IF($C14="STAT",$D14,IF(O13="STAT","",O13)))</calculatedColumnFormula>
    </tableColumn>
    <tableColumn id="25" xr3:uid="{12FF0207-469E-4F94-A1F8-EBA478DE17D3}" uniqueName="25" name="N2 disabled" queryTableFieldId="25" dataDxfId="91"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90"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89" dataCellStyle="Normal 5">
      <calculatedColumnFormula>IF($C14="ON","",IF($F14="MAC+102","102",IF(RIGHT(R13,1)="?","",R13)))</calculatedColumnFormula>
    </tableColumn>
    <tableColumn id="28" xr3:uid="{EBBF58EA-A53F-4BBA-A5D0-7897A48C89F7}" uniqueName="28" name="c" queryTableFieldId="28" dataDxfId="39" dataCellStyle="Normal 5"/>
    <tableColumn id="29" xr3:uid="{3369BB1D-534B-4412-A3BF-FEC6F2C8BBA1}" uniqueName="29" name="TrgAssess_x000a_bit/s" queryTableFieldId="29" dataDxfId="38" dataCellStyle="Normal 5">
      <calculatedColumnFormula>IF($M14="",0,T$1/64/$M14)</calculatedColumnFormula>
    </tableColumn>
    <tableColumn id="30" xr3:uid="{55B18AA0-1F9B-467A-B1E9-BA2EE8619FDC}" uniqueName="30" name="BRD_x000a_bit/s" queryTableFieldId="30" dataDxfId="37" dataCellStyle="Normal 5">
      <calculatedColumnFormula>IF($M14="",0,U$1/64/$M14)</calculatedColumnFormula>
    </tableColumn>
    <tableColumn id="31" xr3:uid="{090EFE20-88EA-4674-BD37-BEF6B463F4DB}" uniqueName="31" name="STAT_x000a_bit/s" queryTableFieldId="31" dataDxfId="36" dataCellStyle="Normal 5">
      <calculatedColumnFormula>IF($O14="",0,V$1/$O14)</calculatedColumnFormula>
    </tableColumn>
    <tableColumn id="32" xr3:uid="{B18EAE2A-70E1-4898-A71B-5A3C36BF4EE0}" uniqueName="32" name="N1_x000a_bit/s" queryTableFieldId="32" dataDxfId="35" dataCellStyle="Normal 5">
      <calculatedColumnFormula>IF($L14="",0,W$1/$L14)</calculatedColumnFormula>
    </tableColumn>
    <tableColumn id="33" xr3:uid="{E4838A52-964A-4DE1-B5E0-0AE42E730F68}" uniqueName="33" name="N2_x000a_bit/s" queryTableFieldId="33" dataDxfId="34" dataCellStyle="Normal 5">
      <calculatedColumnFormula>IF(OR($M14="",$P14&lt;&gt;""),0,X$1/$M14)</calculatedColumnFormula>
    </tableColumn>
    <tableColumn id="34" xr3:uid="{FB6527D2-6F60-4531-AE7F-873F0C6AB8D6}" uniqueName="34" name="N2_x000a_bit/s2" queryTableFieldId="34" dataDxfId="33" dataCellStyle="Normal 5">
      <calculatedColumnFormula>IF($M14="",0,IF($Q14="",1,Q14/43200)*X14)</calculatedColumnFormula>
    </tableColumn>
    <tableColumn id="35" xr3:uid="{9E653D53-4500-4832-A022-C911049DBBA5}" uniqueName="35" name="N3_x000a_bit/s" queryTableFieldId="35" dataDxfId="32" dataCellStyle="Normal 5">
      <calculatedColumnFormula>IF($N14="",0,Z$1/$N14)</calculatedColumnFormula>
    </tableColumn>
    <tableColumn id="36" xr3:uid="{8ED16EFB-45C9-4EDA-AF99-AA59788EFFC4}" uniqueName="36" name="d" queryTableFieldId="36" dataDxfId="31" dataCellStyle="Normal 5"/>
    <tableColumn id="37" xr3:uid="{84B53164-2455-4095-84F3-40F1C7BB6A8F}" uniqueName="37" name="DT1" queryTableFieldId="37" dataDxfId="30"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29"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28"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27"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26"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25"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24"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23"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22"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21"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20"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19"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18"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17"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16"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15"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14"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13"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12"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11"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10"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9"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8"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7"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6"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4"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3"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2"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1"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0"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4"/>
  <sheetViews>
    <sheetView topLeftCell="A28" workbookViewId="0">
      <selection activeCell="B44" sqref="B44"/>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s="459" customFormat="1">
      <c r="A45" s="458" t="s">
        <v>4397</v>
      </c>
    </row>
    <row r="46" spans="1:3">
      <c r="A46" s="455"/>
    </row>
    <row r="47" spans="1:3">
      <c r="B47" t="s">
        <v>4398</v>
      </c>
    </row>
    <row r="48" spans="1:3">
      <c r="B48" s="17" t="s">
        <v>4386</v>
      </c>
      <c r="C48" t="s">
        <v>4399</v>
      </c>
    </row>
    <row r="49" spans="2:4">
      <c r="B49" s="17"/>
    </row>
    <row r="50" spans="2:4">
      <c r="B50" t="s">
        <v>4414</v>
      </c>
    </row>
    <row r="51" spans="2:4">
      <c r="B51" s="17" t="s">
        <v>4386</v>
      </c>
      <c r="C51" t="s">
        <v>4400</v>
      </c>
    </row>
    <row r="52" spans="2:4">
      <c r="B52" s="17" t="s">
        <v>4386</v>
      </c>
      <c r="C52" t="s">
        <v>4412</v>
      </c>
    </row>
    <row r="53" spans="2:4">
      <c r="B53" s="17" t="s">
        <v>4386</v>
      </c>
      <c r="C53" t="s">
        <v>4413</v>
      </c>
    </row>
    <row r="54" spans="2:4">
      <c r="B54" s="17"/>
    </row>
    <row r="55" spans="2:4">
      <c r="B55" s="93" t="s">
        <v>4401</v>
      </c>
    </row>
    <row r="56" spans="2:4">
      <c r="B56" s="17" t="s">
        <v>4386</v>
      </c>
      <c r="C56" t="s">
        <v>4408</v>
      </c>
    </row>
    <row r="57" spans="2:4">
      <c r="C57" s="17" t="s">
        <v>4386</v>
      </c>
      <c r="D57" t="s">
        <v>4403</v>
      </c>
    </row>
    <row r="58" spans="2:4">
      <c r="C58" s="17" t="s">
        <v>4386</v>
      </c>
      <c r="D58" t="s">
        <v>4404</v>
      </c>
    </row>
    <row r="59" spans="2:4">
      <c r="C59" s="17" t="s">
        <v>4386</v>
      </c>
      <c r="D59" t="s">
        <v>4405</v>
      </c>
    </row>
    <row r="60" spans="2:4">
      <c r="C60" s="17" t="s">
        <v>4386</v>
      </c>
      <c r="D60" t="s">
        <v>4406</v>
      </c>
    </row>
    <row r="61" spans="2:4">
      <c r="C61" s="17" t="s">
        <v>4386</v>
      </c>
      <c r="D61" t="s">
        <v>4407</v>
      </c>
    </row>
    <row r="62" spans="2:4">
      <c r="B62" s="17" t="s">
        <v>4386</v>
      </c>
      <c r="C62" t="s">
        <v>4402</v>
      </c>
    </row>
    <row r="64" spans="2:4">
      <c r="B64" t="s">
        <v>4409</v>
      </c>
    </row>
    <row r="65" spans="1:3">
      <c r="B65" s="17" t="s">
        <v>4386</v>
      </c>
      <c r="C65" t="s">
        <v>4410</v>
      </c>
    </row>
    <row r="67" spans="1:3">
      <c r="B67" t="s">
        <v>4411</v>
      </c>
    </row>
    <row r="68" spans="1:3">
      <c r="B68" s="17" t="s">
        <v>4386</v>
      </c>
      <c r="C68" t="s">
        <v>4415</v>
      </c>
    </row>
    <row r="69" spans="1:3">
      <c r="B69" s="17"/>
    </row>
    <row r="71" spans="1:3" s="459" customFormat="1">
      <c r="A71" s="458" t="s">
        <v>4396</v>
      </c>
    </row>
    <row r="72" spans="1:3">
      <c r="A72" s="455"/>
    </row>
    <row r="73" spans="1:3">
      <c r="B73" t="s">
        <v>4417</v>
      </c>
    </row>
    <row r="74" spans="1:3">
      <c r="B7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zoomScale="85" zoomScaleNormal="85" workbookViewId="0">
      <pane xSplit="5" ySplit="13" topLeftCell="F104" activePane="bottomRight" state="frozen"/>
      <selection pane="topRight" activeCell="F1" sqref="F1"/>
      <selection pane="bottomLeft" activeCell="A14" sqref="A14"/>
      <selection pane="bottomRight" activeCell="B3" sqref="B3"/>
    </sheetView>
  </sheetViews>
  <sheetFormatPr defaultRowHeight="15"/>
  <cols>
    <col min="1" max="1" width="33.1406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41"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t="str" cm="1">
        <f t="array" aca="1" ref="H6" ca="1">MET2UTC(B73)</f>
        <v>2023-270/08:45:59.832327</v>
      </c>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t="str" cm="1">
        <f t="array" aca="1" ref="H7" ca="1">MET2UTC(B74)</f>
        <v>2025-207/17:34:00.456705</v>
      </c>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8512</v>
      </c>
      <c r="H13" s="518" t="s">
        <v>8515</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IF($F14="ON",0,IF(OR(I13="",LEFT(I13,6)="Offset"),"",I13+1))</f>
        <v/>
      </c>
      <c r="J14" s="508">
        <f t="shared" ref="J14:J45" si="9">IF($F14="OFF",0,IF(AND($I15&lt;&gt;0,$I14&lt;&gt;9,$F15&lt;&gt;"MAC+111",($B15-$B14)&lt;7200),J15+1,1))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row>
    <row r="15" spans="1:58">
      <c r="A15" s="543"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row>
    <row r="16" spans="1:58">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row>
    <row r="17" spans="1:58">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row>
    <row r="18" spans="1:58">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row>
    <row r="19" spans="1:58">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row>
    <row r="20" spans="1:58">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row>
    <row r="21" spans="1:58">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row>
    <row r="22" spans="1:58">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row>
    <row r="23" spans="1:58">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row>
    <row r="24" spans="1:58">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row>
    <row r="25" spans="1:58">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row>
    <row r="26" spans="1:58">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row>
    <row r="27" spans="1:58">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row>
    <row r="28" spans="1:58">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row>
    <row r="29" spans="1:58">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row>
    <row r="30" spans="1:58">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row>
    <row r="31" spans="1:58">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row>
    <row r="32" spans="1:58">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row>
    <row r="33" spans="1:58">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row>
    <row r="34" spans="1:58">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row>
    <row r="35" spans="1:58">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row>
    <row r="36" spans="1:58">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row>
    <row r="37" spans="1:58">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row>
    <row r="38" spans="1:58">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row>
    <row r="39" spans="1:58">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row>
    <row r="40" spans="1:58">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row>
    <row r="41" spans="1:58">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row>
    <row r="42" spans="1:58">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row>
    <row r="43" spans="1:58">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row>
    <row r="44" spans="1:58">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row>
    <row r="45" spans="1:58">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row>
    <row r="46" spans="1:58">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IF($F46="ON",0,IF(OR(I45="",LEFT(I45,6)="Offset"),"",I45+1))</f>
        <v>1</v>
      </c>
      <c r="J46" s="508">
        <f t="shared" ref="J46:J77" si="59">IF($F46="OFF",0,IF(AND($I47&lt;&gt;0,$I46&lt;&gt;9,$F47&lt;&gt;"MAC+111",($B47-$B46)&lt;7200),J47+1,1))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row>
    <row r="47" spans="1:58">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row>
    <row r="48" spans="1:58">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row>
    <row r="49" spans="1:58">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row>
    <row r="50" spans="1:58">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row>
    <row r="51" spans="1:58">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row>
    <row r="52" spans="1:58">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row>
    <row r="53" spans="1:58">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row>
    <row r="54" spans="1:58">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row>
    <row r="55" spans="1:58">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row>
    <row r="56" spans="1:58">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row>
    <row r="57" spans="1:58">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row>
    <row r="58" spans="1:58">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row>
    <row r="59" spans="1:58">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row>
    <row r="60" spans="1:58">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row>
    <row r="61" spans="1:58">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row>
    <row r="62" spans="1:58">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row>
    <row r="63" spans="1:58">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row>
    <row r="64" spans="1:58">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row>
    <row r="65" spans="1:58">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row>
    <row r="66" spans="1:58">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row>
    <row r="67" spans="1:58">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row>
    <row r="68" spans="1:58">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row>
    <row r="69" spans="1:58">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row>
    <row r="70" spans="1:58">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row>
    <row r="71" spans="1:58">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row>
    <row r="72" spans="1:58">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row>
    <row r="73" spans="1:58">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row>
    <row r="74" spans="1:58">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row>
    <row r="75" spans="1:58">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row>
    <row r="76" spans="1:58">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row>
    <row r="77" spans="1:58">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row>
    <row r="78" spans="1:58">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IF($F78="ON",0,IF(OR(I77="",LEFT(I77,6)="Offset"),"",I77+1))</f>
        <v>18</v>
      </c>
      <c r="J78" s="508">
        <f t="shared" ref="J78:J109" si="109">IF($F78="OFF",0,IF(AND($I79&lt;&gt;0,$I78&lt;&gt;9,$F79&lt;&gt;"MAC+111",($B79-$B78)&lt;7200),J79+1,1))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row>
    <row r="79" spans="1:58">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row>
    <row r="80" spans="1:58">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row>
    <row r="81" spans="1:58">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row>
    <row r="82" spans="1:58">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row>
    <row r="83" spans="1:58">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row>
    <row r="84" spans="1:58">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row>
    <row r="85" spans="1:58">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row>
    <row r="86" spans="1:58">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row>
    <row r="87" spans="1:58">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row>
    <row r="88" spans="1:58">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row>
    <row r="89" spans="1:58">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row>
    <row r="90" spans="1:58">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row>
    <row r="91" spans="1:58">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row>
    <row r="92" spans="1:58">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row>
    <row r="93" spans="1:58">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row>
    <row r="94" spans="1:58">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row>
    <row r="95" spans="1:58">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row>
    <row r="96" spans="1:58">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row>
    <row r="97" spans="1:58">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row>
    <row r="98" spans="1:58">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row>
    <row r="99" spans="1:58">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row>
    <row r="100" spans="1:58">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row>
    <row r="101" spans="1:58">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row>
    <row r="102" spans="1:58">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58">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58">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58">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58">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58">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58">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58">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58">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IF($F110="ON",0,IF(OR(I109="",LEFT(I109,6)="Offset"),"",I109+1))</f>
        <v>11</v>
      </c>
      <c r="J110" s="508">
        <f t="shared" ref="J110:J122" si="159">IF($F110="OFF",0,IF(AND($I111&lt;&gt;0,$I110&lt;&gt;9,$F111&lt;&gt;"MAC+111",($B111-$B110)&lt;7200),J111+1,1))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41"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58">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58">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102" priority="4">
      <formula>AB$12&lt;&gt;""</formula>
    </cfRule>
  </conditionalFormatting>
  <conditionalFormatting sqref="AC8:BF8">
    <cfRule type="expression" dxfId="101" priority="5">
      <formula>AC8&lt;&gt;(AB8+1)</formula>
    </cfRule>
  </conditionalFormatting>
  <conditionalFormatting sqref="A1:BF2 C3:BF5 A6:BF1048576">
    <cfRule type="expression" dxfId="100" priority="6">
      <formula>OR($C1="ON",FALSE)</formula>
    </cfRule>
  </conditionalFormatting>
  <conditionalFormatting sqref="A14:BF1048476">
    <cfRule type="expression" dxfId="99" priority="3">
      <formula>OR($F14="OFF",AND($F15&lt;&gt;"OFF",$J14=1))</formula>
    </cfRule>
  </conditionalFormatting>
  <conditionalFormatting sqref="A14:D1048576">
    <cfRule type="expression" dxfId="98"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4" t="s">
        <v>1</v>
      </c>
      <c r="I3" s="544"/>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5" t="s">
        <v>22</v>
      </c>
      <c r="G21" s="545"/>
      <c r="H21" s="545"/>
      <c r="I21" s="545"/>
    </row>
    <row r="22" spans="3:25" ht="18">
      <c r="F22" s="546" t="s">
        <v>23</v>
      </c>
      <c r="G22" s="546"/>
      <c r="H22" s="546"/>
      <c r="I22" s="29">
        <v>20</v>
      </c>
      <c r="O22" s="30"/>
    </row>
    <row r="23" spans="3:25" ht="15">
      <c r="F23" s="547" t="s">
        <v>24</v>
      </c>
      <c r="G23" s="547"/>
      <c r="H23" s="547"/>
      <c r="I23" s="29">
        <f>0.7*I22/10</f>
        <v>1.4</v>
      </c>
    </row>
    <row r="24" spans="3:25" ht="15">
      <c r="F24" s="547" t="s">
        <v>25</v>
      </c>
      <c r="G24" s="547"/>
      <c r="H24" s="547"/>
      <c r="I24" s="29">
        <v>2</v>
      </c>
    </row>
    <row r="25" spans="3:25" ht="15">
      <c r="F25" s="547" t="s">
        <v>26</v>
      </c>
      <c r="G25" s="547"/>
      <c r="H25" s="547"/>
      <c r="I25" s="29">
        <v>0</v>
      </c>
    </row>
    <row r="26" spans="3:25" ht="15">
      <c r="F26" s="547" t="s">
        <v>27</v>
      </c>
      <c r="G26" s="547"/>
      <c r="H26" s="547"/>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4" t="s">
        <v>1</v>
      </c>
      <c r="I33" s="544"/>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7" t="s">
        <v>24</v>
      </c>
      <c r="G53" s="547"/>
      <c r="H53" s="547"/>
      <c r="I53" s="29">
        <f>0.7*I52/10</f>
        <v>1.4</v>
      </c>
      <c r="K53">
        <v>3</v>
      </c>
      <c r="L53">
        <v>6</v>
      </c>
      <c r="M53" t="str">
        <f>IF((K53/L53)=INT(K53/L53), "good", "bad")</f>
        <v>bad</v>
      </c>
    </row>
    <row r="54" spans="3:25" ht="15">
      <c r="F54" s="547" t="s">
        <v>25</v>
      </c>
      <c r="G54" s="547"/>
      <c r="H54" s="547"/>
      <c r="I54" s="29">
        <v>2</v>
      </c>
      <c r="K54">
        <v>1</v>
      </c>
      <c r="L54">
        <v>2</v>
      </c>
      <c r="M54" t="str">
        <f>IF((K54/L54)=INT(K54/L54), "good", "bad")</f>
        <v>bad</v>
      </c>
    </row>
    <row r="55" spans="3:25" ht="15">
      <c r="F55" s="547" t="s">
        <v>26</v>
      </c>
      <c r="G55" s="547"/>
      <c r="H55" s="547"/>
      <c r="I55" s="29">
        <v>0</v>
      </c>
      <c r="K55">
        <v>1</v>
      </c>
      <c r="L55">
        <v>2</v>
      </c>
      <c r="M55" t="str">
        <f>IF((K55/L55)=INT(K55/L55), "good", "bad")</f>
        <v>bad</v>
      </c>
    </row>
    <row r="56" spans="3:25" ht="15">
      <c r="F56" s="547" t="s">
        <v>27</v>
      </c>
      <c r="G56" s="547"/>
      <c r="H56" s="547"/>
      <c r="I56" s="29">
        <v>0</v>
      </c>
    </row>
    <row r="58" spans="3:25" ht="15">
      <c r="Y58" t="s">
        <v>28</v>
      </c>
    </row>
    <row r="60" spans="3:25" ht="15">
      <c r="C60" s="6" t="s">
        <v>35</v>
      </c>
      <c r="D60" s="7"/>
      <c r="E60" s="6"/>
      <c r="F60" s="8"/>
      <c r="G60" s="8"/>
      <c r="H60" s="8"/>
      <c r="I60" s="9"/>
      <c r="J60" s="9"/>
      <c r="K60" s="8"/>
      <c r="L60" s="8"/>
      <c r="M60" s="8"/>
      <c r="N60" s="10"/>
      <c r="O60" s="9"/>
      <c r="P60" s="9"/>
    </row>
    <row r="61" spans="3:25" ht="15">
      <c r="H61" s="544" t="s">
        <v>1</v>
      </c>
      <c r="I61" s="544"/>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5" t="s">
        <v>22</v>
      </c>
      <c r="G79" s="545"/>
      <c r="H79" s="545"/>
      <c r="I79" s="545"/>
    </row>
    <row r="80" spans="6:18" ht="18">
      <c r="F80" s="546" t="s">
        <v>23</v>
      </c>
      <c r="G80" s="546"/>
      <c r="H80" s="546"/>
      <c r="I80" s="29">
        <v>20</v>
      </c>
      <c r="O80" s="30"/>
    </row>
    <row r="81" spans="3:25" ht="15">
      <c r="F81" s="547" t="s">
        <v>24</v>
      </c>
      <c r="G81" s="547"/>
      <c r="H81" s="547"/>
      <c r="I81" s="29">
        <f>0.7*I80/10</f>
        <v>1.4</v>
      </c>
    </row>
    <row r="82" spans="3:25" ht="15">
      <c r="F82" s="547" t="s">
        <v>25</v>
      </c>
      <c r="G82" s="547"/>
      <c r="H82" s="547"/>
      <c r="I82" s="29">
        <v>2</v>
      </c>
    </row>
    <row r="83" spans="3:25" ht="15">
      <c r="F83" s="547" t="s">
        <v>26</v>
      </c>
      <c r="G83" s="547"/>
      <c r="H83" s="547"/>
      <c r="I83" s="29">
        <v>0</v>
      </c>
    </row>
    <row r="84" spans="3:25" ht="15">
      <c r="F84" s="547" t="s">
        <v>27</v>
      </c>
      <c r="G84" s="547"/>
      <c r="H84" s="547"/>
      <c r="I84" s="29">
        <v>0</v>
      </c>
    </row>
    <row r="86" spans="3:25" ht="15">
      <c r="Y86" t="s">
        <v>28</v>
      </c>
    </row>
    <row r="90" spans="3:25" ht="15">
      <c r="C90" s="6" t="s">
        <v>36</v>
      </c>
      <c r="D90" s="7"/>
      <c r="E90" s="6"/>
      <c r="F90" s="8"/>
      <c r="G90" s="8"/>
      <c r="H90" s="8"/>
      <c r="I90" s="9"/>
      <c r="J90" s="9"/>
      <c r="K90" s="8"/>
      <c r="L90" s="8"/>
      <c r="M90" s="8"/>
      <c r="N90" s="10"/>
      <c r="O90" s="9"/>
      <c r="P90" s="9"/>
    </row>
    <row r="91" spans="3:25" ht="15">
      <c r="H91" s="544" t="s">
        <v>1</v>
      </c>
      <c r="I91" s="544"/>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5" t="s">
        <v>22</v>
      </c>
      <c r="G109" s="545"/>
      <c r="H109" s="545"/>
      <c r="I109" s="545"/>
    </row>
    <row r="110" spans="6:18" ht="18">
      <c r="F110" s="546" t="s">
        <v>23</v>
      </c>
      <c r="G110" s="546"/>
      <c r="H110" s="546"/>
      <c r="I110" s="29">
        <v>20</v>
      </c>
      <c r="O110" s="30"/>
    </row>
    <row r="111" spans="6:18" ht="15">
      <c r="F111" s="547" t="s">
        <v>24</v>
      </c>
      <c r="G111" s="547"/>
      <c r="H111" s="547"/>
      <c r="I111" s="29">
        <f>0.7*I110/10</f>
        <v>1.4</v>
      </c>
    </row>
    <row r="112" spans="6:18" ht="15">
      <c r="F112" s="547" t="s">
        <v>25</v>
      </c>
      <c r="G112" s="547"/>
      <c r="H112" s="547"/>
      <c r="I112" s="29">
        <v>2</v>
      </c>
    </row>
    <row r="113" spans="3:17" ht="15">
      <c r="F113" s="547" t="s">
        <v>26</v>
      </c>
      <c r="G113" s="547"/>
      <c r="H113" s="547"/>
      <c r="I113" s="29">
        <v>2</v>
      </c>
    </row>
    <row r="114" spans="3:17" ht="15">
      <c r="F114" s="547" t="s">
        <v>27</v>
      </c>
      <c r="G114" s="547"/>
      <c r="H114" s="547"/>
      <c r="I114" s="29">
        <v>2</v>
      </c>
    </row>
    <row r="119" spans="3:17" ht="15">
      <c r="C119" s="6" t="s">
        <v>38</v>
      </c>
      <c r="D119" s="7"/>
      <c r="E119" s="6"/>
      <c r="F119" s="8"/>
      <c r="G119" s="8"/>
      <c r="H119" s="8"/>
      <c r="I119" s="9"/>
      <c r="J119" s="9"/>
      <c r="K119" s="8"/>
      <c r="L119" s="8"/>
      <c r="M119" s="8"/>
      <c r="N119" s="10"/>
      <c r="O119" s="9"/>
      <c r="P119" s="9"/>
    </row>
    <row r="120" spans="3:17" ht="15">
      <c r="H120" s="544" t="s">
        <v>1</v>
      </c>
      <c r="I120" s="544"/>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5" t="s">
        <v>22</v>
      </c>
      <c r="G138" s="545"/>
      <c r="H138" s="545"/>
      <c r="I138" s="545"/>
    </row>
    <row r="139" spans="6:18" ht="18">
      <c r="F139" s="546" t="s">
        <v>23</v>
      </c>
      <c r="G139" s="546"/>
      <c r="H139" s="546"/>
      <c r="I139" s="29">
        <v>20</v>
      </c>
      <c r="O139" s="30"/>
    </row>
    <row r="140" spans="6:18" ht="15">
      <c r="F140" s="547" t="s">
        <v>24</v>
      </c>
      <c r="G140" s="547"/>
      <c r="H140" s="547"/>
      <c r="I140" s="29">
        <f>0.7*I139/10</f>
        <v>1.4</v>
      </c>
    </row>
    <row r="141" spans="6:18" ht="15">
      <c r="F141" s="547" t="s">
        <v>25</v>
      </c>
      <c r="G141" s="547"/>
      <c r="H141" s="547"/>
      <c r="I141" s="29">
        <v>2</v>
      </c>
    </row>
    <row r="142" spans="6:18" ht="15">
      <c r="F142" s="547" t="s">
        <v>26</v>
      </c>
      <c r="G142" s="547"/>
      <c r="H142" s="547"/>
      <c r="I142" s="29">
        <v>1</v>
      </c>
    </row>
    <row r="143" spans="6:18" ht="15">
      <c r="F143" s="547" t="s">
        <v>27</v>
      </c>
      <c r="G143" s="547"/>
      <c r="H143" s="547"/>
      <c r="I143" s="29">
        <v>1</v>
      </c>
    </row>
    <row r="149" spans="3:17" ht="15">
      <c r="C149" s="6" t="s">
        <v>39</v>
      </c>
      <c r="D149" s="7"/>
      <c r="E149" s="6"/>
      <c r="F149" s="8"/>
      <c r="G149" s="8"/>
      <c r="H149" s="8"/>
      <c r="I149" s="9"/>
      <c r="J149" s="9"/>
      <c r="K149" s="8"/>
      <c r="L149" s="8"/>
      <c r="M149" s="8"/>
      <c r="N149" s="10"/>
      <c r="O149" s="9"/>
      <c r="P149" s="9"/>
    </row>
    <row r="150" spans="3:17" ht="15">
      <c r="H150" s="544" t="s">
        <v>1</v>
      </c>
      <c r="I150" s="544"/>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5" t="s">
        <v>22</v>
      </c>
      <c r="G168" s="545"/>
      <c r="H168" s="545"/>
      <c r="I168" s="545"/>
    </row>
    <row r="169" spans="6:18" ht="18">
      <c r="F169" s="546" t="s">
        <v>23</v>
      </c>
      <c r="G169" s="546"/>
      <c r="H169" s="546"/>
      <c r="I169" s="29">
        <v>20</v>
      </c>
      <c r="O169" s="30"/>
    </row>
    <row r="170" spans="6:18" ht="15">
      <c r="F170" s="547" t="s">
        <v>24</v>
      </c>
      <c r="G170" s="547"/>
      <c r="H170" s="547"/>
      <c r="I170" s="29">
        <f>0.7*I169/10</f>
        <v>1.4</v>
      </c>
    </row>
    <row r="171" spans="6:18" ht="15">
      <c r="F171" s="547" t="s">
        <v>25</v>
      </c>
      <c r="G171" s="547"/>
      <c r="H171" s="547"/>
      <c r="I171" s="29">
        <v>2</v>
      </c>
    </row>
    <row r="172" spans="6:18" ht="15">
      <c r="F172" s="547" t="s">
        <v>26</v>
      </c>
      <c r="G172" s="547"/>
      <c r="H172" s="547"/>
      <c r="I172" s="29">
        <v>1</v>
      </c>
    </row>
    <row r="173" spans="6:18" ht="15">
      <c r="F173" s="547" t="s">
        <v>27</v>
      </c>
      <c r="G173" s="547"/>
      <c r="H173" s="547"/>
      <c r="I173" s="29">
        <v>1</v>
      </c>
    </row>
    <row r="178" spans="3:17" ht="15">
      <c r="C178" s="6" t="s">
        <v>40</v>
      </c>
      <c r="D178" s="7"/>
      <c r="E178" s="6"/>
      <c r="F178" s="8"/>
      <c r="G178" s="8"/>
      <c r="H178" s="8"/>
      <c r="I178" s="9"/>
      <c r="J178" s="9"/>
      <c r="K178" s="8"/>
      <c r="L178" s="8"/>
      <c r="M178" s="8"/>
      <c r="N178" s="10"/>
      <c r="O178" s="9"/>
      <c r="P178" s="9"/>
    </row>
    <row r="179" spans="3:17" ht="15">
      <c r="H179" s="544" t="s">
        <v>1</v>
      </c>
      <c r="I179" s="544"/>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5" t="s">
        <v>22</v>
      </c>
      <c r="G197" s="545"/>
      <c r="H197" s="545"/>
      <c r="I197" s="545"/>
    </row>
    <row r="198" spans="6:19" ht="18">
      <c r="F198" s="546" t="s">
        <v>23</v>
      </c>
      <c r="G198" s="546"/>
      <c r="H198" s="546"/>
      <c r="I198" s="29">
        <v>20</v>
      </c>
      <c r="O198" s="30"/>
    </row>
    <row r="199" spans="6:19" ht="15">
      <c r="F199" s="547" t="s">
        <v>24</v>
      </c>
      <c r="G199" s="547"/>
      <c r="H199" s="547"/>
      <c r="I199" s="29">
        <f>0.7*I198/10</f>
        <v>1.4</v>
      </c>
    </row>
    <row r="200" spans="6:19" ht="15">
      <c r="F200" s="547" t="s">
        <v>25</v>
      </c>
      <c r="G200" s="547"/>
      <c r="H200" s="547"/>
      <c r="I200" s="29">
        <v>2</v>
      </c>
    </row>
    <row r="201" spans="6:19" ht="15">
      <c r="F201" s="547" t="s">
        <v>26</v>
      </c>
      <c r="G201" s="547"/>
      <c r="H201" s="547"/>
      <c r="I201" s="29">
        <v>1</v>
      </c>
    </row>
    <row r="202" spans="6:19" ht="15">
      <c r="F202" s="547" t="s">
        <v>27</v>
      </c>
      <c r="G202" s="547"/>
      <c r="H202" s="547"/>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4" t="s">
        <v>1</v>
      </c>
      <c r="I219" s="544"/>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5" t="s">
        <v>22</v>
      </c>
      <c r="G237" s="545"/>
      <c r="H237" s="545"/>
      <c r="I237" s="545"/>
    </row>
    <row r="238" spans="6:19" ht="18">
      <c r="F238" s="546" t="s">
        <v>23</v>
      </c>
      <c r="G238" s="546"/>
      <c r="H238" s="546"/>
      <c r="I238" s="29">
        <v>20</v>
      </c>
      <c r="O238" s="30"/>
      <c r="P238" s="40" t="s">
        <v>47</v>
      </c>
      <c r="Q238" s="41"/>
      <c r="R238" s="42">
        <f>P235</f>
        <v>643.01035679999995</v>
      </c>
      <c r="S238" s="43" t="s">
        <v>42</v>
      </c>
    </row>
    <row r="239" spans="6:19" ht="15">
      <c r="F239" s="547" t="s">
        <v>24</v>
      </c>
      <c r="G239" s="547"/>
      <c r="H239" s="547"/>
      <c r="I239" s="29">
        <f>0.7*I238/10</f>
        <v>1.4</v>
      </c>
    </row>
    <row r="240" spans="6:19" ht="15">
      <c r="F240" s="547" t="s">
        <v>25</v>
      </c>
      <c r="G240" s="547"/>
      <c r="H240" s="547"/>
      <c r="I240" s="29">
        <v>2</v>
      </c>
    </row>
    <row r="241" spans="3:19" ht="15">
      <c r="F241" s="547" t="s">
        <v>26</v>
      </c>
      <c r="G241" s="547"/>
      <c r="H241" s="547"/>
      <c r="I241" s="29">
        <v>20</v>
      </c>
    </row>
    <row r="242" spans="3:19" ht="15">
      <c r="F242" s="547" t="s">
        <v>27</v>
      </c>
      <c r="G242" s="547"/>
      <c r="H242" s="547"/>
      <c r="I242" s="29">
        <v>8</v>
      </c>
    </row>
    <row r="246" spans="3:19" ht="15">
      <c r="C246" s="6" t="s">
        <v>48</v>
      </c>
      <c r="D246" s="7"/>
      <c r="E246" s="6"/>
      <c r="F246" s="8"/>
      <c r="G246" s="8"/>
      <c r="H246" s="8"/>
      <c r="I246" s="9"/>
      <c r="J246" s="9"/>
      <c r="K246" s="8"/>
      <c r="L246" s="8"/>
      <c r="M246" s="8"/>
      <c r="N246" s="10"/>
      <c r="O246" s="9"/>
      <c r="P246" s="9"/>
    </row>
    <row r="247" spans="3:19" ht="15">
      <c r="H247" s="544" t="s">
        <v>1</v>
      </c>
      <c r="I247" s="544"/>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5" t="s">
        <v>22</v>
      </c>
      <c r="G265" s="545"/>
      <c r="H265" s="545"/>
      <c r="I265" s="545"/>
      <c r="K265" s="54" t="s">
        <v>58</v>
      </c>
      <c r="L265" s="55"/>
      <c r="M265" s="55"/>
      <c r="N265" s="56"/>
      <c r="O265" s="57" t="s">
        <v>59</v>
      </c>
      <c r="P265" s="57" t="s">
        <v>60</v>
      </c>
      <c r="Q265" s="58"/>
      <c r="S265" s="59" t="s">
        <v>61</v>
      </c>
      <c r="T265" s="60"/>
      <c r="U265" s="55"/>
      <c r="V265" s="56"/>
      <c r="W265" s="57" t="s">
        <v>59</v>
      </c>
      <c r="X265" s="57" t="s">
        <v>60</v>
      </c>
      <c r="Y265" s="58"/>
    </row>
    <row r="266" spans="6:25" ht="18">
      <c r="F266" s="546" t="s">
        <v>23</v>
      </c>
      <c r="G266" s="546"/>
      <c r="H266" s="546"/>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7" t="s">
        <v>24</v>
      </c>
      <c r="G267" s="547"/>
      <c r="H267" s="547"/>
      <c r="I267" s="29">
        <f>0.7*I266/10</f>
        <v>1.4</v>
      </c>
      <c r="K267" s="61"/>
      <c r="L267" s="46"/>
      <c r="M267" s="46"/>
      <c r="N267" s="46"/>
      <c r="O267" s="66" t="s">
        <v>62</v>
      </c>
      <c r="P267" s="46"/>
      <c r="Q267" s="64"/>
      <c r="S267" s="61"/>
      <c r="T267" s="65"/>
      <c r="U267" s="46"/>
      <c r="V267" s="46"/>
      <c r="W267" s="66" t="s">
        <v>62</v>
      </c>
      <c r="X267" s="62"/>
      <c r="Y267" s="64"/>
    </row>
    <row r="268" spans="6:25" ht="15">
      <c r="F268" s="547" t="s">
        <v>25</v>
      </c>
      <c r="G268" s="547"/>
      <c r="H268" s="547"/>
      <c r="I268" s="29">
        <v>2</v>
      </c>
      <c r="K268" s="61"/>
      <c r="L268" s="67"/>
      <c r="M268" s="46"/>
      <c r="N268" s="46"/>
      <c r="O268" s="68">
        <f>Q238/86400</f>
        <v>0</v>
      </c>
      <c r="P268" s="46"/>
      <c r="Q268" s="64"/>
      <c r="S268" s="61"/>
      <c r="T268" s="69"/>
      <c r="U268" s="46"/>
      <c r="V268" s="46"/>
      <c r="W268" s="68">
        <f>Y238/86400</f>
        <v>0</v>
      </c>
      <c r="X268" s="46"/>
      <c r="Y268" s="64"/>
    </row>
    <row r="269" spans="6:25" ht="15">
      <c r="F269" s="547" t="s">
        <v>63</v>
      </c>
      <c r="G269" s="547"/>
      <c r="H269" s="547"/>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7" t="s">
        <v>71</v>
      </c>
      <c r="G270" s="547"/>
      <c r="H270" s="547"/>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88"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87"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86"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85"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84"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83"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82"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81"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80"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zoomScaleNormal="100" workbookViewId="0">
      <pane ySplit="2970" topLeftCell="A388" activePane="bottomLeft"/>
      <selection activeCell="Q388" sqref="Q388:Q411"/>
      <selection pane="bottomLeft" activeCell="R411" sqref="R388:R41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pep_ssf!B14-1</f>
        <v>556768385</v>
      </c>
      <c r="R388" cm="1">
        <f t="array" ref="R388">peprate(E388:K388,Q388)</f>
        <v>0.18939393939393939</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pep_ssf!B15-2</f>
        <v>556984314</v>
      </c>
      <c r="R389" cm="1">
        <f t="array" ref="R389">peprate(E389:K389,Q389)</f>
        <v>0.18939393939393939</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pep_ssf!B16-2</f>
        <v>556984359</v>
      </c>
      <c r="R390" cm="1">
        <f t="array" ref="R390">peprate(E390:K390,Q390)</f>
        <v>0.37878787878787878</v>
      </c>
      <c r="Z390" s="424" t="s">
        <v>2572</v>
      </c>
    </row>
    <row r="391" spans="5:26" ht="13.5" customHeight="1">
      <c r="E391" t="str">
        <f t="shared" si="214"/>
        <v>HSK3</v>
      </c>
      <c r="F391" t="str">
        <f t="shared" si="210"/>
        <v>DT1</v>
      </c>
      <c r="G391" t="str">
        <f t="shared" si="211"/>
        <v>DT2</v>
      </c>
      <c r="H391" t="str">
        <f t="shared" si="212"/>
        <v>DT3</v>
      </c>
      <c r="I391" t="str">
        <f t="shared" si="213"/>
        <v>DT4</v>
      </c>
      <c r="Q391" s="5">
        <f>pep_ssf!B17-2</f>
        <v>556984359</v>
      </c>
      <c r="R391" cm="1">
        <f t="array" ref="R391">peprate(E391:K391,Q391)</f>
        <v>0.37878787878787878</v>
      </c>
    </row>
    <row r="392" spans="5:26" ht="13.5" customHeight="1">
      <c r="E392" t="str">
        <f t="shared" si="214"/>
        <v>HSK3</v>
      </c>
      <c r="F392" t="str">
        <f t="shared" si="210"/>
        <v>DT1</v>
      </c>
      <c r="G392" t="str">
        <f t="shared" si="211"/>
        <v>DT2</v>
      </c>
      <c r="H392" t="str">
        <f t="shared" si="212"/>
        <v>DT3</v>
      </c>
      <c r="I392" t="str">
        <f t="shared" si="213"/>
        <v>DT4</v>
      </c>
      <c r="Q392" s="5">
        <f>pep_ssf!B18-2</f>
        <v>556984360</v>
      </c>
      <c r="R392" cm="1">
        <f t="array" ref="R392">peprate(E392:K392,Q392)</f>
        <v>0.37878787878787878</v>
      </c>
    </row>
    <row r="393" spans="5:26" ht="13.5" customHeight="1">
      <c r="E393" t="str">
        <f t="shared" si="214"/>
        <v>HSK3</v>
      </c>
      <c r="F393" t="str">
        <f t="shared" si="210"/>
        <v>DT1</v>
      </c>
      <c r="G393" t="str">
        <f t="shared" si="211"/>
        <v>DT2</v>
      </c>
      <c r="H393" t="str">
        <f t="shared" si="212"/>
        <v>DT3</v>
      </c>
      <c r="I393" t="str">
        <f t="shared" si="213"/>
        <v>DT4</v>
      </c>
      <c r="Q393" s="5">
        <f>pep_ssf!B19-2</f>
        <v>556984361</v>
      </c>
      <c r="R393" cm="1">
        <f t="array" ref="R393">peprate(E393:K393,Q393)</f>
        <v>0.75757575757575757</v>
      </c>
    </row>
    <row r="394" spans="5:26" ht="13.5" customHeight="1">
      <c r="E394" t="str">
        <f t="shared" si="214"/>
        <v>HSK3</v>
      </c>
      <c r="F394" t="str">
        <f t="shared" si="210"/>
        <v>DT1</v>
      </c>
      <c r="G394" t="str">
        <f t="shared" si="211"/>
        <v>DT2</v>
      </c>
      <c r="H394" t="str">
        <f t="shared" si="212"/>
        <v>DT3</v>
      </c>
      <c r="I394" t="str">
        <f t="shared" si="213"/>
        <v>DT4</v>
      </c>
      <c r="Q394" s="5">
        <f>pep_ssf!B20-2</f>
        <v>556984362</v>
      </c>
      <c r="R394" cm="1">
        <f t="array" ref="R394">peprate(E394:K394,Q394)</f>
        <v>0.94696969696969691</v>
      </c>
      <c r="Z394" s="424" t="s">
        <v>1132</v>
      </c>
    </row>
    <row r="395" spans="5:26" ht="13.5" customHeight="1">
      <c r="E395" t="str">
        <f t="shared" si="214"/>
        <v>HSK3</v>
      </c>
      <c r="F395" t="str">
        <f t="shared" si="210"/>
        <v>DT1</v>
      </c>
      <c r="G395" t="str">
        <f t="shared" si="211"/>
        <v>DT2</v>
      </c>
      <c r="H395" t="str">
        <f t="shared" si="212"/>
        <v>DT3</v>
      </c>
      <c r="I395" t="str">
        <f t="shared" si="213"/>
        <v>DT4</v>
      </c>
      <c r="Q395" s="5">
        <f>pep_ssf!B21-2</f>
        <v>556985845</v>
      </c>
      <c r="R395" cm="1">
        <f t="array" ref="R395">peprate(E395:K395,Q395)</f>
        <v>1.3257575757575757</v>
      </c>
    </row>
    <row r="396" spans="5:26" ht="13.5" customHeight="1">
      <c r="E396" t="str">
        <f t="shared" si="214"/>
        <v>HSK3</v>
      </c>
      <c r="F396" t="str">
        <f t="shared" si="210"/>
        <v>DT1</v>
      </c>
      <c r="G396" t="str">
        <f t="shared" si="211"/>
        <v>DT2</v>
      </c>
      <c r="H396" t="str">
        <f t="shared" si="212"/>
        <v>DT3</v>
      </c>
      <c r="I396" t="str">
        <f t="shared" si="213"/>
        <v>DT4</v>
      </c>
      <c r="Q396" s="5">
        <f>pep_ssf!B22-2</f>
        <v>556985846</v>
      </c>
      <c r="R396" cm="1">
        <f t="array" ref="R396">peprate(E396:K396,Q396)</f>
        <v>1.3257575757575757</v>
      </c>
      <c r="Z396" s="424" t="s">
        <v>2546</v>
      </c>
    </row>
    <row r="397" spans="5:26" ht="13.5" customHeight="1">
      <c r="E397" t="str">
        <f t="shared" si="214"/>
        <v>HSK3</v>
      </c>
      <c r="F397" t="str">
        <f t="shared" si="210"/>
        <v>DT1</v>
      </c>
      <c r="G397" t="str">
        <f t="shared" si="211"/>
        <v>DT2</v>
      </c>
      <c r="H397" t="str">
        <f t="shared" si="212"/>
        <v>DT3</v>
      </c>
      <c r="I397" t="str">
        <f t="shared" si="213"/>
        <v>DT4</v>
      </c>
      <c r="Q397" s="5">
        <f>pep_ssf!B23-2</f>
        <v>556985847</v>
      </c>
      <c r="R397" cm="1">
        <f t="array" ref="R397">peprate(E397:K397,Q397)</f>
        <v>1.5151515151515151</v>
      </c>
    </row>
    <row r="398" spans="5:26" ht="13.5" customHeight="1">
      <c r="E398" t="str">
        <f t="shared" si="214"/>
        <v>HSK3</v>
      </c>
      <c r="F398" t="str">
        <f t="shared" si="210"/>
        <v>DT1</v>
      </c>
      <c r="G398" t="str">
        <f t="shared" si="211"/>
        <v>DT2</v>
      </c>
      <c r="H398" t="str">
        <f t="shared" si="212"/>
        <v>DT3</v>
      </c>
      <c r="I398" t="str">
        <f t="shared" si="213"/>
        <v>DT4</v>
      </c>
      <c r="Q398" s="5">
        <f>pep_ssf!B24-2</f>
        <v>556985848</v>
      </c>
      <c r="R398" cm="1">
        <f t="array" ref="R398">peprate(E398:K398,Q398)</f>
        <v>1.7045454545454544</v>
      </c>
    </row>
    <row r="399" spans="5:26" ht="13.5" customHeight="1">
      <c r="E399" t="str">
        <f t="shared" si="214"/>
        <v>HSK3</v>
      </c>
      <c r="F399" t="str">
        <f t="shared" si="210"/>
        <v>DT1</v>
      </c>
      <c r="G399" t="str">
        <f t="shared" si="211"/>
        <v>DT2</v>
      </c>
      <c r="H399" t="str">
        <f t="shared" si="212"/>
        <v>DT3</v>
      </c>
      <c r="I399" t="str">
        <f t="shared" si="213"/>
        <v>DT4</v>
      </c>
      <c r="Q399" s="5">
        <f>pep_ssf!B25-2</f>
        <v>556986164</v>
      </c>
      <c r="R399" cm="1">
        <f t="array" ref="R399">peprate(E399:K399,Q399)</f>
        <v>2.083333333333333</v>
      </c>
    </row>
    <row r="400" spans="5:26" ht="13.5" customHeight="1">
      <c r="E400" t="str">
        <f t="shared" si="214"/>
        <v>HSK3</v>
      </c>
      <c r="F400" t="str">
        <f t="shared" si="210"/>
        <v>DT1</v>
      </c>
      <c r="G400" t="str">
        <f t="shared" si="211"/>
        <v>DT2</v>
      </c>
      <c r="H400" t="str">
        <f t="shared" si="212"/>
        <v>DT3</v>
      </c>
      <c r="I400" t="str">
        <f t="shared" si="213"/>
        <v>DT4</v>
      </c>
      <c r="Q400" s="5">
        <f>pep_ssf!B26-2</f>
        <v>556986167</v>
      </c>
      <c r="R400" cm="1">
        <f t="array" ref="R400">peprate(E400:K400,Q400)</f>
        <v>2.2727272727272725</v>
      </c>
    </row>
    <row r="401" spans="5:18" ht="13.5" customHeight="1">
      <c r="E401" t="str">
        <f t="shared" si="214"/>
        <v>HSK3</v>
      </c>
      <c r="F401" t="str">
        <f t="shared" si="210"/>
        <v>DT1</v>
      </c>
      <c r="G401" t="str">
        <f t="shared" si="211"/>
        <v>DT2</v>
      </c>
      <c r="H401" t="str">
        <f t="shared" si="212"/>
        <v>DT3</v>
      </c>
      <c r="I401" t="str">
        <f t="shared" si="213"/>
        <v>DT4</v>
      </c>
      <c r="Q401" s="5">
        <f>pep_ssf!B27-2</f>
        <v>556986170</v>
      </c>
      <c r="R401" cm="1">
        <f t="array" ref="R401">peprate(E401:K401,Q401)</f>
        <v>2.4621212121212119</v>
      </c>
    </row>
    <row r="402" spans="5:18" ht="13.5" customHeight="1">
      <c r="E402" t="str">
        <f t="shared" si="214"/>
        <v>HSK3</v>
      </c>
      <c r="F402" t="str">
        <f t="shared" si="210"/>
        <v>DT1</v>
      </c>
      <c r="G402" t="str">
        <f t="shared" si="211"/>
        <v>DT2</v>
      </c>
      <c r="H402" t="str">
        <f t="shared" si="212"/>
        <v>DT3</v>
      </c>
      <c r="I402" t="str">
        <f t="shared" si="213"/>
        <v>DT4</v>
      </c>
      <c r="Q402" s="5">
        <f>pep_ssf!B28-2</f>
        <v>556986173</v>
      </c>
      <c r="R402" cm="1">
        <f t="array" ref="R402">peprate(E402:K402,Q402)</f>
        <v>2.6515151515151514</v>
      </c>
    </row>
    <row r="403" spans="5:18" ht="13.5" customHeight="1">
      <c r="E403" t="str">
        <f t="shared" si="214"/>
        <v>HSK3</v>
      </c>
      <c r="F403" t="str">
        <f t="shared" si="210"/>
        <v>DT1</v>
      </c>
      <c r="G403" t="str">
        <f t="shared" si="211"/>
        <v>DT2</v>
      </c>
      <c r="H403" t="str">
        <f t="shared" si="212"/>
        <v>DT3</v>
      </c>
      <c r="I403" t="str">
        <f t="shared" si="213"/>
        <v>DT4</v>
      </c>
      <c r="Q403" s="5">
        <f>pep_ssf!B29-2</f>
        <v>557237284</v>
      </c>
      <c r="R403" cm="1">
        <f t="array" ref="R403">peprate(E403:K403,Q403)</f>
        <v>2.8409090909090908</v>
      </c>
    </row>
    <row r="404" spans="5:18" ht="13.5" customHeight="1">
      <c r="E404" t="str">
        <f t="shared" si="214"/>
        <v>HSK3</v>
      </c>
      <c r="F404" t="str">
        <f t="shared" si="210"/>
        <v>DT1</v>
      </c>
      <c r="G404" t="str">
        <f t="shared" si="211"/>
        <v>DT2</v>
      </c>
      <c r="H404" t="str">
        <f t="shared" si="212"/>
        <v>DT3</v>
      </c>
      <c r="I404" t="str">
        <f t="shared" si="213"/>
        <v>DT4</v>
      </c>
      <c r="Q404" s="5">
        <f>pep_ssf!B30-2</f>
        <v>557332914</v>
      </c>
      <c r="R404" cm="1">
        <f t="array" ref="R404">peprate(E404:K404,Q404)</f>
        <v>3.0303030303030303</v>
      </c>
    </row>
    <row r="405" spans="5:18" ht="13.5" customHeight="1">
      <c r="E405" t="str">
        <f t="shared" si="214"/>
        <v>HSK3</v>
      </c>
      <c r="F405" t="str">
        <f t="shared" si="210"/>
        <v>DT1</v>
      </c>
      <c r="G405" t="str">
        <f t="shared" si="211"/>
        <v>DT2</v>
      </c>
      <c r="H405" t="str">
        <f t="shared" si="212"/>
        <v>DT3</v>
      </c>
      <c r="I405" t="str">
        <f t="shared" si="213"/>
        <v>DT4</v>
      </c>
      <c r="Q405" s="5">
        <f>pep_ssf!B31-2</f>
        <v>557332959</v>
      </c>
      <c r="R405" cm="1">
        <f t="array" ref="R405">peprate(E405:K405,Q405)</f>
        <v>3.2196969696969697</v>
      </c>
    </row>
    <row r="406" spans="5:18" ht="13.5" customHeight="1">
      <c r="E406" t="str">
        <f t="shared" si="214"/>
        <v>HSK3</v>
      </c>
      <c r="F406" t="str">
        <f t="shared" si="210"/>
        <v>DT1</v>
      </c>
      <c r="G406" t="str">
        <f t="shared" si="211"/>
        <v>DT2</v>
      </c>
      <c r="H406" t="str">
        <f t="shared" si="212"/>
        <v>DT3</v>
      </c>
      <c r="I406" t="str">
        <f t="shared" si="213"/>
        <v>DT4</v>
      </c>
      <c r="Q406" s="5">
        <f>pep_ssf!B32-2</f>
        <v>557332959</v>
      </c>
      <c r="R406" cm="1">
        <f t="array" ref="R406">peprate(E406:K406,Q406)</f>
        <v>3.2196969696969697</v>
      </c>
    </row>
    <row r="407" spans="5:18" ht="13.5" customHeight="1">
      <c r="E407" t="str">
        <f t="shared" si="214"/>
        <v>HSK3</v>
      </c>
      <c r="F407" t="str">
        <f t="shared" si="210"/>
        <v>DT1</v>
      </c>
      <c r="G407" t="str">
        <f t="shared" si="211"/>
        <v>DT2</v>
      </c>
      <c r="H407" t="str">
        <f t="shared" si="212"/>
        <v>DT3</v>
      </c>
      <c r="I407" t="str">
        <f t="shared" si="213"/>
        <v>DT4</v>
      </c>
      <c r="Q407" s="5">
        <f>pep_ssf!B33-2</f>
        <v>557332960</v>
      </c>
      <c r="R407" cm="1">
        <f t="array" ref="R407">peprate(E407:K407,Q407)</f>
        <v>3.2196969696969697</v>
      </c>
    </row>
    <row r="408" spans="5:18" ht="13.5" customHeight="1">
      <c r="E408" t="str">
        <f t="shared" si="214"/>
        <v>HSK3</v>
      </c>
      <c r="F408" t="str">
        <f t="shared" si="210"/>
        <v>DT1</v>
      </c>
      <c r="G408" t="str">
        <f t="shared" si="211"/>
        <v>DT2</v>
      </c>
      <c r="H408" t="str">
        <f t="shared" si="212"/>
        <v>DT3</v>
      </c>
      <c r="I408" t="str">
        <f t="shared" si="213"/>
        <v>DT4</v>
      </c>
      <c r="Q408" s="5">
        <f>pep_ssf!B34-2</f>
        <v>557332961</v>
      </c>
      <c r="R408" cm="1">
        <f t="array" ref="R408">peprate(E408:K408,Q408)</f>
        <v>3.5984848484848482</v>
      </c>
    </row>
    <row r="409" spans="5:18" ht="13.5" customHeight="1">
      <c r="E409" t="str">
        <f t="shared" si="214"/>
        <v>HSK3</v>
      </c>
      <c r="F409" t="str">
        <f t="shared" si="210"/>
        <v>DT1</v>
      </c>
      <c r="G409" t="str">
        <f t="shared" si="211"/>
        <v>DT2</v>
      </c>
      <c r="H409" t="str">
        <f t="shared" si="212"/>
        <v>DT3</v>
      </c>
      <c r="I409" t="str">
        <f t="shared" si="213"/>
        <v>DT4</v>
      </c>
      <c r="Q409" s="5">
        <f>pep_ssf!B35-2</f>
        <v>557332962</v>
      </c>
      <c r="R409" cm="1">
        <f t="array" ref="R409">peprate(E409:K409,Q409)</f>
        <v>3.7878787878787876</v>
      </c>
    </row>
    <row r="410" spans="5:18" ht="13.5" customHeight="1">
      <c r="E410" t="str">
        <f t="shared" si="214"/>
        <v>HSK3</v>
      </c>
      <c r="F410" t="str">
        <f t="shared" si="210"/>
        <v>DT1</v>
      </c>
      <c r="G410" t="str">
        <f t="shared" si="211"/>
        <v>DT2</v>
      </c>
      <c r="H410" t="str">
        <f t="shared" si="212"/>
        <v>DT3</v>
      </c>
      <c r="I410" t="str">
        <f t="shared" si="213"/>
        <v>DT4</v>
      </c>
      <c r="Q410" s="5">
        <f>pep_ssf!B36-2</f>
        <v>557334445</v>
      </c>
      <c r="R410" cm="1">
        <f t="array" ref="R410">peprate(E410:K410,Q410)</f>
        <v>4.1666666666666661</v>
      </c>
    </row>
    <row r="411" spans="5:18" ht="13.5" customHeight="1">
      <c r="E411" t="str">
        <f t="shared" si="214"/>
        <v>HSK3</v>
      </c>
      <c r="F411" t="str">
        <f t="shared" si="210"/>
        <v>DT1</v>
      </c>
      <c r="G411" t="str">
        <f t="shared" si="211"/>
        <v>DT2</v>
      </c>
      <c r="H411" t="str">
        <f t="shared" si="212"/>
        <v>DT3</v>
      </c>
      <c r="I411" t="str">
        <f t="shared" si="213"/>
        <v>DT4</v>
      </c>
      <c r="Q411" s="5">
        <f>pep_ssf!B37-2</f>
        <v>557334446</v>
      </c>
      <c r="R411" cm="1">
        <f t="array" ref="R411">peprate(E411:K411,Q411)</f>
        <v>4.1666666666666661</v>
      </c>
    </row>
    <row r="412" spans="5:18" ht="13.5" customHeight="1">
      <c r="Q412" s="5"/>
    </row>
    <row r="413" spans="5:18" ht="13.5" customHeight="1">
      <c r="Q413" s="5"/>
    </row>
    <row r="414" spans="5:18" ht="13.5" customHeight="1">
      <c r="Q414" s="5"/>
    </row>
    <row r="415" spans="5:18" ht="13.5" customHeight="1">
      <c r="Q415" s="5"/>
    </row>
    <row r="416" spans="5:18" ht="13.5" customHeight="1">
      <c r="Q416" s="5"/>
    </row>
  </sheetData>
  <dataConsolidate/>
  <phoneticPr fontId="61" type="noConversion"/>
  <conditionalFormatting sqref="C1:K59 C60:H60 J60:K60 C61:K1048576">
    <cfRule type="expression" dxfId="79" priority="1" stopIfTrue="1">
      <formula>IF(_xlfn.TEXTJOIN("",FALSE,$E1:$K1)="HSK3DT1DT2DT3DT4SDT1HSK4",TRUE)</formula>
    </cfRule>
    <cfRule type="expression" dxfId="78" priority="3">
      <formula>IF(_xlfn.TEXTJOIN("",FALSE,$E1:$I1) &lt;&gt;"",IF(_xlfn.TEXTJOIN("",FALSE,$J1:$K1) &lt;&gt; "",TRUE),FALSE)</formula>
    </cfRule>
  </conditionalFormatting>
  <conditionalFormatting sqref="E1:K59 E60:H60 J60:K60 E61:K1048576">
    <cfRule type="expression" dxfId="77"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48" t="s">
        <v>1781</v>
      </c>
      <c r="C25" s="548"/>
      <c r="D25" s="548"/>
      <c r="E25" s="548"/>
      <c r="F25" s="548"/>
      <c r="G25" s="548"/>
      <c r="H25" s="548"/>
      <c r="I25" s="548"/>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49" t="s">
        <v>1791</v>
      </c>
      <c r="K30" s="549"/>
      <c r="L30" s="549"/>
      <c r="M30" s="549"/>
      <c r="N30" s="549"/>
    </row>
    <row r="31" spans="2:22">
      <c r="B31" s="339" t="s">
        <v>1765</v>
      </c>
      <c r="C31" s="339" t="s">
        <v>1766</v>
      </c>
      <c r="D31" s="339">
        <f>$E$8</f>
        <v>1632</v>
      </c>
      <c r="E31" s="339" t="s">
        <v>1790</v>
      </c>
      <c r="F31" s="339">
        <v>0</v>
      </c>
      <c r="G31" s="339">
        <f>D31*F31</f>
        <v>0</v>
      </c>
      <c r="H31" s="339">
        <v>0</v>
      </c>
      <c r="I31" s="339">
        <f>G31*H31/1000000</f>
        <v>0</v>
      </c>
      <c r="J31" s="549"/>
      <c r="K31" s="549"/>
      <c r="L31" s="549"/>
      <c r="M31" s="549"/>
      <c r="N31" s="549"/>
    </row>
    <row r="32" spans="2:22" ht="15.75">
      <c r="B32" s="550"/>
      <c r="C32" s="550"/>
      <c r="D32" s="550"/>
      <c r="E32" s="550"/>
      <c r="F32" s="550"/>
      <c r="G32" s="550"/>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48" t="s">
        <v>1793</v>
      </c>
      <c r="C38" s="548"/>
      <c r="D38" s="548"/>
      <c r="E38" s="548"/>
      <c r="F38" s="548"/>
      <c r="G38" s="548"/>
      <c r="H38" s="548"/>
      <c r="I38" s="548"/>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1" t="s">
        <v>1794</v>
      </c>
      <c r="K43" s="551"/>
      <c r="L43" s="551"/>
      <c r="M43" s="551"/>
      <c r="N43" s="551"/>
      <c r="O43" s="276"/>
    </row>
    <row r="44" spans="2:16">
      <c r="B44" s="339" t="s">
        <v>1765</v>
      </c>
      <c r="C44" s="339" t="s">
        <v>1766</v>
      </c>
      <c r="D44" s="339">
        <f>$E$8</f>
        <v>1632</v>
      </c>
      <c r="E44" s="339" t="s">
        <v>1755</v>
      </c>
      <c r="F44" s="339">
        <f>$M$4*$F$8</f>
        <v>7.2916666666666659E-4</v>
      </c>
      <c r="G44" s="339">
        <f>D44*F44</f>
        <v>1.19</v>
      </c>
      <c r="H44" s="339">
        <v>86400</v>
      </c>
      <c r="I44" s="339">
        <f>G44*H44/1000000</f>
        <v>0.102816</v>
      </c>
      <c r="J44" s="551"/>
      <c r="K44" s="551"/>
      <c r="L44" s="551"/>
      <c r="M44" s="551"/>
      <c r="N44" s="551"/>
      <c r="O44" s="276"/>
    </row>
    <row r="45" spans="2:16">
      <c r="B45" s="550"/>
      <c r="C45" s="550"/>
      <c r="D45" s="550"/>
      <c r="E45" s="550"/>
      <c r="F45" s="550"/>
      <c r="G45" s="550"/>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48" t="s">
        <v>1795</v>
      </c>
      <c r="C47" s="548"/>
      <c r="D47" s="548"/>
      <c r="E47" s="548"/>
      <c r="F47" s="548"/>
      <c r="G47" s="548"/>
      <c r="H47" s="548"/>
      <c r="I47" s="548"/>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0"/>
      <c r="C54" s="550"/>
      <c r="D54" s="550"/>
      <c r="E54" s="550"/>
      <c r="F54" s="550"/>
      <c r="G54" s="550"/>
      <c r="H54" s="343" t="s">
        <v>1792</v>
      </c>
      <c r="I54" s="343">
        <f>SUM(I49:I53)</f>
        <v>12.231428210526317</v>
      </c>
      <c r="J54" s="91">
        <f>I54*1000000/86400</f>
        <v>141.56745614035088</v>
      </c>
      <c r="K54">
        <f>J54/8</f>
        <v>17.695932017543861</v>
      </c>
    </row>
    <row r="55" spans="2:11">
      <c r="I55" s="91"/>
      <c r="J55" s="3" t="s">
        <v>6</v>
      </c>
      <c r="K55" s="3" t="s">
        <v>4119</v>
      </c>
    </row>
    <row r="56" spans="2:11" ht="18.75">
      <c r="B56" s="548" t="s">
        <v>1796</v>
      </c>
      <c r="C56" s="548"/>
      <c r="D56" s="548"/>
      <c r="E56" s="548"/>
      <c r="F56" s="548"/>
      <c r="G56" s="548"/>
      <c r="H56" s="548"/>
      <c r="I56" s="548"/>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0"/>
      <c r="C63" s="550"/>
      <c r="D63" s="550"/>
      <c r="E63" s="550"/>
      <c r="F63" s="550"/>
      <c r="G63" s="550"/>
      <c r="H63" s="343" t="s">
        <v>1792</v>
      </c>
      <c r="I63" s="343">
        <f>SUM(I58:I62)</f>
        <v>4.9738282105263156</v>
      </c>
      <c r="J63" s="91">
        <f>I63*1000000/86400</f>
        <v>57.56745614035087</v>
      </c>
      <c r="K63">
        <f>J63/8</f>
        <v>7.1959320175438588</v>
      </c>
    </row>
    <row r="64" spans="2:11">
      <c r="I64" s="91"/>
      <c r="J64" s="3" t="s">
        <v>6</v>
      </c>
      <c r="K64" s="3" t="s">
        <v>4119</v>
      </c>
    </row>
    <row r="65" spans="2:11" ht="18.75">
      <c r="B65" s="548" t="s">
        <v>1797</v>
      </c>
      <c r="C65" s="548"/>
      <c r="D65" s="548"/>
      <c r="E65" s="548"/>
      <c r="F65" s="548"/>
      <c r="G65" s="548"/>
      <c r="H65" s="548"/>
      <c r="I65" s="548"/>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0"/>
      <c r="C72" s="550"/>
      <c r="D72" s="550"/>
      <c r="E72" s="550"/>
      <c r="F72" s="550"/>
      <c r="G72" s="550"/>
      <c r="H72" s="343" t="s">
        <v>1792</v>
      </c>
      <c r="I72" s="343">
        <f>SUM(I67:I71)</f>
        <v>2.5546282105263156</v>
      </c>
      <c r="J72" s="91">
        <f>I72*1000000/86400</f>
        <v>29.567456140350874</v>
      </c>
      <c r="K72" s="397">
        <f>J72/8</f>
        <v>3.6959320175438592</v>
      </c>
    </row>
    <row r="73" spans="2:11">
      <c r="J73" s="3" t="s">
        <v>6</v>
      </c>
      <c r="K73" s="3" t="s">
        <v>4119</v>
      </c>
    </row>
    <row r="74" spans="2:11" ht="18.75">
      <c r="B74" s="548" t="s">
        <v>1798</v>
      </c>
      <c r="C74" s="548"/>
      <c r="D74" s="548"/>
      <c r="E74" s="548"/>
      <c r="F74" s="548"/>
      <c r="G74" s="548"/>
      <c r="H74" s="548"/>
      <c r="I74" s="548"/>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0"/>
      <c r="C81" s="550"/>
      <c r="D81" s="550"/>
      <c r="E81" s="550"/>
      <c r="F81" s="550"/>
      <c r="G81" s="550"/>
      <c r="H81" s="343" t="s">
        <v>1792</v>
      </c>
      <c r="I81" s="343">
        <f>SUM(I76:I80)</f>
        <v>1.3450282105263158</v>
      </c>
      <c r="J81" s="91">
        <f>I81*1000000/86400</f>
        <v>15.567456140350876</v>
      </c>
      <c r="K81">
        <f>J81/8</f>
        <v>1.9459320175438595</v>
      </c>
    </row>
    <row r="82" spans="2:11">
      <c r="I82" s="91"/>
      <c r="J82" s="3" t="s">
        <v>6</v>
      </c>
      <c r="K82" s="3" t="s">
        <v>4119</v>
      </c>
    </row>
    <row r="83" spans="2:11" ht="18.75">
      <c r="B83" s="548" t="s">
        <v>1799</v>
      </c>
      <c r="C83" s="548"/>
      <c r="D83" s="548"/>
      <c r="E83" s="548"/>
      <c r="F83" s="548"/>
      <c r="G83" s="548"/>
      <c r="H83" s="548"/>
      <c r="I83" s="548"/>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48" t="s">
        <v>1800</v>
      </c>
      <c r="C92" s="548"/>
      <c r="D92" s="548"/>
      <c r="E92" s="548"/>
      <c r="F92" s="548"/>
      <c r="G92" s="548"/>
      <c r="H92" s="548"/>
      <c r="I92" s="548"/>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0"/>
      <c r="C99" s="550"/>
      <c r="D99" s="550"/>
      <c r="E99" s="550"/>
      <c r="F99" s="550"/>
      <c r="G99" s="550"/>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48" t="s">
        <v>1801</v>
      </c>
      <c r="C101" s="548"/>
      <c r="D101" s="548"/>
      <c r="E101" s="548"/>
      <c r="F101" s="548"/>
      <c r="G101" s="548"/>
      <c r="H101" s="548"/>
      <c r="I101" s="548"/>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0"/>
      <c r="C108" s="550"/>
      <c r="D108" s="550"/>
      <c r="E108" s="550"/>
      <c r="F108" s="550"/>
      <c r="G108" s="550"/>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48" t="s">
        <v>1802</v>
      </c>
      <c r="C110" s="548"/>
      <c r="D110" s="548"/>
      <c r="E110" s="548"/>
      <c r="F110" s="548"/>
      <c r="G110" s="548"/>
      <c r="H110" s="548"/>
      <c r="I110" s="548"/>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0"/>
      <c r="C117" s="550"/>
      <c r="D117" s="550"/>
      <c r="E117" s="550"/>
      <c r="F117" s="550"/>
      <c r="G117" s="550"/>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48" t="s">
        <v>1803</v>
      </c>
      <c r="C119" s="548"/>
      <c r="D119" s="548"/>
      <c r="E119" s="548"/>
      <c r="F119" s="548"/>
      <c r="G119" s="548"/>
      <c r="H119" s="548"/>
      <c r="I119" s="548"/>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0"/>
      <c r="C126" s="550"/>
      <c r="D126" s="550"/>
      <c r="E126" s="550"/>
      <c r="F126" s="550"/>
      <c r="G126" s="550"/>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48" t="s">
        <v>1804</v>
      </c>
      <c r="C128" s="548"/>
      <c r="D128" s="548"/>
      <c r="E128" s="548"/>
      <c r="F128" s="548"/>
      <c r="G128" s="548"/>
      <c r="H128" s="548"/>
      <c r="I128" s="548"/>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0"/>
      <c r="C135" s="550"/>
      <c r="D135" s="550"/>
      <c r="E135" s="550"/>
      <c r="F135" s="550"/>
      <c r="G135" s="550"/>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48" t="s">
        <v>1805</v>
      </c>
      <c r="C137" s="548"/>
      <c r="D137" s="548"/>
      <c r="E137" s="548"/>
      <c r="F137" s="548"/>
      <c r="G137" s="548"/>
      <c r="H137" s="548"/>
      <c r="I137" s="548"/>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2"/>
      <c r="C144" s="552"/>
      <c r="D144" s="552"/>
      <c r="E144" s="552"/>
      <c r="F144" s="552"/>
      <c r="G144" s="552"/>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3" t="s">
        <v>1806</v>
      </c>
      <c r="C149" s="553"/>
      <c r="D149" s="553"/>
      <c r="E149" s="553"/>
      <c r="F149" s="553"/>
      <c r="G149" s="553"/>
      <c r="H149" s="553"/>
      <c r="I149" s="553"/>
      <c r="J149" s="554" t="s">
        <v>1807</v>
      </c>
      <c r="K149" s="554"/>
      <c r="L149" s="554"/>
      <c r="M149" s="554"/>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0"/>
      <c r="C156" s="550"/>
      <c r="D156" s="550"/>
      <c r="E156" s="550"/>
      <c r="F156" s="550"/>
      <c r="G156" s="550"/>
      <c r="H156" s="343" t="s">
        <v>1792</v>
      </c>
      <c r="I156" s="343">
        <f>SUM(I151:I155)+(15000/1000000)</f>
        <v>6.351</v>
      </c>
      <c r="J156" s="91"/>
    </row>
    <row r="162" spans="2:7" ht="72" customHeight="1">
      <c r="B162" s="556" t="s">
        <v>1808</v>
      </c>
      <c r="C162" s="349" t="s">
        <v>1809</v>
      </c>
      <c r="D162" s="350" t="s">
        <v>1810</v>
      </c>
      <c r="E162" s="557" t="s">
        <v>1811</v>
      </c>
      <c r="F162" s="557"/>
      <c r="G162" s="557"/>
    </row>
    <row r="163" spans="2:7" ht="78.75" customHeight="1">
      <c r="B163" s="556"/>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56" t="s">
        <v>1808</v>
      </c>
      <c r="C179" s="349" t="s">
        <v>1809</v>
      </c>
      <c r="D179" s="350" t="s">
        <v>1810</v>
      </c>
    </row>
    <row r="180" spans="2:11" ht="36">
      <c r="B180" s="556"/>
      <c r="C180" s="1" t="s">
        <v>1814</v>
      </c>
      <c r="D180" s="350" t="s">
        <v>1815</v>
      </c>
    </row>
    <row r="181" spans="2:11" ht="36">
      <c r="B181" s="351" t="s">
        <v>1816</v>
      </c>
      <c r="C181" s="356">
        <f>$I$32</f>
        <v>24.222884210526313</v>
      </c>
      <c r="D181" s="356">
        <f>C181*365.25/1000</f>
        <v>8.847408457894737</v>
      </c>
    </row>
    <row r="189" spans="2:11" ht="21" customHeight="1">
      <c r="B189" s="558" t="s">
        <v>1817</v>
      </c>
      <c r="C189" s="558"/>
      <c r="D189" s="558"/>
      <c r="E189" s="558"/>
      <c r="F189" s="558"/>
      <c r="G189" s="558"/>
      <c r="H189" s="558"/>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55" t="s">
        <v>1819</v>
      </c>
      <c r="C197" s="555"/>
      <c r="D197" s="555"/>
      <c r="F197" s="555" t="s">
        <v>1819</v>
      </c>
      <c r="G197" s="555"/>
      <c r="H197" s="555"/>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55" t="s">
        <v>1826</v>
      </c>
      <c r="C204" s="555"/>
      <c r="D204" s="555"/>
      <c r="F204" s="555" t="s">
        <v>1826</v>
      </c>
      <c r="G204" s="555"/>
      <c r="H204" s="555"/>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4" t="s">
        <v>1</v>
      </c>
      <c r="I3" s="544"/>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5" t="s">
        <v>22</v>
      </c>
      <c r="G21" s="545"/>
      <c r="H21" s="545"/>
      <c r="I21" s="545"/>
    </row>
    <row r="22" spans="3:25" ht="18">
      <c r="F22" s="546" t="s">
        <v>23</v>
      </c>
      <c r="G22" s="546"/>
      <c r="H22" s="546"/>
      <c r="I22" s="29">
        <v>20</v>
      </c>
      <c r="O22" s="30"/>
    </row>
    <row r="23" spans="3:25" ht="15">
      <c r="F23" s="547" t="s">
        <v>24</v>
      </c>
      <c r="G23" s="547"/>
      <c r="H23" s="547"/>
      <c r="I23" s="29">
        <f>0.7*I22/10</f>
        <v>1.4</v>
      </c>
    </row>
    <row r="24" spans="3:25" ht="15">
      <c r="F24" s="547" t="s">
        <v>25</v>
      </c>
      <c r="G24" s="547"/>
      <c r="H24" s="547"/>
      <c r="I24" s="29">
        <v>2</v>
      </c>
    </row>
    <row r="25" spans="3:25" ht="15">
      <c r="F25" s="547" t="s">
        <v>26</v>
      </c>
      <c r="G25" s="547"/>
      <c r="H25" s="547"/>
      <c r="I25" s="29">
        <v>0</v>
      </c>
    </row>
    <row r="26" spans="3:25" ht="15">
      <c r="F26" s="547" t="s">
        <v>27</v>
      </c>
      <c r="G26" s="547"/>
      <c r="H26" s="547"/>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4" t="s">
        <v>1</v>
      </c>
      <c r="I33" s="544"/>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7" t="s">
        <v>24</v>
      </c>
      <c r="G53" s="547"/>
      <c r="H53" s="547"/>
      <c r="I53" s="29">
        <f>0.7*I52/10</f>
        <v>1.4</v>
      </c>
      <c r="K53">
        <v>3</v>
      </c>
      <c r="L53">
        <v>6</v>
      </c>
      <c r="M53" t="str">
        <f>IF((K53/L53)=INT(K53/L53), "good", "bad")</f>
        <v>bad</v>
      </c>
    </row>
    <row r="54" spans="3:25" ht="15">
      <c r="F54" s="547" t="s">
        <v>25</v>
      </c>
      <c r="G54" s="547"/>
      <c r="H54" s="547"/>
      <c r="I54" s="29">
        <v>2</v>
      </c>
      <c r="K54">
        <v>1</v>
      </c>
      <c r="L54">
        <v>2</v>
      </c>
      <c r="M54" t="str">
        <f>IF((K54/L54)=INT(K54/L54), "good", "bad")</f>
        <v>bad</v>
      </c>
    </row>
    <row r="55" spans="3:25" ht="15">
      <c r="F55" s="547" t="s">
        <v>26</v>
      </c>
      <c r="G55" s="547"/>
      <c r="H55" s="547"/>
      <c r="I55" s="29">
        <v>0</v>
      </c>
      <c r="K55">
        <v>1</v>
      </c>
      <c r="L55">
        <v>2</v>
      </c>
      <c r="M55" t="str">
        <f>IF((K55/L55)=INT(K55/L55), "good", "bad")</f>
        <v>bad</v>
      </c>
    </row>
    <row r="56" spans="3:25" ht="15">
      <c r="F56" s="547" t="s">
        <v>27</v>
      </c>
      <c r="G56" s="547"/>
      <c r="H56" s="547"/>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4" t="s">
        <v>1</v>
      </c>
      <c r="I61" s="544"/>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5" t="s">
        <v>22</v>
      </c>
      <c r="G79" s="545"/>
      <c r="H79" s="545"/>
      <c r="I79" s="545"/>
    </row>
    <row r="80" spans="6:18" ht="18">
      <c r="F80" s="546" t="s">
        <v>23</v>
      </c>
      <c r="G80" s="546"/>
      <c r="H80" s="546"/>
      <c r="I80" s="29">
        <v>20</v>
      </c>
      <c r="O80" s="30"/>
    </row>
    <row r="81" spans="3:25" ht="15">
      <c r="F81" s="547" t="s">
        <v>24</v>
      </c>
      <c r="G81" s="547"/>
      <c r="H81" s="547"/>
      <c r="I81" s="29">
        <f>0.7*I80/10</f>
        <v>1.4</v>
      </c>
    </row>
    <row r="82" spans="3:25" ht="15">
      <c r="F82" s="547" t="s">
        <v>25</v>
      </c>
      <c r="G82" s="547"/>
      <c r="H82" s="547"/>
      <c r="I82" s="29">
        <v>2</v>
      </c>
    </row>
    <row r="83" spans="3:25" ht="15">
      <c r="F83" s="547" t="s">
        <v>26</v>
      </c>
      <c r="G83" s="547"/>
      <c r="H83" s="547"/>
      <c r="I83" s="29">
        <v>0</v>
      </c>
    </row>
    <row r="84" spans="3:25" ht="15">
      <c r="F84" s="547" t="s">
        <v>27</v>
      </c>
      <c r="G84" s="547"/>
      <c r="H84" s="547"/>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4" t="s">
        <v>1</v>
      </c>
      <c r="I91" s="544"/>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5" t="s">
        <v>22</v>
      </c>
      <c r="G109" s="545"/>
      <c r="H109" s="545"/>
      <c r="I109" s="545"/>
    </row>
    <row r="110" spans="6:18" ht="18">
      <c r="F110" s="546" t="s">
        <v>23</v>
      </c>
      <c r="G110" s="546"/>
      <c r="H110" s="546"/>
      <c r="I110" s="29">
        <v>20</v>
      </c>
      <c r="O110" s="30"/>
    </row>
    <row r="111" spans="6:18" ht="15">
      <c r="F111" s="547" t="s">
        <v>24</v>
      </c>
      <c r="G111" s="547"/>
      <c r="H111" s="547"/>
      <c r="I111" s="29">
        <f>0.7*I110/10</f>
        <v>1.4</v>
      </c>
    </row>
    <row r="112" spans="6:18" ht="15">
      <c r="F112" s="547" t="s">
        <v>25</v>
      </c>
      <c r="G112" s="547"/>
      <c r="H112" s="547"/>
      <c r="I112" s="29">
        <v>2</v>
      </c>
    </row>
    <row r="113" spans="3:17" ht="15">
      <c r="F113" s="547" t="s">
        <v>26</v>
      </c>
      <c r="G113" s="547"/>
      <c r="H113" s="547"/>
      <c r="I113" s="29">
        <v>2</v>
      </c>
    </row>
    <row r="114" spans="3:17" ht="15">
      <c r="F114" s="547" t="s">
        <v>27</v>
      </c>
      <c r="G114" s="547"/>
      <c r="H114" s="547"/>
      <c r="I114" s="29">
        <v>2</v>
      </c>
    </row>
    <row r="115" spans="3:17" ht="15"/>
    <row r="119" spans="3:17" ht="15">
      <c r="C119" s="6" t="s">
        <v>38</v>
      </c>
      <c r="D119" s="6"/>
      <c r="E119" s="6"/>
      <c r="F119" s="8"/>
      <c r="G119" s="8"/>
      <c r="H119" s="8"/>
      <c r="I119" s="8"/>
      <c r="J119" s="9"/>
      <c r="K119" s="8"/>
      <c r="L119" s="8"/>
      <c r="M119" s="8"/>
      <c r="N119" s="9"/>
      <c r="O119" s="9"/>
      <c r="P119" s="8"/>
    </row>
    <row r="120" spans="3:17" ht="15">
      <c r="H120" s="544" t="s">
        <v>1</v>
      </c>
      <c r="I120" s="544"/>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5" t="s">
        <v>22</v>
      </c>
      <c r="G138" s="545"/>
      <c r="H138" s="545"/>
      <c r="I138" s="545"/>
    </row>
    <row r="139" spans="6:18" ht="18">
      <c r="F139" s="546" t="s">
        <v>23</v>
      </c>
      <c r="G139" s="546"/>
      <c r="H139" s="546"/>
      <c r="I139" s="29">
        <v>20</v>
      </c>
      <c r="O139" s="30"/>
    </row>
    <row r="140" spans="6:18" ht="15">
      <c r="F140" s="547" t="s">
        <v>24</v>
      </c>
      <c r="G140" s="547"/>
      <c r="H140" s="547"/>
      <c r="I140" s="29">
        <f>0.7*I139/10</f>
        <v>1.4</v>
      </c>
    </row>
    <row r="141" spans="6:18" ht="15">
      <c r="F141" s="547" t="s">
        <v>25</v>
      </c>
      <c r="G141" s="547"/>
      <c r="H141" s="547"/>
      <c r="I141" s="29">
        <v>2</v>
      </c>
    </row>
    <row r="142" spans="6:18" ht="15">
      <c r="F142" s="547" t="s">
        <v>26</v>
      </c>
      <c r="G142" s="547"/>
      <c r="H142" s="547"/>
      <c r="I142" s="29">
        <v>1</v>
      </c>
    </row>
    <row r="143" spans="6:18" ht="15">
      <c r="F143" s="547" t="s">
        <v>27</v>
      </c>
      <c r="G143" s="547"/>
      <c r="H143" s="547"/>
      <c r="I143" s="29">
        <v>1</v>
      </c>
    </row>
    <row r="144" spans="6:18" ht="15"/>
    <row r="149" spans="3:17" ht="15">
      <c r="C149" s="6" t="s">
        <v>39</v>
      </c>
      <c r="D149" s="6"/>
      <c r="E149" s="6"/>
      <c r="F149" s="8"/>
      <c r="G149" s="8"/>
      <c r="H149" s="8"/>
      <c r="I149" s="8"/>
      <c r="J149" s="9"/>
      <c r="K149" s="8"/>
      <c r="L149" s="8"/>
      <c r="M149" s="8"/>
      <c r="N149" s="9"/>
      <c r="O149" s="9"/>
      <c r="P149" s="8"/>
    </row>
    <row r="150" spans="3:17" ht="15">
      <c r="H150" s="544" t="s">
        <v>1</v>
      </c>
      <c r="I150" s="544"/>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5" t="s">
        <v>22</v>
      </c>
      <c r="G168" s="545"/>
      <c r="H168" s="545"/>
      <c r="I168" s="545"/>
    </row>
    <row r="169" spans="6:18" ht="18">
      <c r="F169" s="546" t="s">
        <v>23</v>
      </c>
      <c r="G169" s="546"/>
      <c r="H169" s="546"/>
      <c r="I169" s="29">
        <v>20</v>
      </c>
      <c r="O169" s="30"/>
    </row>
    <row r="170" spans="6:18" ht="15">
      <c r="F170" s="547" t="s">
        <v>24</v>
      </c>
      <c r="G170" s="547"/>
      <c r="H170" s="547"/>
      <c r="I170" s="29">
        <f>0.7*I169/10</f>
        <v>1.4</v>
      </c>
    </row>
    <row r="171" spans="6:18" ht="15">
      <c r="F171" s="547" t="s">
        <v>25</v>
      </c>
      <c r="G171" s="547"/>
      <c r="H171" s="547"/>
      <c r="I171" s="29">
        <v>2</v>
      </c>
    </row>
    <row r="172" spans="6:18" ht="15">
      <c r="F172" s="547" t="s">
        <v>26</v>
      </c>
      <c r="G172" s="547"/>
      <c r="H172" s="547"/>
      <c r="I172" s="29">
        <v>1</v>
      </c>
    </row>
    <row r="173" spans="6:18" ht="15">
      <c r="F173" s="547" t="s">
        <v>27</v>
      </c>
      <c r="G173" s="547"/>
      <c r="H173" s="547"/>
      <c r="I173" s="29">
        <v>1</v>
      </c>
    </row>
    <row r="174" spans="6:18" ht="15"/>
    <row r="178" spans="3:17" ht="15">
      <c r="C178" s="6" t="s">
        <v>40</v>
      </c>
      <c r="D178" s="6"/>
      <c r="E178" s="6"/>
      <c r="F178" s="8"/>
      <c r="G178" s="8"/>
      <c r="H178" s="8"/>
      <c r="I178" s="8"/>
      <c r="J178" s="9"/>
      <c r="K178" s="8"/>
      <c r="L178" s="8"/>
      <c r="M178" s="8"/>
      <c r="N178" s="9"/>
      <c r="O178" s="9"/>
      <c r="P178" s="8"/>
    </row>
    <row r="179" spans="3:17" ht="15">
      <c r="H179" s="544" t="s">
        <v>1</v>
      </c>
      <c r="I179" s="544"/>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5" t="s">
        <v>22</v>
      </c>
      <c r="G197" s="545"/>
      <c r="H197" s="545"/>
      <c r="I197" s="545"/>
    </row>
    <row r="198" spans="6:19" ht="18">
      <c r="F198" s="546" t="s">
        <v>23</v>
      </c>
      <c r="G198" s="546"/>
      <c r="H198" s="546"/>
      <c r="I198" s="29">
        <v>20</v>
      </c>
      <c r="O198" s="30"/>
    </row>
    <row r="199" spans="6:19" ht="15">
      <c r="F199" s="547" t="s">
        <v>24</v>
      </c>
      <c r="G199" s="547"/>
      <c r="H199" s="547"/>
      <c r="I199" s="29">
        <f>0.7*I198/10</f>
        <v>1.4</v>
      </c>
    </row>
    <row r="200" spans="6:19" ht="15">
      <c r="F200" s="547" t="s">
        <v>25</v>
      </c>
      <c r="G200" s="547"/>
      <c r="H200" s="547"/>
      <c r="I200" s="29">
        <v>2</v>
      </c>
    </row>
    <row r="201" spans="6:19" ht="15">
      <c r="F201" s="547" t="s">
        <v>26</v>
      </c>
      <c r="G201" s="547"/>
      <c r="H201" s="547"/>
      <c r="I201" s="29">
        <v>1</v>
      </c>
    </row>
    <row r="202" spans="6:19" ht="15">
      <c r="F202" s="547" t="s">
        <v>27</v>
      </c>
      <c r="G202" s="547"/>
      <c r="H202" s="547"/>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4" t="s">
        <v>1</v>
      </c>
      <c r="I219" s="544"/>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5" t="s">
        <v>22</v>
      </c>
      <c r="G237" s="545"/>
      <c r="H237" s="545"/>
      <c r="I237" s="545"/>
    </row>
    <row r="238" spans="6:19" ht="18">
      <c r="F238" s="546" t="s">
        <v>23</v>
      </c>
      <c r="G238" s="546"/>
      <c r="H238" s="546"/>
      <c r="I238" s="29">
        <v>20</v>
      </c>
      <c r="O238" s="30"/>
      <c r="P238" s="41" t="s">
        <v>47</v>
      </c>
      <c r="Q238" s="41"/>
      <c r="R238" s="42">
        <f>P235</f>
        <v>643.01035679999995</v>
      </c>
      <c r="S238" s="383" t="s">
        <v>42</v>
      </c>
    </row>
    <row r="239" spans="6:19" ht="15">
      <c r="F239" s="547" t="s">
        <v>24</v>
      </c>
      <c r="G239" s="547"/>
      <c r="H239" s="547"/>
      <c r="I239" s="29">
        <f>0.7*I238/10</f>
        <v>1.4</v>
      </c>
    </row>
    <row r="240" spans="6:19" ht="15">
      <c r="F240" s="547" t="s">
        <v>25</v>
      </c>
      <c r="G240" s="547"/>
      <c r="H240" s="547"/>
      <c r="I240" s="29">
        <v>2</v>
      </c>
    </row>
    <row r="241" spans="3:20" ht="15">
      <c r="F241" s="547" t="s">
        <v>26</v>
      </c>
      <c r="G241" s="547"/>
      <c r="H241" s="547"/>
      <c r="I241" s="29">
        <v>20</v>
      </c>
    </row>
    <row r="242" spans="3:20" ht="15">
      <c r="F242" s="547" t="s">
        <v>27</v>
      </c>
      <c r="G242" s="547"/>
      <c r="H242" s="547"/>
      <c r="I242" s="29">
        <v>8</v>
      </c>
    </row>
    <row r="243" spans="3:20" ht="15"/>
    <row r="246" spans="3:20" ht="15">
      <c r="C246" s="6" t="s">
        <v>48</v>
      </c>
      <c r="D246" s="6"/>
      <c r="E246" s="6"/>
      <c r="F246" s="8"/>
      <c r="G246" s="8"/>
      <c r="H246" s="8"/>
      <c r="I246" s="8"/>
      <c r="J246" s="9"/>
      <c r="K246" s="8"/>
      <c r="L246" s="8"/>
      <c r="M246" s="8"/>
      <c r="N246" s="9"/>
      <c r="O246" s="9"/>
      <c r="P246" s="8"/>
    </row>
    <row r="247" spans="3:20" ht="15">
      <c r="H247" s="544" t="s">
        <v>1</v>
      </c>
      <c r="I247" s="544"/>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5" t="s">
        <v>22</v>
      </c>
      <c r="G265" s="545"/>
      <c r="H265" s="545"/>
      <c r="I265" s="545"/>
    </row>
    <row r="266" spans="6:19" ht="18">
      <c r="F266" s="546" t="s">
        <v>23</v>
      </c>
      <c r="G266" s="546"/>
      <c r="H266" s="546"/>
      <c r="I266" s="29">
        <v>20</v>
      </c>
      <c r="O266" s="30"/>
    </row>
    <row r="267" spans="6:19" ht="15">
      <c r="F267" s="547" t="s">
        <v>24</v>
      </c>
      <c r="G267" s="547"/>
      <c r="H267" s="547"/>
      <c r="I267" s="29">
        <f>0.7*I266/10</f>
        <v>1.4</v>
      </c>
    </row>
    <row r="268" spans="6:19" ht="15">
      <c r="F268" s="547" t="s">
        <v>25</v>
      </c>
      <c r="G268" s="547"/>
      <c r="H268" s="547"/>
      <c r="I268" s="29">
        <v>2</v>
      </c>
    </row>
    <row r="269" spans="6:19" ht="15">
      <c r="F269" s="547" t="s">
        <v>63</v>
      </c>
      <c r="G269" s="547"/>
      <c r="H269" s="547"/>
      <c r="I269" s="70">
        <v>6</v>
      </c>
    </row>
    <row r="270" spans="6:19" ht="15">
      <c r="F270" s="547" t="s">
        <v>71</v>
      </c>
      <c r="G270" s="547"/>
      <c r="H270" s="547"/>
      <c r="I270" s="70">
        <v>4</v>
      </c>
    </row>
    <row r="275" spans="3:20" ht="15">
      <c r="C275" s="6">
        <v>23149</v>
      </c>
      <c r="D275" s="6"/>
      <c r="E275" s="6"/>
      <c r="F275" s="8"/>
      <c r="G275" s="8"/>
      <c r="H275" s="8"/>
      <c r="I275" s="8"/>
      <c r="J275" s="9"/>
      <c r="K275" s="8"/>
      <c r="L275" s="8"/>
      <c r="M275" s="8"/>
      <c r="N275" s="9"/>
      <c r="O275" s="9"/>
      <c r="P275" s="8"/>
    </row>
    <row r="276" spans="3:20" ht="15">
      <c r="H276" s="544" t="s">
        <v>1</v>
      </c>
      <c r="I276" s="544"/>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5" t="s">
        <v>22</v>
      </c>
      <c r="G294" s="545"/>
      <c r="H294" s="545"/>
      <c r="I294" s="545"/>
    </row>
    <row r="295" spans="3:21" ht="18">
      <c r="F295" s="546" t="s">
        <v>23</v>
      </c>
      <c r="G295" s="546"/>
      <c r="H295" s="546"/>
      <c r="I295" s="29">
        <v>20</v>
      </c>
      <c r="O295" s="30"/>
      <c r="P295">
        <f>1030/60</f>
        <v>17.166666666666668</v>
      </c>
      <c r="Q295">
        <f>12+619/60</f>
        <v>22.316666666666666</v>
      </c>
      <c r="R295">
        <f>17.5+22.32-24</f>
        <v>15.82</v>
      </c>
    </row>
    <row r="296" spans="3:21" ht="15">
      <c r="F296" s="547" t="s">
        <v>24</v>
      </c>
      <c r="G296" s="547"/>
      <c r="H296" s="547"/>
      <c r="I296" s="29">
        <f>0.7*I295/10</f>
        <v>1.4</v>
      </c>
      <c r="N296" s="3">
        <f>1.6*3+23.4+143</f>
        <v>171.2</v>
      </c>
    </row>
    <row r="297" spans="3:21" ht="15">
      <c r="F297" s="547" t="s">
        <v>25</v>
      </c>
      <c r="G297" s="547"/>
      <c r="H297" s="547"/>
      <c r="I297" s="29">
        <v>2</v>
      </c>
      <c r="N297" s="3">
        <f>1.6*3+23.4</f>
        <v>28.2</v>
      </c>
      <c r="P297">
        <f>12*13</f>
        <v>156</v>
      </c>
      <c r="Q297">
        <f>15.2+1.6+156</f>
        <v>172.8</v>
      </c>
    </row>
    <row r="298" spans="3:21" ht="15">
      <c r="F298" s="547" t="s">
        <v>63</v>
      </c>
      <c r="G298" s="547"/>
      <c r="H298" s="547"/>
      <c r="I298" s="70">
        <v>6</v>
      </c>
      <c r="P298">
        <f>12-(2+19.5/24)</f>
        <v>9.1875</v>
      </c>
    </row>
    <row r="299" spans="3:21" ht="15">
      <c r="F299" s="547" t="s">
        <v>71</v>
      </c>
      <c r="G299" s="547"/>
      <c r="H299" s="547"/>
      <c r="I299" s="70">
        <v>4</v>
      </c>
    </row>
    <row r="301" spans="3:21" ht="15">
      <c r="C301" s="6">
        <v>23212</v>
      </c>
      <c r="D301" s="6"/>
      <c r="E301" s="6"/>
      <c r="F301" s="8"/>
      <c r="G301" s="8"/>
      <c r="H301" s="8"/>
      <c r="I301" s="8"/>
      <c r="J301" s="9"/>
      <c r="K301" s="8"/>
      <c r="L301" s="8"/>
      <c r="M301" s="8"/>
      <c r="N301" s="9"/>
      <c r="O301" s="9"/>
      <c r="P301" s="8"/>
      <c r="Q301">
        <f>11*13</f>
        <v>143</v>
      </c>
    </row>
    <row r="302" spans="3:21" ht="15">
      <c r="H302" s="544" t="s">
        <v>1</v>
      </c>
      <c r="I302" s="544"/>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5" t="s">
        <v>22</v>
      </c>
      <c r="G320" s="545"/>
      <c r="H320" s="545"/>
      <c r="I320" s="545"/>
    </row>
    <row r="321" spans="3:21" ht="18">
      <c r="F321" s="546" t="s">
        <v>23</v>
      </c>
      <c r="G321" s="546"/>
      <c r="H321" s="546"/>
      <c r="I321" s="29">
        <v>20</v>
      </c>
      <c r="O321" s="30"/>
    </row>
    <row r="322" spans="3:21" ht="15">
      <c r="F322" s="547" t="s">
        <v>24</v>
      </c>
      <c r="G322" s="547"/>
      <c r="H322" s="547"/>
      <c r="I322" s="29">
        <f>0.7*I321/10</f>
        <v>1.4</v>
      </c>
    </row>
    <row r="323" spans="3:21" ht="15">
      <c r="F323" s="547" t="s">
        <v>25</v>
      </c>
      <c r="G323" s="547"/>
      <c r="H323" s="547"/>
      <c r="I323" s="29">
        <v>2</v>
      </c>
    </row>
    <row r="324" spans="3:21" ht="15">
      <c r="F324" s="547" t="s">
        <v>63</v>
      </c>
      <c r="G324" s="547"/>
      <c r="H324" s="547"/>
      <c r="I324" s="70">
        <v>6</v>
      </c>
    </row>
    <row r="325" spans="3:21" ht="15">
      <c r="F325" s="547" t="s">
        <v>71</v>
      </c>
      <c r="G325" s="547"/>
      <c r="H325" s="547"/>
      <c r="I325" s="70">
        <v>4</v>
      </c>
    </row>
    <row r="327" spans="3:21" ht="15">
      <c r="C327" s="6">
        <v>23233</v>
      </c>
      <c r="D327" s="6"/>
      <c r="E327" s="6"/>
      <c r="F327" s="8"/>
      <c r="G327" s="8"/>
      <c r="H327" s="8"/>
      <c r="I327" s="8"/>
      <c r="J327" s="9"/>
      <c r="K327" s="8"/>
      <c r="L327" s="8"/>
      <c r="M327" s="8"/>
      <c r="N327" s="9"/>
      <c r="O327" s="9"/>
      <c r="P327" s="8"/>
      <c r="Q327">
        <f>11*13</f>
        <v>143</v>
      </c>
    </row>
    <row r="328" spans="3:21" ht="15">
      <c r="H328" s="544" t="s">
        <v>1</v>
      </c>
      <c r="I328" s="544"/>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5" t="s">
        <v>22</v>
      </c>
      <c r="G346" s="545"/>
      <c r="H346" s="545"/>
      <c r="I346" s="545"/>
    </row>
    <row r="347" spans="6:19" ht="18">
      <c r="F347" s="546" t="s">
        <v>23</v>
      </c>
      <c r="G347" s="546"/>
      <c r="H347" s="546"/>
      <c r="I347" s="29">
        <v>20</v>
      </c>
      <c r="N347" s="3">
        <f>13*5</f>
        <v>65</v>
      </c>
      <c r="O347" s="30"/>
      <c r="P347">
        <f>26+1.6+78</f>
        <v>105.6</v>
      </c>
    </row>
    <row r="348" spans="6:19" ht="15">
      <c r="F348" s="547" t="s">
        <v>24</v>
      </c>
      <c r="G348" s="547"/>
      <c r="H348" s="547"/>
      <c r="I348" s="29">
        <f>0.7*I347/10</f>
        <v>1.4</v>
      </c>
      <c r="N348" s="3">
        <f>13*6</f>
        <v>78</v>
      </c>
      <c r="P348">
        <f>13*5</f>
        <v>65</v>
      </c>
    </row>
    <row r="349" spans="6:19" ht="15">
      <c r="F349" s="547" t="s">
        <v>25</v>
      </c>
      <c r="G349" s="547"/>
      <c r="H349" s="547"/>
      <c r="I349" s="29">
        <v>2</v>
      </c>
    </row>
    <row r="350" spans="6:19" ht="15">
      <c r="F350" s="547" t="s">
        <v>63</v>
      </c>
      <c r="G350" s="547"/>
      <c r="H350" s="547"/>
      <c r="I350" s="70">
        <v>6</v>
      </c>
    </row>
    <row r="351" spans="6:19" ht="15">
      <c r="F351" s="547" t="s">
        <v>71</v>
      </c>
      <c r="G351" s="547"/>
      <c r="H351" s="547"/>
      <c r="I351" s="70">
        <v>4</v>
      </c>
    </row>
    <row r="354" spans="3:21" ht="15">
      <c r="C354" s="6">
        <v>23245</v>
      </c>
      <c r="D354" s="6"/>
      <c r="E354" s="6"/>
      <c r="F354" s="8"/>
      <c r="G354" s="8"/>
      <c r="H354" s="8"/>
      <c r="I354" s="8"/>
      <c r="J354" s="9"/>
      <c r="K354" s="8"/>
      <c r="L354" s="8"/>
      <c r="M354" s="8"/>
      <c r="N354" s="9"/>
      <c r="O354" s="9"/>
      <c r="P354" s="8"/>
      <c r="Q354">
        <f>11*13</f>
        <v>143</v>
      </c>
    </row>
    <row r="355" spans="3:21" ht="15">
      <c r="H355" s="544" t="s">
        <v>1</v>
      </c>
      <c r="I355" s="544"/>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5" t="s">
        <v>22</v>
      </c>
      <c r="G373" s="545"/>
      <c r="H373" s="545"/>
      <c r="I373" s="545"/>
    </row>
    <row r="374" spans="3:21" ht="18">
      <c r="F374" s="546" t="s">
        <v>23</v>
      </c>
      <c r="G374" s="546"/>
      <c r="H374" s="546"/>
      <c r="I374" s="29">
        <v>20</v>
      </c>
      <c r="N374" s="3">
        <f>13*5</f>
        <v>65</v>
      </c>
      <c r="O374" s="30"/>
      <c r="P374">
        <f>26+1.6+78</f>
        <v>105.6</v>
      </c>
    </row>
    <row r="375" spans="3:21" ht="15">
      <c r="F375" s="547" t="s">
        <v>24</v>
      </c>
      <c r="G375" s="547"/>
      <c r="H375" s="547"/>
      <c r="I375" s="29">
        <f>0.7*I374/10</f>
        <v>1.4</v>
      </c>
      <c r="N375" s="3">
        <f>13*6</f>
        <v>78</v>
      </c>
      <c r="P375">
        <f>13*5</f>
        <v>65</v>
      </c>
    </row>
    <row r="376" spans="3:21" ht="15">
      <c r="F376" s="547" t="s">
        <v>25</v>
      </c>
      <c r="G376" s="547"/>
      <c r="H376" s="547"/>
      <c r="I376" s="29">
        <v>2</v>
      </c>
    </row>
    <row r="377" spans="3:21" ht="15">
      <c r="F377" s="547" t="s">
        <v>63</v>
      </c>
      <c r="G377" s="547"/>
      <c r="H377" s="547"/>
      <c r="I377" s="70">
        <v>6</v>
      </c>
    </row>
    <row r="378" spans="3:21" ht="15">
      <c r="F378" s="547" t="s">
        <v>71</v>
      </c>
      <c r="G378" s="547"/>
      <c r="H378" s="547"/>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4" t="s">
        <v>1</v>
      </c>
      <c r="I383" s="544"/>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5" t="s">
        <v>22</v>
      </c>
      <c r="G401" s="545"/>
      <c r="H401" s="545"/>
      <c r="I401" s="545"/>
    </row>
    <row r="402" spans="3:19" ht="18">
      <c r="F402" s="546" t="s">
        <v>23</v>
      </c>
      <c r="G402" s="546"/>
      <c r="H402" s="546"/>
      <c r="I402" s="29">
        <v>20</v>
      </c>
      <c r="O402" s="30"/>
    </row>
    <row r="403" spans="3:19" ht="15">
      <c r="F403" s="547" t="s">
        <v>24</v>
      </c>
      <c r="G403" s="547"/>
      <c r="H403" s="547"/>
      <c r="I403" s="29">
        <f>0.7*I402/10</f>
        <v>1.4</v>
      </c>
    </row>
    <row r="404" spans="3:19" ht="15">
      <c r="F404" s="547" t="s">
        <v>25</v>
      </c>
      <c r="G404" s="547"/>
      <c r="H404" s="547"/>
      <c r="I404" s="29">
        <v>2</v>
      </c>
    </row>
    <row r="405" spans="3:19" ht="15">
      <c r="F405" s="547" t="s">
        <v>63</v>
      </c>
      <c r="G405" s="547"/>
      <c r="H405" s="547"/>
      <c r="I405" s="70">
        <v>6</v>
      </c>
    </row>
    <row r="406" spans="3:19" ht="15">
      <c r="F406" s="547" t="s">
        <v>71</v>
      </c>
      <c r="G406" s="547"/>
      <c r="H406" s="547"/>
      <c r="I406" s="70">
        <v>4</v>
      </c>
    </row>
    <row r="413" spans="3:19" ht="15">
      <c r="C413" s="6">
        <v>23275</v>
      </c>
      <c r="D413" s="6"/>
      <c r="E413" s="6"/>
      <c r="F413" s="8"/>
      <c r="G413" s="8"/>
      <c r="H413" s="8"/>
      <c r="I413" s="8"/>
      <c r="J413" s="9"/>
      <c r="K413" s="8"/>
      <c r="L413" s="8"/>
      <c r="M413" s="8"/>
      <c r="N413" s="9"/>
      <c r="O413" s="9"/>
      <c r="P413" s="8"/>
      <c r="Q413">
        <f>11*13</f>
        <v>143</v>
      </c>
    </row>
    <row r="414" spans="3:19" ht="15">
      <c r="H414" s="544" t="s">
        <v>1</v>
      </c>
      <c r="I414" s="544"/>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5" t="s">
        <v>22</v>
      </c>
      <c r="G432" s="545"/>
      <c r="H432" s="545"/>
      <c r="I432" s="545"/>
    </row>
    <row r="433" spans="3:21" ht="18">
      <c r="F433" s="546" t="s">
        <v>23</v>
      </c>
      <c r="G433" s="546"/>
      <c r="H433" s="546"/>
      <c r="I433" s="29">
        <v>20</v>
      </c>
      <c r="O433" s="30"/>
    </row>
    <row r="434" spans="3:21" ht="15">
      <c r="F434" s="547" t="s">
        <v>24</v>
      </c>
      <c r="G434" s="547"/>
      <c r="H434" s="547"/>
      <c r="I434" s="29">
        <f>0.7*I433/10</f>
        <v>1.4</v>
      </c>
    </row>
    <row r="435" spans="3:21" ht="15">
      <c r="F435" s="547" t="s">
        <v>25</v>
      </c>
      <c r="G435" s="547"/>
      <c r="H435" s="547"/>
      <c r="I435" s="29">
        <v>2</v>
      </c>
    </row>
    <row r="436" spans="3:21" ht="15">
      <c r="F436" s="547" t="s">
        <v>63</v>
      </c>
      <c r="G436" s="547"/>
      <c r="H436" s="547"/>
      <c r="I436" s="70">
        <v>6</v>
      </c>
    </row>
    <row r="437" spans="3:21" ht="15">
      <c r="F437" s="547" t="s">
        <v>71</v>
      </c>
      <c r="G437" s="547"/>
      <c r="H437" s="547"/>
      <c r="I437" s="70">
        <v>4</v>
      </c>
    </row>
    <row r="442" spans="3:21" ht="15">
      <c r="C442" s="6">
        <v>23296</v>
      </c>
      <c r="D442" s="6"/>
      <c r="E442" s="6"/>
      <c r="F442" s="8"/>
      <c r="G442" s="8"/>
      <c r="H442" s="8"/>
      <c r="I442" s="8"/>
      <c r="J442" s="9"/>
      <c r="K442" s="8"/>
      <c r="L442" s="8"/>
      <c r="M442" s="8"/>
      <c r="N442" s="9"/>
      <c r="O442" s="9"/>
      <c r="P442" s="8"/>
      <c r="Q442">
        <f>11*13</f>
        <v>143</v>
      </c>
    </row>
    <row r="443" spans="3:21" ht="15">
      <c r="H443" s="544" t="s">
        <v>1</v>
      </c>
      <c r="I443" s="544"/>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5" t="s">
        <v>22</v>
      </c>
      <c r="G461" s="545"/>
      <c r="H461" s="545"/>
      <c r="I461" s="545"/>
    </row>
    <row r="462" spans="6:20" ht="18">
      <c r="F462" s="546" t="s">
        <v>23</v>
      </c>
      <c r="G462" s="546"/>
      <c r="H462" s="546"/>
      <c r="I462" s="29">
        <v>20</v>
      </c>
      <c r="O462" s="30"/>
    </row>
    <row r="463" spans="6:20" ht="15">
      <c r="F463" s="547" t="s">
        <v>24</v>
      </c>
      <c r="G463" s="547"/>
      <c r="H463" s="547"/>
      <c r="I463" s="29">
        <f>0.7*I462/10</f>
        <v>1.4</v>
      </c>
    </row>
    <row r="464" spans="6:20" ht="15">
      <c r="F464" s="547" t="s">
        <v>25</v>
      </c>
      <c r="G464" s="547"/>
      <c r="H464" s="547"/>
      <c r="I464" s="29">
        <v>2</v>
      </c>
    </row>
    <row r="465" spans="3:21" ht="15">
      <c r="F465" s="547" t="s">
        <v>63</v>
      </c>
      <c r="G465" s="547"/>
      <c r="H465" s="547"/>
      <c r="I465" s="70">
        <v>6</v>
      </c>
    </row>
    <row r="466" spans="3:21" ht="15">
      <c r="F466" s="547" t="s">
        <v>71</v>
      </c>
      <c r="G466" s="547"/>
      <c r="H466" s="547"/>
      <c r="I466" s="70">
        <v>4</v>
      </c>
    </row>
    <row r="470" spans="3:21" ht="15">
      <c r="C470" s="6">
        <v>23317</v>
      </c>
      <c r="D470" s="6"/>
      <c r="E470" s="6"/>
      <c r="F470" s="8"/>
      <c r="G470" s="8"/>
      <c r="H470" s="8"/>
      <c r="I470" s="8"/>
      <c r="J470" s="9"/>
      <c r="K470" s="8"/>
      <c r="L470" s="8"/>
      <c r="M470" s="8"/>
      <c r="N470" s="9"/>
      <c r="O470" s="9"/>
      <c r="P470" s="8"/>
      <c r="Q470">
        <f>11*13</f>
        <v>143</v>
      </c>
    </row>
    <row r="471" spans="3:21" ht="15">
      <c r="H471" s="544" t="s">
        <v>1</v>
      </c>
      <c r="I471" s="544"/>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5" t="s">
        <v>22</v>
      </c>
      <c r="G489" s="545"/>
      <c r="H489" s="545"/>
      <c r="I489" s="545"/>
    </row>
    <row r="490" spans="6:19" ht="18">
      <c r="F490" s="546" t="s">
        <v>23</v>
      </c>
      <c r="G490" s="546"/>
      <c r="H490" s="546"/>
      <c r="I490" s="29">
        <v>20</v>
      </c>
      <c r="O490" s="30"/>
    </row>
    <row r="491" spans="6:19" ht="15">
      <c r="F491" s="547" t="s">
        <v>24</v>
      </c>
      <c r="G491" s="547"/>
      <c r="H491" s="547"/>
      <c r="I491" s="29">
        <f>0.7*I490/10</f>
        <v>1.4</v>
      </c>
    </row>
    <row r="492" spans="6:19" ht="15">
      <c r="F492" s="547" t="s">
        <v>25</v>
      </c>
      <c r="G492" s="547"/>
      <c r="H492" s="547"/>
      <c r="I492" s="29">
        <v>2</v>
      </c>
    </row>
    <row r="493" spans="6:19" ht="15">
      <c r="F493" s="547" t="s">
        <v>63</v>
      </c>
      <c r="G493" s="547"/>
      <c r="H493" s="547"/>
      <c r="I493" s="70">
        <v>6</v>
      </c>
    </row>
    <row r="494" spans="6:19" ht="15">
      <c r="F494" s="547" t="s">
        <v>71</v>
      </c>
      <c r="G494" s="547"/>
      <c r="H494" s="547"/>
      <c r="I494" s="70">
        <v>4</v>
      </c>
    </row>
    <row r="498" spans="3:21" ht="15">
      <c r="C498" s="6">
        <v>23338</v>
      </c>
      <c r="D498" s="6"/>
      <c r="E498" s="6"/>
      <c r="F498" s="8"/>
      <c r="G498" s="8"/>
      <c r="H498" s="8"/>
      <c r="I498" s="8"/>
      <c r="J498" s="9"/>
      <c r="K498" s="8"/>
      <c r="L498" s="8"/>
      <c r="M498" s="8"/>
      <c r="N498" s="9"/>
      <c r="O498" s="9"/>
      <c r="P498" s="8"/>
      <c r="Q498">
        <f>11*13</f>
        <v>143</v>
      </c>
    </row>
    <row r="499" spans="3:21" ht="15">
      <c r="H499" s="544" t="s">
        <v>1</v>
      </c>
      <c r="I499" s="544"/>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5" t="s">
        <v>22</v>
      </c>
      <c r="G517" s="545"/>
      <c r="H517" s="545"/>
      <c r="I517" s="545"/>
    </row>
    <row r="518" spans="3:19" ht="18">
      <c r="F518" s="546" t="s">
        <v>23</v>
      </c>
      <c r="G518" s="546"/>
      <c r="H518" s="546"/>
      <c r="I518" s="29">
        <v>20</v>
      </c>
      <c r="O518" s="30"/>
    </row>
    <row r="519" spans="3:19" ht="15">
      <c r="F519" s="547" t="s">
        <v>24</v>
      </c>
      <c r="G519" s="547"/>
      <c r="H519" s="547"/>
      <c r="I519" s="29">
        <f>0.7*I518/10</f>
        <v>1.4</v>
      </c>
    </row>
    <row r="520" spans="3:19" ht="15">
      <c r="F520" s="547" t="s">
        <v>25</v>
      </c>
      <c r="G520" s="547"/>
      <c r="H520" s="547"/>
      <c r="I520" s="29">
        <v>2</v>
      </c>
    </row>
    <row r="521" spans="3:19" ht="15">
      <c r="F521" s="547" t="s">
        <v>63</v>
      </c>
      <c r="G521" s="547"/>
      <c r="H521" s="547"/>
      <c r="I521" s="70">
        <v>6</v>
      </c>
    </row>
    <row r="522" spans="3:19" ht="15">
      <c r="F522" s="547" t="s">
        <v>71</v>
      </c>
      <c r="G522" s="547"/>
      <c r="H522" s="547"/>
      <c r="I522" s="70">
        <v>4</v>
      </c>
    </row>
    <row r="527" spans="3:19" ht="15">
      <c r="C527" s="6">
        <v>24015</v>
      </c>
      <c r="D527" s="6"/>
      <c r="E527" s="6"/>
      <c r="F527" s="8"/>
      <c r="G527" s="8"/>
      <c r="H527" s="8"/>
      <c r="I527" s="8"/>
      <c r="J527" s="9"/>
      <c r="K527" s="8"/>
      <c r="L527" s="8"/>
      <c r="M527" s="8"/>
      <c r="N527" s="9"/>
      <c r="O527" s="9"/>
      <c r="P527" s="8"/>
      <c r="Q527">
        <f>11*13</f>
        <v>143</v>
      </c>
    </row>
    <row r="528" spans="3:19" ht="15">
      <c r="H528" s="544" t="s">
        <v>1</v>
      </c>
      <c r="I528" s="544"/>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5" t="s">
        <v>22</v>
      </c>
      <c r="G546" s="545"/>
      <c r="H546" s="545"/>
      <c r="I546" s="545"/>
    </row>
    <row r="547" spans="3:19" ht="18">
      <c r="F547" s="546" t="s">
        <v>23</v>
      </c>
      <c r="G547" s="546"/>
      <c r="H547" s="546"/>
      <c r="I547" s="29">
        <v>20</v>
      </c>
      <c r="O547" s="30"/>
    </row>
    <row r="548" spans="3:19" ht="15">
      <c r="F548" s="547" t="s">
        <v>24</v>
      </c>
      <c r="G548" s="547"/>
      <c r="H548" s="547"/>
      <c r="I548" s="29">
        <f>0.7*I547/10</f>
        <v>1.4</v>
      </c>
    </row>
    <row r="549" spans="3:19" ht="15">
      <c r="F549" s="547" t="s">
        <v>25</v>
      </c>
      <c r="G549" s="547"/>
      <c r="H549" s="547"/>
      <c r="I549" s="29">
        <v>2</v>
      </c>
    </row>
    <row r="550" spans="3:19" ht="15">
      <c r="F550" s="547" t="s">
        <v>63</v>
      </c>
      <c r="G550" s="547"/>
      <c r="H550" s="547"/>
      <c r="I550" s="70">
        <v>6</v>
      </c>
    </row>
    <row r="551" spans="3:19" ht="15">
      <c r="F551" s="547" t="s">
        <v>71</v>
      </c>
      <c r="G551" s="547"/>
      <c r="H551" s="547"/>
      <c r="I551" s="70">
        <v>4</v>
      </c>
    </row>
    <row r="557" spans="3:19" ht="15">
      <c r="C557" s="6">
        <v>24036</v>
      </c>
      <c r="D557" s="6"/>
      <c r="E557" s="6"/>
      <c r="F557" s="8"/>
      <c r="G557" s="8"/>
      <c r="H557" s="8"/>
      <c r="I557" s="8"/>
      <c r="J557" s="9"/>
      <c r="K557" s="8"/>
      <c r="L557" s="8"/>
      <c r="M557" s="8"/>
      <c r="N557" s="9"/>
      <c r="O557" s="9"/>
      <c r="P557" s="8"/>
      <c r="Q557">
        <f>11*13</f>
        <v>143</v>
      </c>
    </row>
    <row r="558" spans="3:19" ht="15">
      <c r="H558" s="544" t="s">
        <v>1</v>
      </c>
      <c r="I558" s="544"/>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5" t="s">
        <v>22</v>
      </c>
      <c r="G576" s="545"/>
      <c r="H576" s="545"/>
      <c r="I576" s="545"/>
    </row>
    <row r="577" spans="3:20" ht="18">
      <c r="F577" s="546" t="s">
        <v>23</v>
      </c>
      <c r="G577" s="546"/>
      <c r="H577" s="546"/>
      <c r="I577" s="29">
        <v>20</v>
      </c>
      <c r="O577" s="30"/>
    </row>
    <row r="578" spans="3:20" ht="15">
      <c r="F578" s="547" t="s">
        <v>24</v>
      </c>
      <c r="G578" s="547"/>
      <c r="H578" s="547"/>
      <c r="I578" s="29">
        <f>0.7*I577/10</f>
        <v>1.4</v>
      </c>
    </row>
    <row r="579" spans="3:20" ht="15">
      <c r="F579" s="547" t="s">
        <v>25</v>
      </c>
      <c r="G579" s="547"/>
      <c r="H579" s="547"/>
      <c r="I579" s="29">
        <v>2</v>
      </c>
    </row>
    <row r="580" spans="3:20" ht="15">
      <c r="F580" s="547" t="s">
        <v>63</v>
      </c>
      <c r="G580" s="547"/>
      <c r="H580" s="547"/>
      <c r="I580" s="70">
        <v>6</v>
      </c>
    </row>
    <row r="581" spans="3:20" ht="15">
      <c r="F581" s="547" t="s">
        <v>71</v>
      </c>
      <c r="G581" s="547"/>
      <c r="H581" s="547"/>
      <c r="I581" s="70">
        <v>4</v>
      </c>
    </row>
    <row r="587" spans="3:20" ht="15">
      <c r="C587" s="6">
        <v>24057</v>
      </c>
      <c r="D587" s="6"/>
      <c r="E587" s="6"/>
      <c r="F587" s="8"/>
      <c r="G587" s="8"/>
      <c r="H587" s="8"/>
      <c r="I587" s="8"/>
      <c r="J587" s="9"/>
      <c r="K587" s="8"/>
      <c r="L587" s="8"/>
      <c r="M587" s="8"/>
      <c r="N587" s="9"/>
      <c r="O587" s="9"/>
      <c r="P587" s="8"/>
      <c r="Q587">
        <f>11*13</f>
        <v>143</v>
      </c>
    </row>
    <row r="588" spans="3:20" ht="15">
      <c r="H588" s="544" t="s">
        <v>1</v>
      </c>
      <c r="I588" s="544"/>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5" t="s">
        <v>22</v>
      </c>
      <c r="G606" s="545"/>
      <c r="H606" s="545"/>
      <c r="I606" s="545"/>
    </row>
    <row r="607" spans="6:21" ht="18">
      <c r="F607" s="546" t="s">
        <v>23</v>
      </c>
      <c r="G607" s="546"/>
      <c r="H607" s="546"/>
      <c r="I607" s="29">
        <v>20</v>
      </c>
      <c r="O607" s="30"/>
    </row>
    <row r="608" spans="6:21" ht="15">
      <c r="F608" s="547" t="s">
        <v>24</v>
      </c>
      <c r="G608" s="547"/>
      <c r="H608" s="547"/>
      <c r="I608" s="29">
        <f>0.7*I607/10</f>
        <v>1.4</v>
      </c>
      <c r="R608">
        <v>78</v>
      </c>
    </row>
    <row r="609" spans="3:23" ht="15">
      <c r="F609" s="547" t="s">
        <v>25</v>
      </c>
      <c r="G609" s="547"/>
      <c r="H609" s="547"/>
      <c r="I609" s="29">
        <v>2</v>
      </c>
      <c r="P609" t="s">
        <v>1940</v>
      </c>
      <c r="R609">
        <f>10*2.3</f>
        <v>23</v>
      </c>
      <c r="S609">
        <f>R609+R608</f>
        <v>101</v>
      </c>
    </row>
    <row r="610" spans="3:23" ht="15">
      <c r="F610" s="547" t="s">
        <v>63</v>
      </c>
      <c r="G610" s="547"/>
      <c r="H610" s="547"/>
      <c r="I610" s="70">
        <v>6</v>
      </c>
      <c r="P610">
        <f>366-277.25+83</f>
        <v>171.75</v>
      </c>
      <c r="R610">
        <f>366-276.8</f>
        <v>89.199999999999989</v>
      </c>
    </row>
    <row r="611" spans="3:23" ht="15">
      <c r="F611" s="547" t="s">
        <v>71</v>
      </c>
      <c r="G611" s="547"/>
      <c r="H611" s="547"/>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4" t="s">
        <v>1</v>
      </c>
      <c r="I615" s="544"/>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5" t="s">
        <v>22</v>
      </c>
      <c r="G633" s="545"/>
      <c r="H633" s="545"/>
      <c r="I633" s="545"/>
    </row>
    <row r="634" spans="6:21" ht="18">
      <c r="F634" s="546" t="s">
        <v>23</v>
      </c>
      <c r="G634" s="546"/>
      <c r="H634" s="546"/>
      <c r="I634" s="29">
        <v>20</v>
      </c>
      <c r="O634" s="30"/>
    </row>
    <row r="635" spans="6:21" ht="15">
      <c r="F635" s="547" t="s">
        <v>24</v>
      </c>
      <c r="G635" s="547"/>
      <c r="H635" s="547"/>
      <c r="I635" s="29">
        <f>0.7*I634/10</f>
        <v>1.4</v>
      </c>
    </row>
    <row r="636" spans="6:21" ht="15">
      <c r="F636" s="547" t="s">
        <v>25</v>
      </c>
      <c r="G636" s="547"/>
      <c r="H636" s="547"/>
      <c r="I636" s="29">
        <v>2</v>
      </c>
    </row>
    <row r="637" spans="6:21" ht="15">
      <c r="F637" s="547" t="s">
        <v>63</v>
      </c>
      <c r="G637" s="547"/>
      <c r="H637" s="547"/>
      <c r="I637" s="70">
        <v>6</v>
      </c>
    </row>
    <row r="638" spans="6:21" ht="15">
      <c r="F638" s="547" t="s">
        <v>71</v>
      </c>
      <c r="G638" s="547"/>
      <c r="H638" s="547"/>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76"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75"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74"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73"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72"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71"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70"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69"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68"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67"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66"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65"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64"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63"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62"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1"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60"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59"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58"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57"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56"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55"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4" priority="9">
      <formula>IF(AC8&lt;&gt;(AB8+1),TRUE,FALSE)</formula>
    </cfRule>
  </conditionalFormatting>
  <conditionalFormatting sqref="AB1:BF1048576">
    <cfRule type="expression" dxfId="53" priority="5">
      <formula>IF(AB$12&lt;&gt;"",TRUE,FALSE)</formula>
    </cfRule>
  </conditionalFormatting>
  <conditionalFormatting sqref="A38:BF10000 E14:BF37">
    <cfRule type="expression" dxfId="52" priority="4">
      <formula>IF($C14="ON",TRUE,FALSE)</formula>
    </cfRule>
  </conditionalFormatting>
  <conditionalFormatting sqref="A38:BF100000 E14:BF37">
    <cfRule type="expression" dxfId="51" priority="3">
      <formula>IF($C14="OFF",TRUE,FALSE)</formula>
    </cfRule>
  </conditionalFormatting>
  <conditionalFormatting sqref="A14:BF37">
    <cfRule type="expression" dxfId="50" priority="1">
      <formula>$C14="OFF"</formula>
    </cfRule>
    <cfRule type="expression" dxfId="49"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2026-07-23T21:03:07Z</dcterms:modified>
  <dc:language>en-US</dc:language>
</cp:coreProperties>
</file>