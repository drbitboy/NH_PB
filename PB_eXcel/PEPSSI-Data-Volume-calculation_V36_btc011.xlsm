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9278C57-EB1A-4DAC-8608-954A1C78687C}" xr6:coauthVersionLast="47" xr6:coauthVersionMax="47" xr10:uidLastSave="{00000000-0000-0000-0000-000000000000}"/>
  <bookViews>
    <workbookView xWindow="75" yWindow="30" windowWidth="28725" windowHeight="14355" tabRatio="500" activeTab="1" xr2:uid="{00000000-000D-0000-FFFF-FFFF00000000}"/>
  </bookViews>
  <sheets>
    <sheet name="btc_mods" sheetId="16" r:id="rId1"/>
    <sheet name="pep_ssf" sheetId="18"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s>
  <functionGroups builtInGroupCount="19"/>
  <definedNames>
    <definedName name="_xleta.CONCATENATE" hidden="1" xlm="1">#NAME?</definedName>
    <definedName name="_xleta.IF"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82" i="18" l="1"/>
  <c r="Q82" i="18"/>
  <c r="J82" i="18"/>
  <c r="H82" i="18"/>
  <c r="H81" i="18" s="1"/>
  <c r="H80" i="18" s="1"/>
  <c r="H79" i="18" s="1"/>
  <c r="H78" i="18" s="1"/>
  <c r="H77" i="18" s="1"/>
  <c r="H76" i="18" s="1"/>
  <c r="H75" i="18" s="1"/>
  <c r="H74" i="18" s="1"/>
  <c r="F82" i="18"/>
  <c r="Q81" i="18"/>
  <c r="P81" i="18"/>
  <c r="P82" i="18" s="1"/>
  <c r="J81" i="18"/>
  <c r="F81" i="18"/>
  <c r="P80" i="18"/>
  <c r="O80" i="18"/>
  <c r="L80" i="18"/>
  <c r="W80" i="18" s="1"/>
  <c r="AB80" i="18" s="1"/>
  <c r="J80" i="18"/>
  <c r="F80" i="18"/>
  <c r="AR79" i="18"/>
  <c r="AB79" i="18"/>
  <c r="W79" i="18"/>
  <c r="O79" i="18"/>
  <c r="V79" i="18" s="1"/>
  <c r="L79" i="18"/>
  <c r="J79" i="18"/>
  <c r="J78" i="18" s="1"/>
  <c r="J77" i="18" s="1"/>
  <c r="F79" i="18"/>
  <c r="AB78" i="18"/>
  <c r="W78" i="18"/>
  <c r="N78" i="18"/>
  <c r="N79" i="18" s="1"/>
  <c r="L78" i="18"/>
  <c r="F78" i="18"/>
  <c r="AB77" i="18"/>
  <c r="W77" i="18"/>
  <c r="F77" i="18"/>
  <c r="U76" i="18"/>
  <c r="T76" i="18"/>
  <c r="M76" i="18"/>
  <c r="J76" i="18"/>
  <c r="J75" i="18" s="1"/>
  <c r="J74" i="18" s="1"/>
  <c r="F76" i="18"/>
  <c r="Z75" i="18"/>
  <c r="V75" i="18"/>
  <c r="R75" i="18"/>
  <c r="Q75" i="18"/>
  <c r="N75" i="18"/>
  <c r="N76" i="18" s="1"/>
  <c r="M75" i="18"/>
  <c r="I75" i="18"/>
  <c r="I76" i="18" s="1"/>
  <c r="I77" i="18" s="1"/>
  <c r="I78" i="18" s="1"/>
  <c r="I79" i="18" s="1"/>
  <c r="I80" i="18" s="1"/>
  <c r="I81" i="18" s="1"/>
  <c r="I82" i="18" s="1"/>
  <c r="F75" i="18"/>
  <c r="Z74" i="18"/>
  <c r="AC74" i="18" s="1"/>
  <c r="Y74" i="18"/>
  <c r="V74" i="18"/>
  <c r="U74" i="18"/>
  <c r="R74" i="18"/>
  <c r="Q74" i="18"/>
  <c r="P74" i="18"/>
  <c r="P75" i="18" s="1"/>
  <c r="P76" i="18" s="1"/>
  <c r="O74" i="18"/>
  <c r="O75" i="18" s="1"/>
  <c r="O76" i="18" s="1"/>
  <c r="N74" i="18"/>
  <c r="M74" i="18"/>
  <c r="X74" i="18" s="1"/>
  <c r="L74" i="18"/>
  <c r="I74" i="18"/>
  <c r="F74" i="18"/>
  <c r="J73" i="18"/>
  <c r="J72" i="18" s="1"/>
  <c r="F73" i="18"/>
  <c r="F72" i="18"/>
  <c r="P71" i="18"/>
  <c r="P72" i="18" s="1"/>
  <c r="P73" i="18" s="1"/>
  <c r="J71" i="18"/>
  <c r="J70" i="18" s="1"/>
  <c r="J69" i="18" s="1"/>
  <c r="F71" i="18"/>
  <c r="P70" i="18"/>
  <c r="F70" i="18"/>
  <c r="M70" i="18" s="1"/>
  <c r="U70" i="18" s="1"/>
  <c r="O69" i="18"/>
  <c r="F69" i="18"/>
  <c r="N68" i="18"/>
  <c r="L68" i="18"/>
  <c r="L69" i="18" s="1"/>
  <c r="J68" i="18"/>
  <c r="J67" i="18" s="1"/>
  <c r="J66" i="18" s="1"/>
  <c r="J65" i="18" s="1"/>
  <c r="J64" i="18" s="1"/>
  <c r="F68" i="18"/>
  <c r="AB67" i="18"/>
  <c r="W67" i="18"/>
  <c r="I67" i="18"/>
  <c r="I68" i="18" s="1"/>
  <c r="I69" i="18" s="1"/>
  <c r="I70" i="18" s="1"/>
  <c r="I71" i="18" s="1"/>
  <c r="I72" i="18" s="1"/>
  <c r="I73" i="18" s="1"/>
  <c r="F67" i="18"/>
  <c r="U66" i="18"/>
  <c r="P66" i="18"/>
  <c r="P67" i="18" s="1"/>
  <c r="P68" i="18" s="1"/>
  <c r="P69" i="18" s="1"/>
  <c r="M66" i="18"/>
  <c r="F66" i="18"/>
  <c r="P65" i="18"/>
  <c r="L65" i="18"/>
  <c r="W65" i="18" s="1"/>
  <c r="AB65" i="18" s="1"/>
  <c r="F65" i="18"/>
  <c r="Z64" i="18"/>
  <c r="AD64" i="18" s="1"/>
  <c r="W64" i="18"/>
  <c r="AB64" i="18" s="1"/>
  <c r="T64" i="18"/>
  <c r="R64" i="18"/>
  <c r="Q64" i="18"/>
  <c r="P64" i="18"/>
  <c r="O64" i="18"/>
  <c r="O65" i="18" s="1"/>
  <c r="N64" i="18"/>
  <c r="N65" i="18" s="1"/>
  <c r="M64" i="18"/>
  <c r="L64" i="18"/>
  <c r="I64" i="18"/>
  <c r="I65" i="18" s="1"/>
  <c r="I66" i="18" s="1"/>
  <c r="F64" i="18"/>
  <c r="J63" i="18"/>
  <c r="J62" i="18" s="1"/>
  <c r="J61" i="18" s="1"/>
  <c r="J60" i="18" s="1"/>
  <c r="J59" i="18" s="1"/>
  <c r="F63" i="18"/>
  <c r="F62" i="18"/>
  <c r="P61" i="18"/>
  <c r="P62" i="18" s="1"/>
  <c r="P63" i="18" s="1"/>
  <c r="F61" i="18"/>
  <c r="Q61" i="18" s="1"/>
  <c r="P60" i="18"/>
  <c r="F60" i="18"/>
  <c r="O59" i="18"/>
  <c r="N59" i="18"/>
  <c r="L59" i="18"/>
  <c r="W59" i="18" s="1"/>
  <c r="AB59" i="18" s="1"/>
  <c r="F59" i="18"/>
  <c r="AB58" i="18"/>
  <c r="W58" i="18"/>
  <c r="N58" i="18"/>
  <c r="Z58" i="18" s="1"/>
  <c r="L58" i="18"/>
  <c r="J58" i="18"/>
  <c r="J57" i="18" s="1"/>
  <c r="J56" i="18" s="1"/>
  <c r="J55" i="18" s="1"/>
  <c r="J54" i="18" s="1"/>
  <c r="F58" i="18"/>
  <c r="W57" i="18"/>
  <c r="AB57" i="18" s="1"/>
  <c r="F57" i="18"/>
  <c r="M56" i="18"/>
  <c r="F56" i="18"/>
  <c r="M55" i="18"/>
  <c r="Y55" i="18" s="1"/>
  <c r="F55" i="18"/>
  <c r="R55" i="18" s="1"/>
  <c r="R56" i="18" s="1"/>
  <c r="Y54" i="18"/>
  <c r="AE54" i="18" s="1"/>
  <c r="W54" i="18"/>
  <c r="AJ54" i="18" s="1"/>
  <c r="U54" i="18"/>
  <c r="T54" i="18"/>
  <c r="AM54" i="18" s="1"/>
  <c r="R54" i="18"/>
  <c r="AF54" i="18" s="1"/>
  <c r="P54" i="18"/>
  <c r="P55" i="18" s="1"/>
  <c r="P56" i="18" s="1"/>
  <c r="P57" i="18" s="1"/>
  <c r="P58" i="18" s="1"/>
  <c r="P59" i="18" s="1"/>
  <c r="O54" i="18"/>
  <c r="V54" i="18" s="1"/>
  <c r="N54" i="18"/>
  <c r="N55" i="18" s="1"/>
  <c r="M54" i="18"/>
  <c r="L54" i="18"/>
  <c r="L55" i="18" s="1"/>
  <c r="I54" i="18"/>
  <c r="I55" i="18" s="1"/>
  <c r="I56" i="18" s="1"/>
  <c r="I57" i="18" s="1"/>
  <c r="I58" i="18" s="1"/>
  <c r="I59" i="18" s="1"/>
  <c r="I60" i="18" s="1"/>
  <c r="I61" i="18" s="1"/>
  <c r="I62" i="18" s="1"/>
  <c r="I63" i="18" s="1"/>
  <c r="F54" i="18"/>
  <c r="Q54" i="18" s="1"/>
  <c r="Q55" i="18" s="1"/>
  <c r="Q56" i="18" s="1"/>
  <c r="J53" i="18"/>
  <c r="J52" i="18" s="1"/>
  <c r="J51" i="18" s="1"/>
  <c r="J50" i="18" s="1"/>
  <c r="J49" i="18" s="1"/>
  <c r="J48" i="18" s="1"/>
  <c r="J47" i="18" s="1"/>
  <c r="J46" i="18" s="1"/>
  <c r="J45" i="18" s="1"/>
  <c r="J44" i="18" s="1"/>
  <c r="F53" i="18"/>
  <c r="F52" i="18"/>
  <c r="P51" i="18"/>
  <c r="P52" i="18" s="1"/>
  <c r="P53" i="18" s="1"/>
  <c r="F51" i="18"/>
  <c r="P50" i="18"/>
  <c r="F50" i="18"/>
  <c r="M50" i="18" s="1"/>
  <c r="V49" i="18"/>
  <c r="O49" i="18"/>
  <c r="O50" i="18" s="1"/>
  <c r="V50" i="18" s="1"/>
  <c r="L49" i="18"/>
  <c r="W49" i="18" s="1"/>
  <c r="AB49" i="18" s="1"/>
  <c r="F49" i="18"/>
  <c r="N48" i="18"/>
  <c r="L48" i="18"/>
  <c r="W48" i="18" s="1"/>
  <c r="AB48" i="18" s="1"/>
  <c r="I48" i="18"/>
  <c r="I49" i="18" s="1"/>
  <c r="I50" i="18" s="1"/>
  <c r="I51" i="18" s="1"/>
  <c r="I52" i="18" s="1"/>
  <c r="I53" i="18" s="1"/>
  <c r="F48" i="18"/>
  <c r="X47" i="18"/>
  <c r="W47" i="18"/>
  <c r="AB47" i="18" s="1"/>
  <c r="M47" i="18"/>
  <c r="F47" i="18"/>
  <c r="T46" i="18"/>
  <c r="O46" i="18"/>
  <c r="M46" i="18"/>
  <c r="F46" i="18"/>
  <c r="R45" i="18"/>
  <c r="N45" i="18"/>
  <c r="I45" i="18"/>
  <c r="I46" i="18" s="1"/>
  <c r="I47" i="18" s="1"/>
  <c r="F45" i="18"/>
  <c r="Z44" i="18"/>
  <c r="T44" i="18"/>
  <c r="R44" i="18"/>
  <c r="P44" i="18"/>
  <c r="P45" i="18" s="1"/>
  <c r="P46" i="18" s="1"/>
  <c r="P47" i="18" s="1"/>
  <c r="P48" i="18" s="1"/>
  <c r="P49" i="18" s="1"/>
  <c r="O44" i="18"/>
  <c r="O45" i="18" s="1"/>
  <c r="V45" i="18" s="1"/>
  <c r="N44" i="18"/>
  <c r="M44" i="18"/>
  <c r="L44" i="18"/>
  <c r="I44" i="18"/>
  <c r="F44" i="18"/>
  <c r="Q44" i="18" s="1"/>
  <c r="Q45" i="18" s="1"/>
  <c r="J43" i="18"/>
  <c r="J42" i="18" s="1"/>
  <c r="J41" i="18" s="1"/>
  <c r="J40" i="18" s="1"/>
  <c r="J39" i="18" s="1"/>
  <c r="J38" i="18" s="1"/>
  <c r="J37" i="18" s="1"/>
  <c r="J36" i="18" s="1"/>
  <c r="J35" i="18" s="1"/>
  <c r="J34" i="18" s="1"/>
  <c r="F43" i="18"/>
  <c r="F42" i="18"/>
  <c r="P41" i="18"/>
  <c r="P42" i="18" s="1"/>
  <c r="P43" i="18" s="1"/>
  <c r="O41" i="18"/>
  <c r="O42" i="18" s="1"/>
  <c r="F41" i="18"/>
  <c r="Q41" i="18" s="1"/>
  <c r="P40" i="18"/>
  <c r="F40" i="18"/>
  <c r="M40" i="18" s="1"/>
  <c r="U40" i="18" s="1"/>
  <c r="V39" i="18"/>
  <c r="O39" i="18"/>
  <c r="O40" i="18" s="1"/>
  <c r="V40" i="18" s="1"/>
  <c r="L39" i="18"/>
  <c r="F39" i="18"/>
  <c r="AB38" i="18"/>
  <c r="W38" i="18"/>
  <c r="N38" i="18"/>
  <c r="L38" i="18"/>
  <c r="F38" i="18"/>
  <c r="W37" i="18"/>
  <c r="AB37" i="18" s="1"/>
  <c r="F37" i="18"/>
  <c r="M37" i="18" s="1"/>
  <c r="U36" i="18"/>
  <c r="T36" i="18"/>
  <c r="O36" i="18"/>
  <c r="M36" i="18"/>
  <c r="F36" i="18"/>
  <c r="W35" i="18"/>
  <c r="AB35" i="18" s="1"/>
  <c r="O35" i="18"/>
  <c r="V35" i="18" s="1"/>
  <c r="N35" i="18"/>
  <c r="N36" i="18" s="1"/>
  <c r="F35" i="18"/>
  <c r="R35" i="18" s="1"/>
  <c r="R36" i="18" s="1"/>
  <c r="AQ34" i="18"/>
  <c r="W34" i="18"/>
  <c r="AB34" i="18" s="1"/>
  <c r="V34" i="18"/>
  <c r="R34" i="18"/>
  <c r="Q34" i="18"/>
  <c r="Q35" i="18" s="1"/>
  <c r="P34" i="18"/>
  <c r="P35" i="18" s="1"/>
  <c r="P36" i="18" s="1"/>
  <c r="O34" i="18"/>
  <c r="N34" i="18"/>
  <c r="Z34" i="18" s="1"/>
  <c r="M34" i="18"/>
  <c r="L34" i="18"/>
  <c r="L35" i="18" s="1"/>
  <c r="L36" i="18" s="1"/>
  <c r="W36" i="18" s="1"/>
  <c r="I34" i="18"/>
  <c r="I35" i="18" s="1"/>
  <c r="I36" i="18" s="1"/>
  <c r="I37" i="18" s="1"/>
  <c r="I38" i="18" s="1"/>
  <c r="I39" i="18" s="1"/>
  <c r="I40" i="18" s="1"/>
  <c r="I41" i="18" s="1"/>
  <c r="I42" i="18" s="1"/>
  <c r="I43" i="18" s="1"/>
  <c r="F34" i="18"/>
  <c r="J33" i="18"/>
  <c r="J32" i="18" s="1"/>
  <c r="J31" i="18" s="1"/>
  <c r="J30" i="18" s="1"/>
  <c r="J29" i="18" s="1"/>
  <c r="J28" i="18" s="1"/>
  <c r="J27" i="18" s="1"/>
  <c r="J26" i="18" s="1"/>
  <c r="J25" i="18" s="1"/>
  <c r="J24" i="18" s="1"/>
  <c r="F33" i="18"/>
  <c r="F32" i="18"/>
  <c r="R32" i="18" s="1"/>
  <c r="P31" i="18"/>
  <c r="P32" i="18" s="1"/>
  <c r="P33" i="18" s="1"/>
  <c r="F31" i="18"/>
  <c r="P30" i="18"/>
  <c r="O30" i="18"/>
  <c r="V30" i="18" s="1"/>
  <c r="F30" i="18"/>
  <c r="M30" i="18" s="1"/>
  <c r="Z29" i="18"/>
  <c r="V29" i="18"/>
  <c r="O29" i="18"/>
  <c r="F29" i="18"/>
  <c r="Z28" i="18"/>
  <c r="N28" i="18"/>
  <c r="N29" i="18" s="1"/>
  <c r="N30" i="18" s="1"/>
  <c r="N31" i="18" s="1"/>
  <c r="N32" i="18" s="1"/>
  <c r="N33" i="18" s="1"/>
  <c r="Z33" i="18" s="1"/>
  <c r="L28" i="18"/>
  <c r="L29" i="18" s="1"/>
  <c r="F28" i="18"/>
  <c r="W27" i="18"/>
  <c r="AB27" i="18" s="1"/>
  <c r="F27" i="18"/>
  <c r="M26" i="18"/>
  <c r="F26" i="18"/>
  <c r="P25" i="18"/>
  <c r="P26" i="18" s="1"/>
  <c r="P27" i="18" s="1"/>
  <c r="P28" i="18" s="1"/>
  <c r="P29" i="18" s="1"/>
  <c r="O25" i="18"/>
  <c r="L25" i="18"/>
  <c r="L26" i="18" s="1"/>
  <c r="W26" i="18" s="1"/>
  <c r="AB26" i="18" s="1"/>
  <c r="F25" i="18"/>
  <c r="AQ24" i="18"/>
  <c r="AB24" i="18"/>
  <c r="Z24" i="18"/>
  <c r="W24" i="18"/>
  <c r="V24" i="18"/>
  <c r="R24" i="18"/>
  <c r="Q24" i="18"/>
  <c r="P24" i="18"/>
  <c r="O24" i="18"/>
  <c r="N24" i="18"/>
  <c r="N25" i="18" s="1"/>
  <c r="M24" i="18"/>
  <c r="L24" i="18"/>
  <c r="I24" i="18"/>
  <c r="I25" i="18" s="1"/>
  <c r="I26" i="18" s="1"/>
  <c r="I27" i="18" s="1"/>
  <c r="I28" i="18" s="1"/>
  <c r="I29" i="18" s="1"/>
  <c r="I30" i="18" s="1"/>
  <c r="I31" i="18" s="1"/>
  <c r="I32" i="18" s="1"/>
  <c r="I33" i="18" s="1"/>
  <c r="F24" i="18"/>
  <c r="O77" i="18" l="1"/>
  <c r="V76" i="18"/>
  <c r="AG74" i="18"/>
  <c r="AE74" i="18"/>
  <c r="Y75" i="18"/>
  <c r="U75" i="18"/>
  <c r="X75" i="18"/>
  <c r="T75" i="18"/>
  <c r="BA75" i="18"/>
  <c r="AW75" i="18"/>
  <c r="AS75" i="18"/>
  <c r="Z76" i="18"/>
  <c r="N77" i="18"/>
  <c r="Z77" i="18" s="1"/>
  <c r="AC75" i="18"/>
  <c r="AQ75" i="18"/>
  <c r="L75" i="18"/>
  <c r="W74" i="18"/>
  <c r="AR74" i="18" s="1"/>
  <c r="P77" i="18"/>
  <c r="P78" i="18" s="1"/>
  <c r="P79" i="18" s="1"/>
  <c r="X76" i="18"/>
  <c r="BE74" i="18"/>
  <c r="AH74" i="18"/>
  <c r="N80" i="18"/>
  <c r="Z79" i="18"/>
  <c r="M77" i="18"/>
  <c r="Z78" i="18"/>
  <c r="O81" i="18"/>
  <c r="V80" i="18"/>
  <c r="AQ74" i="18"/>
  <c r="AU74" i="18"/>
  <c r="AY74" i="18"/>
  <c r="BC74" i="18"/>
  <c r="Q76" i="18"/>
  <c r="Y76" i="18" s="1"/>
  <c r="AM76" i="18" s="1"/>
  <c r="M79" i="18"/>
  <c r="M80" i="18"/>
  <c r="AZ74" i="18"/>
  <c r="R76" i="18"/>
  <c r="R77" i="18" s="1"/>
  <c r="R78" i="18" s="1"/>
  <c r="R79" i="18" s="1"/>
  <c r="L81" i="18"/>
  <c r="T74" i="18"/>
  <c r="AS74" i="18"/>
  <c r="AW74" i="18"/>
  <c r="BA74" i="18"/>
  <c r="AI76" i="18"/>
  <c r="AK76" i="18"/>
  <c r="M78" i="18"/>
  <c r="AQ79" i="18"/>
  <c r="O66" i="18"/>
  <c r="V65" i="18"/>
  <c r="AK64" i="18"/>
  <c r="V64" i="18"/>
  <c r="R65" i="18"/>
  <c r="Q65" i="18"/>
  <c r="Q66" i="18" s="1"/>
  <c r="Y66" i="18" s="1"/>
  <c r="M65" i="18"/>
  <c r="W69" i="18"/>
  <c r="AB69" i="18" s="1"/>
  <c r="L70" i="18"/>
  <c r="W68" i="18"/>
  <c r="AB68" i="18" s="1"/>
  <c r="AL64" i="18"/>
  <c r="Y64" i="18"/>
  <c r="U64" i="18"/>
  <c r="AC64" i="18"/>
  <c r="AI64" i="18"/>
  <c r="L66" i="18"/>
  <c r="W66" i="18" s="1"/>
  <c r="AB66" i="18" s="1"/>
  <c r="N66" i="18"/>
  <c r="Z65" i="18"/>
  <c r="X64" i="18"/>
  <c r="AJ64" i="18"/>
  <c r="R66" i="18"/>
  <c r="R67" i="18" s="1"/>
  <c r="R68" i="18" s="1"/>
  <c r="M67" i="18"/>
  <c r="X66" i="18"/>
  <c r="T66" i="18"/>
  <c r="M68" i="18"/>
  <c r="O70" i="18"/>
  <c r="V69" i="18"/>
  <c r="Q71" i="18"/>
  <c r="M71" i="18"/>
  <c r="N69" i="18"/>
  <c r="Z68" i="18"/>
  <c r="R69" i="18"/>
  <c r="R70" i="18" s="1"/>
  <c r="R71" i="18" s="1"/>
  <c r="X70" i="18"/>
  <c r="T70" i="18"/>
  <c r="R72" i="18"/>
  <c r="R73" i="18" s="1"/>
  <c r="Q72" i="18"/>
  <c r="Q73" i="18" s="1"/>
  <c r="M72" i="18"/>
  <c r="Q62" i="18"/>
  <c r="W55" i="18"/>
  <c r="AB55" i="18" s="1"/>
  <c r="L56" i="18"/>
  <c r="W56" i="18" s="1"/>
  <c r="AB56" i="18" s="1"/>
  <c r="N56" i="18"/>
  <c r="Z55" i="18"/>
  <c r="BC54" i="18"/>
  <c r="AY54" i="18"/>
  <c r="AU54" i="18"/>
  <c r="AQ54" i="18"/>
  <c r="BD54" i="18"/>
  <c r="AZ54" i="18"/>
  <c r="AV54" i="18"/>
  <c r="AR54" i="18"/>
  <c r="AB54" i="18"/>
  <c r="AN54" i="18"/>
  <c r="O55" i="18"/>
  <c r="T55" i="18"/>
  <c r="X55" i="18"/>
  <c r="X54" i="18"/>
  <c r="U55" i="18"/>
  <c r="AH55" i="18" s="1"/>
  <c r="V59" i="18"/>
  <c r="O60" i="18"/>
  <c r="X56" i="18"/>
  <c r="T56" i="18"/>
  <c r="Y56" i="18"/>
  <c r="R57" i="18"/>
  <c r="R58" i="18" s="1"/>
  <c r="R59" i="18" s="1"/>
  <c r="R60" i="18" s="1"/>
  <c r="R61" i="18" s="1"/>
  <c r="M57" i="18"/>
  <c r="Q57" i="18"/>
  <c r="Q58" i="18" s="1"/>
  <c r="Q59" i="18" s="1"/>
  <c r="Q60" i="18" s="1"/>
  <c r="AH54" i="18"/>
  <c r="Z54" i="18"/>
  <c r="BB54" i="18" s="1"/>
  <c r="AI54" i="18"/>
  <c r="U56" i="18"/>
  <c r="AC58" i="18"/>
  <c r="R62" i="18"/>
  <c r="N60" i="18"/>
  <c r="Z59" i="18"/>
  <c r="L60" i="18"/>
  <c r="Q63" i="18"/>
  <c r="R63" i="18"/>
  <c r="M60" i="18"/>
  <c r="AQ50" i="18"/>
  <c r="AO44" i="18"/>
  <c r="AK44" i="18"/>
  <c r="AI44" i="18"/>
  <c r="R46" i="18"/>
  <c r="R47" i="18" s="1"/>
  <c r="Q46" i="18"/>
  <c r="AI46" i="18"/>
  <c r="U47" i="18"/>
  <c r="T47" i="18"/>
  <c r="L45" i="18"/>
  <c r="W44" i="18"/>
  <c r="AB44" i="18" s="1"/>
  <c r="V44" i="18"/>
  <c r="N46" i="18"/>
  <c r="Z45" i="18"/>
  <c r="X46" i="18"/>
  <c r="O47" i="18"/>
  <c r="V46" i="18"/>
  <c r="AQ45" i="18"/>
  <c r="AS45" i="18"/>
  <c r="M45" i="18"/>
  <c r="Y44" i="18"/>
  <c r="U44" i="18"/>
  <c r="X44" i="18"/>
  <c r="AC44" i="18"/>
  <c r="Y46" i="18"/>
  <c r="Q47" i="18"/>
  <c r="Y47" i="18" s="1"/>
  <c r="R49" i="18"/>
  <c r="R50" i="18" s="1"/>
  <c r="R51" i="18" s="1"/>
  <c r="Q49" i="18"/>
  <c r="Q50" i="18" s="1"/>
  <c r="X50" i="18"/>
  <c r="Y50" i="18" s="1"/>
  <c r="T50" i="18"/>
  <c r="AY50" i="18" s="1"/>
  <c r="U46" i="18"/>
  <c r="M49" i="18"/>
  <c r="U50" i="18"/>
  <c r="Q51" i="18"/>
  <c r="Q52" i="18" s="1"/>
  <c r="Q53" i="18" s="1"/>
  <c r="M51" i="18"/>
  <c r="O51" i="18"/>
  <c r="Q48" i="18"/>
  <c r="M48" i="18"/>
  <c r="R48" i="18"/>
  <c r="AQ49" i="18"/>
  <c r="N49" i="18"/>
  <c r="Z48" i="18"/>
  <c r="AR49" i="18"/>
  <c r="L50" i="18"/>
  <c r="R52" i="18"/>
  <c r="R53" i="18" s="1"/>
  <c r="M52" i="18"/>
  <c r="P37" i="18"/>
  <c r="P38" i="18" s="1"/>
  <c r="P39" i="18" s="1"/>
  <c r="X36" i="18"/>
  <c r="AQ35" i="18"/>
  <c r="AR35" i="18"/>
  <c r="U37" i="18"/>
  <c r="T37" i="18"/>
  <c r="X37" i="18"/>
  <c r="AJ36" i="18"/>
  <c r="AB36" i="18"/>
  <c r="AC34" i="18"/>
  <c r="AT34" i="18"/>
  <c r="AD34" i="18"/>
  <c r="Z36" i="18"/>
  <c r="N37" i="18"/>
  <c r="Z37" i="18" s="1"/>
  <c r="X34" i="18"/>
  <c r="T34" i="18"/>
  <c r="AQ39" i="18"/>
  <c r="Q36" i="18"/>
  <c r="Y36" i="18" s="1"/>
  <c r="R37" i="18"/>
  <c r="AQ40" i="18"/>
  <c r="Q37" i="18"/>
  <c r="Y37" i="18" s="1"/>
  <c r="V42" i="18"/>
  <c r="O43" i="18"/>
  <c r="V43" i="18" s="1"/>
  <c r="Z35" i="18"/>
  <c r="O37" i="18"/>
  <c r="V36" i="18"/>
  <c r="N39" i="18"/>
  <c r="Z38" i="18"/>
  <c r="W39" i="18"/>
  <c r="AB39" i="18" s="1"/>
  <c r="L40" i="18"/>
  <c r="Y34" i="18"/>
  <c r="U34" i="18"/>
  <c r="AW34" i="18" s="1"/>
  <c r="BA34" i="18"/>
  <c r="AS34" i="18"/>
  <c r="AR34" i="18"/>
  <c r="M35" i="18"/>
  <c r="AM36" i="18"/>
  <c r="AI36" i="18"/>
  <c r="AP36" i="18"/>
  <c r="AL36" i="18"/>
  <c r="AO36" i="18"/>
  <c r="V41" i="18"/>
  <c r="Q42" i="18"/>
  <c r="Q43" i="18" s="1"/>
  <c r="R42" i="18"/>
  <c r="R43" i="18" s="1"/>
  <c r="Q38" i="18"/>
  <c r="Q39" i="18" s="1"/>
  <c r="Q40" i="18" s="1"/>
  <c r="M38" i="18"/>
  <c r="R38" i="18"/>
  <c r="R39" i="18" s="1"/>
  <c r="R40" i="18" s="1"/>
  <c r="R41" i="18" s="1"/>
  <c r="M41" i="18"/>
  <c r="M42" i="18" s="1"/>
  <c r="X40" i="18"/>
  <c r="T40" i="18"/>
  <c r="Z30" i="18"/>
  <c r="O31" i="18"/>
  <c r="V31" i="18" s="1"/>
  <c r="AQ31" i="18" s="1"/>
  <c r="Z31" i="18"/>
  <c r="O26" i="18"/>
  <c r="V25" i="18"/>
  <c r="R26" i="18"/>
  <c r="AQ30" i="18"/>
  <c r="R27" i="18"/>
  <c r="R28" i="18" s="1"/>
  <c r="M27" i="18"/>
  <c r="AT24" i="18"/>
  <c r="AS24" i="18"/>
  <c r="AR24" i="18"/>
  <c r="AW24" i="18"/>
  <c r="AU24" i="18"/>
  <c r="Y26" i="18"/>
  <c r="U26" i="18"/>
  <c r="X26" i="18"/>
  <c r="T26" i="18"/>
  <c r="AQ29" i="18"/>
  <c r="Y24" i="18"/>
  <c r="U24" i="18"/>
  <c r="AV24" i="18" s="1"/>
  <c r="X24" i="18"/>
  <c r="T24" i="18"/>
  <c r="BF24" i="18" s="1"/>
  <c r="AD24" i="18"/>
  <c r="AC24" i="18"/>
  <c r="Z25" i="18"/>
  <c r="N26" i="18"/>
  <c r="R25" i="18"/>
  <c r="Q25" i="18"/>
  <c r="Q26" i="18" s="1"/>
  <c r="Q27" i="18" s="1"/>
  <c r="Q28" i="18" s="1"/>
  <c r="Q29" i="18" s="1"/>
  <c r="Q30" i="18" s="1"/>
  <c r="Y30" i="18" s="1"/>
  <c r="M25" i="18"/>
  <c r="U30" i="18"/>
  <c r="X30" i="18"/>
  <c r="T30" i="18"/>
  <c r="AY30" i="18" s="1"/>
  <c r="L30" i="18"/>
  <c r="W29" i="18"/>
  <c r="AB29" i="18" s="1"/>
  <c r="M28" i="18"/>
  <c r="Q31" i="18"/>
  <c r="Q32" i="18" s="1"/>
  <c r="Q33" i="18" s="1"/>
  <c r="W25" i="18"/>
  <c r="AB25" i="18" s="1"/>
  <c r="M31" i="18"/>
  <c r="M32" i="18" s="1"/>
  <c r="Z32" i="18"/>
  <c r="R33" i="18"/>
  <c r="W28" i="18"/>
  <c r="AB28" i="18" s="1"/>
  <c r="AD23" i="18"/>
  <c r="BF23" i="18"/>
  <c r="BE23" i="18"/>
  <c r="BD23" i="18"/>
  <c r="BC23" i="18"/>
  <c r="BB23" i="18"/>
  <c r="BA23" i="18"/>
  <c r="AZ23" i="18"/>
  <c r="AY23" i="18"/>
  <c r="AX23" i="18"/>
  <c r="AW23" i="18"/>
  <c r="AV23" i="18"/>
  <c r="AU23" i="18"/>
  <c r="AT23" i="18"/>
  <c r="AS23" i="18"/>
  <c r="AR23" i="18"/>
  <c r="AQ23" i="18"/>
  <c r="AP23" i="18"/>
  <c r="AO23" i="18"/>
  <c r="AN23" i="18"/>
  <c r="AM23" i="18"/>
  <c r="AL23" i="18"/>
  <c r="AK23" i="18"/>
  <c r="AJ23" i="18"/>
  <c r="AI23" i="18"/>
  <c r="AH23" i="18"/>
  <c r="AG23" i="18"/>
  <c r="AF23" i="18"/>
  <c r="AE23" i="18"/>
  <c r="AC23" i="18"/>
  <c r="AB23" i="18"/>
  <c r="BF22" i="18"/>
  <c r="BE22" i="18"/>
  <c r="BD22" i="18"/>
  <c r="BC22" i="18"/>
  <c r="BB22" i="18"/>
  <c r="BA22" i="18"/>
  <c r="AZ22" i="18"/>
  <c r="AY22" i="18"/>
  <c r="AX22" i="18"/>
  <c r="AW22" i="18"/>
  <c r="AV22" i="18"/>
  <c r="AU22" i="18"/>
  <c r="AT22" i="18"/>
  <c r="AS22" i="18"/>
  <c r="AR22" i="18"/>
  <c r="AQ22" i="18"/>
  <c r="AP22" i="18"/>
  <c r="AO22" i="18"/>
  <c r="AN22" i="18"/>
  <c r="AM22" i="18"/>
  <c r="AL22" i="18"/>
  <c r="AK22" i="18"/>
  <c r="AJ22" i="18"/>
  <c r="AI22" i="18"/>
  <c r="AH22" i="18"/>
  <c r="AG22" i="18"/>
  <c r="AF22" i="18"/>
  <c r="AE22" i="18"/>
  <c r="AD22" i="18"/>
  <c r="AC22" i="18"/>
  <c r="AB22" i="18"/>
  <c r="BF21" i="18"/>
  <c r="BE21" i="18"/>
  <c r="BD21" i="18"/>
  <c r="BC21" i="18"/>
  <c r="BB21" i="18"/>
  <c r="BA21" i="18"/>
  <c r="AZ21" i="18"/>
  <c r="AY21" i="18"/>
  <c r="AX21" i="18"/>
  <c r="AW21" i="18"/>
  <c r="AV21" i="18"/>
  <c r="AU21" i="18"/>
  <c r="AT21" i="18"/>
  <c r="AS21" i="18"/>
  <c r="AR21" i="18"/>
  <c r="AQ21" i="18"/>
  <c r="AP21" i="18"/>
  <c r="AO21" i="18"/>
  <c r="AN21" i="18"/>
  <c r="AM21" i="18"/>
  <c r="AL21" i="18"/>
  <c r="AK21" i="18"/>
  <c r="AJ21" i="18"/>
  <c r="AI21" i="18"/>
  <c r="AH21" i="18"/>
  <c r="AG21" i="18"/>
  <c r="AF21" i="18"/>
  <c r="AE21" i="18"/>
  <c r="AD21" i="18"/>
  <c r="AC21" i="18"/>
  <c r="AB21" i="18"/>
  <c r="BF20" i="18"/>
  <c r="BE20" i="18"/>
  <c r="BD20" i="18"/>
  <c r="BC20" i="18"/>
  <c r="BB20" i="18"/>
  <c r="BA20" i="18"/>
  <c r="AZ20" i="18"/>
  <c r="AY20" i="18"/>
  <c r="AX20" i="18"/>
  <c r="AW20" i="18"/>
  <c r="AV20" i="18"/>
  <c r="AU20" i="18"/>
  <c r="AT20" i="18"/>
  <c r="AS20" i="18"/>
  <c r="AR20" i="18"/>
  <c r="AQ20" i="18"/>
  <c r="AP20" i="18"/>
  <c r="AO20" i="18"/>
  <c r="AN20" i="18"/>
  <c r="AM20" i="18"/>
  <c r="AL20" i="18"/>
  <c r="AK20" i="18"/>
  <c r="AJ20" i="18"/>
  <c r="AI20" i="18"/>
  <c r="AH20" i="18"/>
  <c r="AG20" i="18"/>
  <c r="AF20" i="18"/>
  <c r="AE20" i="18"/>
  <c r="AD20" i="18"/>
  <c r="AC20" i="18"/>
  <c r="AB20" i="18"/>
  <c r="BF19" i="18"/>
  <c r="BE19" i="18"/>
  <c r="BD19" i="18"/>
  <c r="BC19" i="18"/>
  <c r="BB19" i="18"/>
  <c r="BA19" i="18"/>
  <c r="AZ19" i="18"/>
  <c r="AY19" i="18"/>
  <c r="AX19" i="18"/>
  <c r="AW19" i="18"/>
  <c r="AV19" i="18"/>
  <c r="AU19" i="18"/>
  <c r="AT19" i="18"/>
  <c r="AS19" i="18"/>
  <c r="AR19" i="18"/>
  <c r="AQ19" i="18"/>
  <c r="AP19" i="18"/>
  <c r="AO19" i="18"/>
  <c r="AN19" i="18"/>
  <c r="AM19" i="18"/>
  <c r="AL19" i="18"/>
  <c r="AK19" i="18"/>
  <c r="AJ19" i="18"/>
  <c r="AI19" i="18"/>
  <c r="AH19" i="18"/>
  <c r="AG19" i="18"/>
  <c r="AF19" i="18"/>
  <c r="AE19" i="18"/>
  <c r="AD19" i="18"/>
  <c r="AC19" i="18"/>
  <c r="AB19" i="18"/>
  <c r="BF18" i="18"/>
  <c r="BE18" i="18"/>
  <c r="BD18" i="18"/>
  <c r="BC18" i="18"/>
  <c r="BB18" i="18"/>
  <c r="BA18" i="18"/>
  <c r="AZ18" i="18"/>
  <c r="AY18" i="18"/>
  <c r="AX18" i="18"/>
  <c r="AW18" i="18"/>
  <c r="AV18" i="18"/>
  <c r="AU18" i="18"/>
  <c r="AT18" i="18"/>
  <c r="AS18" i="18"/>
  <c r="AR18" i="18"/>
  <c r="AQ18" i="18"/>
  <c r="AP18" i="18"/>
  <c r="AO18" i="18"/>
  <c r="AN18" i="18"/>
  <c r="AM18" i="18"/>
  <c r="AL18" i="18"/>
  <c r="AK18" i="18"/>
  <c r="AJ18" i="18"/>
  <c r="AI18" i="18"/>
  <c r="AH18" i="18"/>
  <c r="AG18" i="18"/>
  <c r="AF18" i="18"/>
  <c r="AE18" i="18"/>
  <c r="AD18" i="18"/>
  <c r="AC18" i="18"/>
  <c r="AB18" i="18"/>
  <c r="BF17" i="18"/>
  <c r="BE17" i="18"/>
  <c r="BD17" i="18"/>
  <c r="BC17" i="18"/>
  <c r="BB17" i="18"/>
  <c r="BA17" i="18"/>
  <c r="AZ17" i="18"/>
  <c r="AY17" i="18"/>
  <c r="AX17" i="18"/>
  <c r="AW17" i="18"/>
  <c r="AV17" i="18"/>
  <c r="AU17" i="18"/>
  <c r="AT17" i="18"/>
  <c r="AS17" i="18"/>
  <c r="AR17" i="18"/>
  <c r="AQ17" i="18"/>
  <c r="AP17" i="18"/>
  <c r="AO17" i="18"/>
  <c r="AN17" i="18"/>
  <c r="AM17" i="18"/>
  <c r="AL17" i="18"/>
  <c r="AK17" i="18"/>
  <c r="AJ17" i="18"/>
  <c r="AI17" i="18"/>
  <c r="AH17" i="18"/>
  <c r="AG17" i="18"/>
  <c r="AF17" i="18"/>
  <c r="AE17" i="18"/>
  <c r="AD17" i="18"/>
  <c r="AC17" i="18"/>
  <c r="AB17" i="18"/>
  <c r="BF16" i="18"/>
  <c r="BE16" i="18"/>
  <c r="BD16" i="18"/>
  <c r="BC16" i="18"/>
  <c r="BB16" i="18"/>
  <c r="BA16" i="18"/>
  <c r="AZ16" i="18"/>
  <c r="AY16" i="18"/>
  <c r="AX16" i="18"/>
  <c r="AW16" i="18"/>
  <c r="AV16" i="18"/>
  <c r="AU16" i="18"/>
  <c r="AT16" i="18"/>
  <c r="AS16" i="18"/>
  <c r="AR16" i="18"/>
  <c r="AQ16" i="18"/>
  <c r="AP16" i="18"/>
  <c r="AO16" i="18"/>
  <c r="AN16" i="18"/>
  <c r="AM16" i="18"/>
  <c r="AL16" i="18"/>
  <c r="AK16" i="18"/>
  <c r="AJ16" i="18"/>
  <c r="AI16" i="18"/>
  <c r="AH16" i="18"/>
  <c r="AG16" i="18"/>
  <c r="AF16" i="18"/>
  <c r="AE16" i="18"/>
  <c r="AD16" i="18"/>
  <c r="AC16" i="18"/>
  <c r="AB16" i="18"/>
  <c r="BF15" i="18"/>
  <c r="BE15" i="18"/>
  <c r="BD15" i="18"/>
  <c r="BC15" i="18"/>
  <c r="BB15" i="18"/>
  <c r="BA15" i="18"/>
  <c r="AZ15" i="18"/>
  <c r="AY15" i="18"/>
  <c r="AX15" i="18"/>
  <c r="AW15" i="18"/>
  <c r="AV15" i="18"/>
  <c r="AU15" i="18"/>
  <c r="AT15" i="18"/>
  <c r="AS15" i="18"/>
  <c r="AR15" i="18"/>
  <c r="AQ15" i="18"/>
  <c r="AP15" i="18"/>
  <c r="AO15" i="18"/>
  <c r="AN15" i="18"/>
  <c r="AM15" i="18"/>
  <c r="AL15" i="18"/>
  <c r="AK15" i="18"/>
  <c r="AJ15" i="18"/>
  <c r="AI15" i="18"/>
  <c r="AH15" i="18"/>
  <c r="AG15" i="18"/>
  <c r="AF15" i="18"/>
  <c r="AE15" i="18"/>
  <c r="AD15" i="18"/>
  <c r="AC15" i="18"/>
  <c r="AB15" i="18"/>
  <c r="BF14" i="18"/>
  <c r="BE14" i="18"/>
  <c r="BD14" i="18"/>
  <c r="BC14" i="18"/>
  <c r="BB14" i="18"/>
  <c r="BA14" i="18"/>
  <c r="AZ14" i="18"/>
  <c r="AY14" i="18"/>
  <c r="AX14" i="18"/>
  <c r="AW14" i="18"/>
  <c r="AV14" i="18"/>
  <c r="AU14" i="18"/>
  <c r="AT14" i="18"/>
  <c r="AS14" i="18"/>
  <c r="AR14" i="18"/>
  <c r="AQ14" i="18"/>
  <c r="AP14" i="18"/>
  <c r="AO14" i="18"/>
  <c r="AN14" i="18"/>
  <c r="AM14" i="18"/>
  <c r="AL14" i="18"/>
  <c r="AK14" i="18"/>
  <c r="AJ14" i="18"/>
  <c r="AI14" i="18"/>
  <c r="AH14" i="18"/>
  <c r="AG14" i="18"/>
  <c r="AF14" i="18"/>
  <c r="AE14" i="18"/>
  <c r="AD14" i="18"/>
  <c r="AC14" i="18"/>
  <c r="AB14"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X23" i="18"/>
  <c r="X22" i="18"/>
  <c r="X21" i="18"/>
  <c r="X20" i="18"/>
  <c r="X19" i="18"/>
  <c r="X18" i="18"/>
  <c r="X17" i="18"/>
  <c r="X16" i="18"/>
  <c r="X15" i="18"/>
  <c r="X14" i="18"/>
  <c r="P21" i="18"/>
  <c r="P22" i="18" s="1"/>
  <c r="P23" i="18" s="1"/>
  <c r="P20" i="18"/>
  <c r="P15" i="18"/>
  <c r="P16" i="18" s="1"/>
  <c r="P17" i="18" s="1"/>
  <c r="P18" i="18" s="1"/>
  <c r="P19" i="18" s="1"/>
  <c r="P14" i="18"/>
  <c r="G15" i="18"/>
  <c r="G16" i="18" s="1"/>
  <c r="G17" i="18" s="1"/>
  <c r="G18" i="18" s="1"/>
  <c r="G19" i="18" s="1"/>
  <c r="G20" i="18" s="1"/>
  <c r="G21" i="18" s="1"/>
  <c r="G22" i="18" s="1"/>
  <c r="G23" i="18" s="1"/>
  <c r="G14" i="18"/>
  <c r="I14" i="18"/>
  <c r="I15" i="18" s="1"/>
  <c r="I16" i="18" s="1"/>
  <c r="I17" i="18" s="1"/>
  <c r="I18" i="18" s="1"/>
  <c r="I19" i="18" s="1"/>
  <c r="I20" i="18" s="1"/>
  <c r="I21" i="18" s="1"/>
  <c r="I22" i="18" s="1"/>
  <c r="I23" i="18" s="1"/>
  <c r="J23" i="18"/>
  <c r="J22" i="18" s="1"/>
  <c r="J21" i="18" s="1"/>
  <c r="J20" i="18" s="1"/>
  <c r="J19" i="18" s="1"/>
  <c r="J18" i="18" s="1"/>
  <c r="J17" i="18" s="1"/>
  <c r="J16" i="18" s="1"/>
  <c r="J15" i="18" s="1"/>
  <c r="J14" i="18" s="1"/>
  <c r="L14" i="18"/>
  <c r="L15" i="18" s="1"/>
  <c r="L16" i="18" s="1"/>
  <c r="W16" i="18" s="1"/>
  <c r="L18" i="18"/>
  <c r="L19" i="18" s="1"/>
  <c r="L20" i="18" s="1"/>
  <c r="L21" i="18" s="1"/>
  <c r="F23" i="18"/>
  <c r="R14" i="18"/>
  <c r="F22" i="18"/>
  <c r="B22" i="18"/>
  <c r="B23" i="18" s="1"/>
  <c r="H23" i="18" s="1"/>
  <c r="W17" i="18"/>
  <c r="M16" i="18"/>
  <c r="U16" i="18" s="1"/>
  <c r="M14" i="18"/>
  <c r="Y14" i="18" s="1"/>
  <c r="F21" i="18"/>
  <c r="F20" i="18"/>
  <c r="M20" i="18" s="1"/>
  <c r="U20" i="18" s="1"/>
  <c r="F19" i="18"/>
  <c r="F18" i="18"/>
  <c r="F17" i="18"/>
  <c r="F16" i="18"/>
  <c r="F15" i="18"/>
  <c r="F14" i="18"/>
  <c r="Q14" i="18" s="1"/>
  <c r="O19" i="18"/>
  <c r="O20" i="18" s="1"/>
  <c r="O21" i="18" s="1"/>
  <c r="V21" i="18" s="1"/>
  <c r="O14" i="18"/>
  <c r="O15" i="18" s="1"/>
  <c r="V15" i="18" s="1"/>
  <c r="N18" i="18"/>
  <c r="N19" i="18" s="1"/>
  <c r="N20" i="18" s="1"/>
  <c r="N21" i="18" s="1"/>
  <c r="Z21" i="18" s="1"/>
  <c r="N14" i="18"/>
  <c r="N15" i="18" s="1"/>
  <c r="N16" i="18" s="1"/>
  <c r="N17" i="18" s="1"/>
  <c r="Z17" i="18" s="1"/>
  <c r="R80" i="18" l="1"/>
  <c r="R81" i="18" s="1"/>
  <c r="AS79" i="18"/>
  <c r="AT79" i="18"/>
  <c r="AR80" i="18"/>
  <c r="AQ80" i="18"/>
  <c r="AS80" i="18"/>
  <c r="U79" i="18"/>
  <c r="X79" i="18"/>
  <c r="T79" i="18"/>
  <c r="O82" i="18"/>
  <c r="V82" i="18" s="1"/>
  <c r="V81" i="18"/>
  <c r="U78" i="18"/>
  <c r="X78" i="18"/>
  <c r="T78" i="18"/>
  <c r="AO74" i="18"/>
  <c r="AK74" i="18"/>
  <c r="AN74" i="18"/>
  <c r="AJ74" i="18"/>
  <c r="AM74" i="18"/>
  <c r="AI74" i="18"/>
  <c r="AL74" i="18"/>
  <c r="BF74" i="18"/>
  <c r="AP74" i="18"/>
  <c r="BB74" i="18"/>
  <c r="AD78" i="18"/>
  <c r="AC78" i="18"/>
  <c r="AU75" i="18"/>
  <c r="Q77" i="18"/>
  <c r="Q78" i="18" s="1"/>
  <c r="Q79" i="18" s="1"/>
  <c r="Q80" i="18" s="1"/>
  <c r="Y80" i="18" s="1"/>
  <c r="AC77" i="18"/>
  <c r="AD77" i="18"/>
  <c r="BC75" i="18"/>
  <c r="BE75" i="18"/>
  <c r="AG75" i="18"/>
  <c r="AE75" i="18"/>
  <c r="BC76" i="18"/>
  <c r="AY76" i="18"/>
  <c r="AU76" i="18"/>
  <c r="AQ76" i="18"/>
  <c r="BA76" i="18"/>
  <c r="AV76" i="18"/>
  <c r="BE76" i="18"/>
  <c r="AT76" i="18"/>
  <c r="AS76" i="18"/>
  <c r="AW76" i="18"/>
  <c r="AD79" i="18"/>
  <c r="AC79" i="18"/>
  <c r="AB74" i="18"/>
  <c r="AT74" i="18"/>
  <c r="AD74" i="18"/>
  <c r="AF74" i="18"/>
  <c r="AV74" i="18"/>
  <c r="N81" i="18"/>
  <c r="Z80" i="18"/>
  <c r="L76" i="18"/>
  <c r="W76" i="18" s="1"/>
  <c r="W75" i="18"/>
  <c r="AH75" i="18" s="1"/>
  <c r="L82" i="18"/>
  <c r="W82" i="18" s="1"/>
  <c r="AB82" i="18" s="1"/>
  <c r="W81" i="18"/>
  <c r="AB81" i="18" s="1"/>
  <c r="BD74" i="18"/>
  <c r="M81" i="18"/>
  <c r="U80" i="18"/>
  <c r="T80" i="18"/>
  <c r="BA80" i="18" s="1"/>
  <c r="X80" i="18"/>
  <c r="AE76" i="18"/>
  <c r="AF76" i="18"/>
  <c r="AO76" i="18"/>
  <c r="AN76" i="18"/>
  <c r="AG76" i="18"/>
  <c r="X77" i="18"/>
  <c r="T77" i="18"/>
  <c r="U77" i="18"/>
  <c r="AX74" i="18"/>
  <c r="AD76" i="18"/>
  <c r="AC76" i="18"/>
  <c r="AL76" i="18"/>
  <c r="AL75" i="18"/>
  <c r="AO75" i="18"/>
  <c r="AK75" i="18"/>
  <c r="AJ75" i="18"/>
  <c r="AM75" i="18"/>
  <c r="AY75" i="18"/>
  <c r="AI75" i="18"/>
  <c r="V77" i="18"/>
  <c r="O78" i="18"/>
  <c r="V78" i="18" s="1"/>
  <c r="O71" i="18"/>
  <c r="V70" i="18"/>
  <c r="AH64" i="18"/>
  <c r="AE64" i="18"/>
  <c r="AF64" i="18"/>
  <c r="AG64" i="18"/>
  <c r="X72" i="18"/>
  <c r="Y72" i="18" s="1"/>
  <c r="M73" i="18"/>
  <c r="U72" i="18"/>
  <c r="T72" i="18"/>
  <c r="AJ70" i="18"/>
  <c r="AI70" i="18"/>
  <c r="U71" i="18"/>
  <c r="X71" i="18"/>
  <c r="Y71" i="18" s="1"/>
  <c r="T71" i="18"/>
  <c r="U68" i="18"/>
  <c r="T68" i="18"/>
  <c r="M69" i="18"/>
  <c r="X68" i="18"/>
  <c r="U67" i="18"/>
  <c r="X67" i="18"/>
  <c r="T67" i="18"/>
  <c r="L71" i="18"/>
  <c r="W70" i="18"/>
  <c r="AB70" i="18" s="1"/>
  <c r="AZ65" i="18"/>
  <c r="AR65" i="18"/>
  <c r="AY65" i="18"/>
  <c r="AQ65" i="18"/>
  <c r="BA65" i="18"/>
  <c r="AS65" i="18"/>
  <c r="AW65" i="18"/>
  <c r="AT65" i="18"/>
  <c r="AF66" i="18"/>
  <c r="AE66" i="18"/>
  <c r="AC68" i="18"/>
  <c r="AD68" i="18"/>
  <c r="AC65" i="18"/>
  <c r="AD65" i="18"/>
  <c r="AP64" i="18"/>
  <c r="AM64" i="18"/>
  <c r="V66" i="18"/>
  <c r="O67" i="18"/>
  <c r="N70" i="18"/>
  <c r="Z69" i="18"/>
  <c r="AR69" i="18"/>
  <c r="AT69" i="18"/>
  <c r="AQ69" i="18"/>
  <c r="AN66" i="18"/>
  <c r="AJ66" i="18"/>
  <c r="AM66" i="18"/>
  <c r="AI66" i="18"/>
  <c r="AP66" i="18"/>
  <c r="AO64" i="18"/>
  <c r="N67" i="18"/>
  <c r="Z67" i="18" s="1"/>
  <c r="Z66" i="18"/>
  <c r="Q67" i="18"/>
  <c r="Q68" i="18" s="1"/>
  <c r="Q69" i="18" s="1"/>
  <c r="Q70" i="18" s="1"/>
  <c r="Y70" i="18" s="1"/>
  <c r="T65" i="18"/>
  <c r="U65" i="18"/>
  <c r="Y65" i="18"/>
  <c r="X65" i="18"/>
  <c r="BC64" i="18"/>
  <c r="AY64" i="18"/>
  <c r="AU64" i="18"/>
  <c r="BF64" i="18"/>
  <c r="BB64" i="18"/>
  <c r="AX64" i="18"/>
  <c r="AT64" i="18"/>
  <c r="BD64" i="18"/>
  <c r="AV64" i="18"/>
  <c r="AS64" i="18"/>
  <c r="BE64" i="18"/>
  <c r="AQ64" i="18"/>
  <c r="BA64" i="18"/>
  <c r="AZ64" i="18"/>
  <c r="AR64" i="18"/>
  <c r="AW64" i="18"/>
  <c r="AN64" i="18"/>
  <c r="T60" i="18"/>
  <c r="M61" i="18"/>
  <c r="X60" i="18"/>
  <c r="Y60" i="18" s="1"/>
  <c r="U60" i="18"/>
  <c r="N61" i="18"/>
  <c r="Z60" i="18"/>
  <c r="AD58" i="18"/>
  <c r="AP54" i="18"/>
  <c r="X57" i="18"/>
  <c r="T57" i="18"/>
  <c r="Y57" i="18"/>
  <c r="U57" i="18"/>
  <c r="M58" i="18"/>
  <c r="AK54" i="18"/>
  <c r="AN55" i="18"/>
  <c r="AJ55" i="18"/>
  <c r="AP55" i="18"/>
  <c r="AK55" i="18"/>
  <c r="AI55" i="18"/>
  <c r="AO55" i="18"/>
  <c r="AM55" i="18"/>
  <c r="AL55" i="18"/>
  <c r="AS54" i="18"/>
  <c r="AT54" i="18"/>
  <c r="AD55" i="18"/>
  <c r="AC55" i="18"/>
  <c r="AE55" i="18"/>
  <c r="W60" i="18"/>
  <c r="AB60" i="18" s="1"/>
  <c r="L61" i="18"/>
  <c r="O61" i="18"/>
  <c r="V60" i="18"/>
  <c r="AG54" i="18"/>
  <c r="O56" i="18"/>
  <c r="V55" i="18"/>
  <c r="AW54" i="18"/>
  <c r="AX54" i="18"/>
  <c r="Z56" i="18"/>
  <c r="N57" i="18"/>
  <c r="Z57" i="18" s="1"/>
  <c r="AF55" i="18"/>
  <c r="AG56" i="18"/>
  <c r="AF56" i="18"/>
  <c r="AE56" i="18"/>
  <c r="AH56" i="18"/>
  <c r="AQ59" i="18"/>
  <c r="AS59" i="18"/>
  <c r="AT59" i="18"/>
  <c r="AR59" i="18"/>
  <c r="BA54" i="18"/>
  <c r="AG55" i="18"/>
  <c r="AC59" i="18"/>
  <c r="AD59" i="18"/>
  <c r="AD54" i="18"/>
  <c r="AL54" i="18"/>
  <c r="AC54" i="18"/>
  <c r="AO56" i="18"/>
  <c r="AK56" i="18"/>
  <c r="AL56" i="18"/>
  <c r="AP56" i="18"/>
  <c r="AJ56" i="18"/>
  <c r="AN56" i="18"/>
  <c r="AI56" i="18"/>
  <c r="AM56" i="18"/>
  <c r="AO54" i="18"/>
  <c r="BE54" i="18"/>
  <c r="BF54" i="18"/>
  <c r="AF47" i="18"/>
  <c r="AE47" i="18"/>
  <c r="AE50" i="18"/>
  <c r="AF46" i="18"/>
  <c r="AE46" i="18"/>
  <c r="AH46" i="18"/>
  <c r="BD46" i="18"/>
  <c r="AV46" i="18"/>
  <c r="BC46" i="18"/>
  <c r="AY46" i="18"/>
  <c r="AU46" i="18"/>
  <c r="AQ46" i="18"/>
  <c r="BF46" i="18"/>
  <c r="AX46" i="18"/>
  <c r="AS46" i="18"/>
  <c r="BE46" i="18"/>
  <c r="AC45" i="18"/>
  <c r="AN46" i="18"/>
  <c r="L51" i="18"/>
  <c r="W50" i="18"/>
  <c r="BD50" i="18" s="1"/>
  <c r="AD48" i="18"/>
  <c r="AC48" i="18"/>
  <c r="V51" i="18"/>
  <c r="O52" i="18"/>
  <c r="V47" i="18"/>
  <c r="O48" i="18"/>
  <c r="V48" i="18" s="1"/>
  <c r="Z46" i="18"/>
  <c r="N47" i="18"/>
  <c r="Z47" i="18" s="1"/>
  <c r="L46" i="18"/>
  <c r="W46" i="18" s="1"/>
  <c r="AZ46" i="18" s="1"/>
  <c r="W45" i="18"/>
  <c r="AJ44" i="18"/>
  <c r="AL44" i="18"/>
  <c r="X52" i="18"/>
  <c r="M53" i="18"/>
  <c r="U52" i="18"/>
  <c r="T52" i="18"/>
  <c r="Y52" i="18"/>
  <c r="Z49" i="18"/>
  <c r="N50" i="18"/>
  <c r="T48" i="18"/>
  <c r="X48" i="18"/>
  <c r="Y48" i="18" s="1"/>
  <c r="U48" i="18"/>
  <c r="AM50" i="18"/>
  <c r="AJ50" i="18"/>
  <c r="AI50" i="18"/>
  <c r="AH44" i="18"/>
  <c r="AG44" i="18"/>
  <c r="AF44" i="18"/>
  <c r="AE44" i="18"/>
  <c r="AO46" i="18"/>
  <c r="AM44" i="18"/>
  <c r="AM46" i="18"/>
  <c r="AN44" i="18"/>
  <c r="AP44" i="18"/>
  <c r="U49" i="18"/>
  <c r="Y49" i="18"/>
  <c r="T49" i="18"/>
  <c r="X49" i="18"/>
  <c r="AP46" i="18"/>
  <c r="BC50" i="18"/>
  <c r="U51" i="18"/>
  <c r="X51" i="18"/>
  <c r="Y51" i="18" s="1"/>
  <c r="T51" i="18"/>
  <c r="AD44" i="18"/>
  <c r="Y45" i="18"/>
  <c r="U45" i="18"/>
  <c r="X45" i="18"/>
  <c r="T45" i="18"/>
  <c r="BF44" i="18"/>
  <c r="BB44" i="18"/>
  <c r="AX44" i="18"/>
  <c r="AT44" i="18"/>
  <c r="BE44" i="18"/>
  <c r="BA44" i="18"/>
  <c r="AW44" i="18"/>
  <c r="AS44" i="18"/>
  <c r="BD44" i="18"/>
  <c r="AZ44" i="18"/>
  <c r="AV44" i="18"/>
  <c r="AR44" i="18"/>
  <c r="AQ44" i="18"/>
  <c r="AU44" i="18"/>
  <c r="BC44" i="18"/>
  <c r="AY44" i="18"/>
  <c r="AN47" i="18"/>
  <c r="AI47" i="18"/>
  <c r="AM47" i="18"/>
  <c r="AO47" i="18"/>
  <c r="AJ47" i="18"/>
  <c r="AU50" i="18"/>
  <c r="Y40" i="18"/>
  <c r="U42" i="18"/>
  <c r="T42" i="18"/>
  <c r="AY42" i="18" s="1"/>
  <c r="X42" i="18"/>
  <c r="Y42" i="18" s="1"/>
  <c r="M43" i="18"/>
  <c r="AE40" i="18"/>
  <c r="AU40" i="18"/>
  <c r="AH37" i="18"/>
  <c r="AG37" i="18"/>
  <c r="AF37" i="18"/>
  <c r="AE37" i="18"/>
  <c r="AX34" i="18"/>
  <c r="L41" i="18"/>
  <c r="W40" i="18"/>
  <c r="AZ40" i="18" s="1"/>
  <c r="BC36" i="18"/>
  <c r="AY36" i="18"/>
  <c r="AU36" i="18"/>
  <c r="AQ36" i="18"/>
  <c r="BF36" i="18"/>
  <c r="BB36" i="18"/>
  <c r="AX36" i="18"/>
  <c r="AT36" i="18"/>
  <c r="BE36" i="18"/>
  <c r="AW36" i="18"/>
  <c r="AZ36" i="18"/>
  <c r="BD36" i="18"/>
  <c r="AV36" i="18"/>
  <c r="BA36" i="18"/>
  <c r="AS36" i="18"/>
  <c r="AR36" i="18"/>
  <c r="AQ42" i="18"/>
  <c r="AD36" i="18"/>
  <c r="AK36" i="18"/>
  <c r="AC36" i="18"/>
  <c r="X38" i="18"/>
  <c r="U38" i="18"/>
  <c r="T38" i="18"/>
  <c r="Y38" i="18"/>
  <c r="BE34" i="18"/>
  <c r="V37" i="18"/>
  <c r="O38" i="18"/>
  <c r="V38" i="18" s="1"/>
  <c r="M39" i="18"/>
  <c r="AY40" i="18"/>
  <c r="AR39" i="18"/>
  <c r="AO34" i="18"/>
  <c r="AK34" i="18"/>
  <c r="AM34" i="18"/>
  <c r="BB34" i="18"/>
  <c r="AJ34" i="18"/>
  <c r="AY34" i="18"/>
  <c r="AN34" i="18"/>
  <c r="AL34" i="18"/>
  <c r="BF34" i="18"/>
  <c r="AZ34" i="18"/>
  <c r="AP34" i="18"/>
  <c r="BD34" i="18"/>
  <c r="AI34" i="18"/>
  <c r="AQ41" i="18"/>
  <c r="Y35" i="18"/>
  <c r="U35" i="18"/>
  <c r="X35" i="18"/>
  <c r="T35" i="18"/>
  <c r="AD38" i="18"/>
  <c r="AC38" i="18"/>
  <c r="AD35" i="18"/>
  <c r="AC35" i="18"/>
  <c r="AT35" i="18"/>
  <c r="AN40" i="18"/>
  <c r="AI40" i="18"/>
  <c r="AM40" i="18"/>
  <c r="U41" i="18"/>
  <c r="T41" i="18"/>
  <c r="X41" i="18"/>
  <c r="Y41" i="18" s="1"/>
  <c r="BC34" i="18"/>
  <c r="AG34" i="18"/>
  <c r="AH34" i="18"/>
  <c r="AF34" i="18"/>
  <c r="AV34" i="18"/>
  <c r="AU34" i="18"/>
  <c r="AE34" i="18"/>
  <c r="Z39" i="18"/>
  <c r="N40" i="18"/>
  <c r="AQ43" i="18"/>
  <c r="BC40" i="18"/>
  <c r="AE36" i="18"/>
  <c r="AH36" i="18"/>
  <c r="AG36" i="18"/>
  <c r="AN36" i="18"/>
  <c r="AF36" i="18"/>
  <c r="AD37" i="18"/>
  <c r="AC37" i="18"/>
  <c r="AP37" i="18"/>
  <c r="AL37" i="18"/>
  <c r="AM37" i="18"/>
  <c r="AK37" i="18"/>
  <c r="AJ37" i="18"/>
  <c r="AI37" i="18"/>
  <c r="AO37" i="18"/>
  <c r="AN37" i="18"/>
  <c r="AS35" i="18"/>
  <c r="O32" i="18"/>
  <c r="V32" i="18" s="1"/>
  <c r="U32" i="18"/>
  <c r="AC32" i="18" s="1"/>
  <c r="M33" i="18"/>
  <c r="X32" i="18"/>
  <c r="Y32" i="18" s="1"/>
  <c r="T32" i="18"/>
  <c r="AC28" i="18"/>
  <c r="R29" i="18"/>
  <c r="AD28" i="18"/>
  <c r="Y25" i="18"/>
  <c r="U25" i="18"/>
  <c r="AV25" i="18" s="1"/>
  <c r="X25" i="18"/>
  <c r="T25" i="18"/>
  <c r="AY25" i="18" s="1"/>
  <c r="BB24" i="18"/>
  <c r="O33" i="18"/>
  <c r="AR29" i="18"/>
  <c r="AK26" i="18"/>
  <c r="AN26" i="18"/>
  <c r="AJ26" i="18"/>
  <c r="AI26" i="18"/>
  <c r="AM26" i="18"/>
  <c r="BE24" i="18"/>
  <c r="Y28" i="18"/>
  <c r="U28" i="18"/>
  <c r="T28" i="18"/>
  <c r="X28" i="18"/>
  <c r="M29" i="18"/>
  <c r="L31" i="18"/>
  <c r="W30" i="18"/>
  <c r="AJ30" i="18" s="1"/>
  <c r="BD25" i="18"/>
  <c r="AZ25" i="18"/>
  <c r="AR25" i="18"/>
  <c r="BC25" i="18"/>
  <c r="AU25" i="18"/>
  <c r="AQ25" i="18"/>
  <c r="BF25" i="18"/>
  <c r="BB25" i="18"/>
  <c r="AT25" i="18"/>
  <c r="BE25" i="18"/>
  <c r="AS25" i="18"/>
  <c r="AW25" i="18"/>
  <c r="AI30" i="18"/>
  <c r="AD25" i="18"/>
  <c r="AC25" i="18"/>
  <c r="AP24" i="18"/>
  <c r="AL24" i="18"/>
  <c r="AJ24" i="18"/>
  <c r="AO24" i="18"/>
  <c r="AK24" i="18"/>
  <c r="AN24" i="18"/>
  <c r="AY24" i="18"/>
  <c r="AI24" i="18"/>
  <c r="BC24" i="18"/>
  <c r="AM24" i="18"/>
  <c r="AH26" i="18"/>
  <c r="AF26" i="18"/>
  <c r="AE26" i="18"/>
  <c r="U31" i="18"/>
  <c r="T31" i="18"/>
  <c r="X31" i="18"/>
  <c r="Y31" i="18" s="1"/>
  <c r="BA24" i="18"/>
  <c r="N27" i="18"/>
  <c r="Z27" i="18" s="1"/>
  <c r="Z26" i="18"/>
  <c r="AH24" i="18"/>
  <c r="AG24" i="18"/>
  <c r="AF24" i="18"/>
  <c r="AE24" i="18"/>
  <c r="BD24" i="18"/>
  <c r="AZ24" i="18"/>
  <c r="AX24" i="18"/>
  <c r="Y27" i="18"/>
  <c r="U27" i="18"/>
  <c r="T27" i="18"/>
  <c r="X27" i="18"/>
  <c r="O27" i="18"/>
  <c r="V26" i="18"/>
  <c r="H22" i="18"/>
  <c r="B33" i="18"/>
  <c r="W21" i="18"/>
  <c r="L22" i="18"/>
  <c r="L23" i="18" s="1"/>
  <c r="W23" i="18" s="1"/>
  <c r="R15" i="18"/>
  <c r="R16" i="18" s="1"/>
  <c r="R17" i="18" s="1"/>
  <c r="R18" i="18" s="1"/>
  <c r="R19" i="18" s="1"/>
  <c r="R20" i="18" s="1"/>
  <c r="R21" i="18" s="1"/>
  <c r="N22" i="18"/>
  <c r="O22" i="18"/>
  <c r="R22" i="18"/>
  <c r="R23" i="18" s="1"/>
  <c r="M15" i="18"/>
  <c r="U14" i="18"/>
  <c r="W14" i="18"/>
  <c r="Z15" i="18"/>
  <c r="W18" i="18"/>
  <c r="W20" i="18"/>
  <c r="T14" i="18"/>
  <c r="T16" i="18"/>
  <c r="V19" i="18"/>
  <c r="T20" i="18"/>
  <c r="Z19" i="18"/>
  <c r="Q15" i="18"/>
  <c r="Q16" i="18" s="1"/>
  <c r="Q17" i="18" s="1"/>
  <c r="Q18" i="18" s="1"/>
  <c r="Q19" i="18" s="1"/>
  <c r="Q20" i="18" s="1"/>
  <c r="Z14" i="18"/>
  <c r="W15" i="18"/>
  <c r="Z16" i="18"/>
  <c r="Z18" i="18"/>
  <c r="W19" i="18"/>
  <c r="Z20" i="18"/>
  <c r="V14" i="18"/>
  <c r="V20" i="18"/>
  <c r="Q21" i="18"/>
  <c r="Q22" i="18" s="1"/>
  <c r="Q23" i="18" s="1"/>
  <c r="O16" i="18"/>
  <c r="V16" i="18" s="1"/>
  <c r="M17" i="18"/>
  <c r="M21" i="18"/>
  <c r="M22" i="18" s="1"/>
  <c r="M23" i="18" s="1"/>
  <c r="T23" i="18" s="1"/>
  <c r="AF80" i="18" l="1"/>
  <c r="AE80" i="18"/>
  <c r="AG80" i="18"/>
  <c r="AH80" i="18"/>
  <c r="AW80" i="18"/>
  <c r="AX80" i="18"/>
  <c r="AV80" i="18"/>
  <c r="AU80" i="18"/>
  <c r="BD75" i="18"/>
  <c r="AN75" i="18"/>
  <c r="AP75" i="18"/>
  <c r="AJ76" i="18"/>
  <c r="AB76" i="18"/>
  <c r="AP76" i="18"/>
  <c r="AZ76" i="18"/>
  <c r="Y78" i="18"/>
  <c r="AP78" i="18" s="1"/>
  <c r="BF80" i="18"/>
  <c r="AF75" i="18"/>
  <c r="AN80" i="18"/>
  <c r="AJ80" i="18"/>
  <c r="AM80" i="18"/>
  <c r="AI80" i="18"/>
  <c r="AL80" i="18"/>
  <c r="AK80" i="18"/>
  <c r="AP80" i="18"/>
  <c r="AO80" i="18"/>
  <c r="AD80" i="18"/>
  <c r="AC80" i="18"/>
  <c r="AX76" i="18"/>
  <c r="BF76" i="18"/>
  <c r="AL78" i="18"/>
  <c r="AJ78" i="18"/>
  <c r="AI78" i="18"/>
  <c r="AK78" i="18"/>
  <c r="BA81" i="18"/>
  <c r="AZ81" i="18"/>
  <c r="AR81" i="18"/>
  <c r="AU81" i="18"/>
  <c r="AY81" i="18"/>
  <c r="AQ81" i="18"/>
  <c r="AT80" i="18"/>
  <c r="AY80" i="18"/>
  <c r="AZ80" i="18"/>
  <c r="BA77" i="18"/>
  <c r="AS77" i="18"/>
  <c r="AY77" i="18"/>
  <c r="AT77" i="18"/>
  <c r="AR77" i="18"/>
  <c r="BB77" i="18"/>
  <c r="AQ77" i="18"/>
  <c r="AZ77" i="18"/>
  <c r="AK77" i="18"/>
  <c r="AI77" i="18"/>
  <c r="AJ77" i="18"/>
  <c r="AL77" i="18"/>
  <c r="X81" i="18"/>
  <c r="T81" i="18"/>
  <c r="M82" i="18"/>
  <c r="U81" i="18"/>
  <c r="Y81" i="18"/>
  <c r="AX81" i="18" s="1"/>
  <c r="AB75" i="18"/>
  <c r="AT75" i="18"/>
  <c r="AR75" i="18"/>
  <c r="AZ75" i="18"/>
  <c r="BB75" i="18"/>
  <c r="AD75" i="18"/>
  <c r="AX75" i="18"/>
  <c r="AV75" i="18"/>
  <c r="AI79" i="18"/>
  <c r="AL79" i="18"/>
  <c r="AN79" i="18"/>
  <c r="AK79" i="18"/>
  <c r="AZ79" i="18"/>
  <c r="AJ79" i="18"/>
  <c r="BA79" i="18"/>
  <c r="BB79" i="18"/>
  <c r="BD79" i="18"/>
  <c r="AY79" i="18"/>
  <c r="BF75" i="18"/>
  <c r="BF78" i="18"/>
  <c r="BB78" i="18"/>
  <c r="AT78" i="18"/>
  <c r="BE78" i="18"/>
  <c r="AZ78" i="18"/>
  <c r="AQ78" i="18"/>
  <c r="BD78" i="18"/>
  <c r="AY78" i="18"/>
  <c r="AS78" i="18"/>
  <c r="BA78" i="18"/>
  <c r="BC78" i="18"/>
  <c r="AR78" i="18"/>
  <c r="Y77" i="18"/>
  <c r="BE77" i="18" s="1"/>
  <c r="AH76" i="18"/>
  <c r="N82" i="18"/>
  <c r="Z82" i="18" s="1"/>
  <c r="Z81" i="18"/>
  <c r="AS81" i="18" s="1"/>
  <c r="AR76" i="18"/>
  <c r="BD76" i="18"/>
  <c r="BB76" i="18"/>
  <c r="AQ82" i="18"/>
  <c r="AR82" i="18"/>
  <c r="Y79" i="18"/>
  <c r="BE80" i="18"/>
  <c r="BB80" i="18"/>
  <c r="BC80" i="18"/>
  <c r="BD80" i="18"/>
  <c r="AF70" i="18"/>
  <c r="AE70" i="18"/>
  <c r="AH70" i="18"/>
  <c r="AD69" i="18"/>
  <c r="AC69" i="18"/>
  <c r="AF65" i="18"/>
  <c r="AE65" i="18"/>
  <c r="AH65" i="18"/>
  <c r="AG65" i="18"/>
  <c r="AC66" i="18"/>
  <c r="AD66" i="18"/>
  <c r="AS69" i="18"/>
  <c r="Z70" i="18"/>
  <c r="BA70" i="18" s="1"/>
  <c r="N71" i="18"/>
  <c r="AG66" i="18"/>
  <c r="BE65" i="18"/>
  <c r="BC65" i="18"/>
  <c r="BD65" i="18"/>
  <c r="X69" i="18"/>
  <c r="Y69" i="18" s="1"/>
  <c r="U69" i="18"/>
  <c r="T69" i="18"/>
  <c r="AM71" i="18"/>
  <c r="AI71" i="18"/>
  <c r="AM70" i="18"/>
  <c r="AE72" i="18"/>
  <c r="AL67" i="18"/>
  <c r="AO67" i="18"/>
  <c r="AJ67" i="18"/>
  <c r="AI67" i="18"/>
  <c r="AM67" i="18"/>
  <c r="AK67" i="18"/>
  <c r="X73" i="18"/>
  <c r="T73" i="18"/>
  <c r="Y73" i="18"/>
  <c r="U73" i="18"/>
  <c r="AL66" i="18"/>
  <c r="O68" i="18"/>
  <c r="V68" i="18" s="1"/>
  <c r="V67" i="18"/>
  <c r="AH66" i="18"/>
  <c r="AX65" i="18"/>
  <c r="AI68" i="18"/>
  <c r="AL68" i="18"/>
  <c r="AK68" i="18"/>
  <c r="AN68" i="18"/>
  <c r="AJ68" i="18"/>
  <c r="AM72" i="18"/>
  <c r="AI72" i="18"/>
  <c r="BE70" i="18"/>
  <c r="AS70" i="18"/>
  <c r="BB70" i="18"/>
  <c r="AV70" i="18"/>
  <c r="AQ70" i="18"/>
  <c r="BF70" i="18"/>
  <c r="AZ70" i="18"/>
  <c r="AU70" i="18"/>
  <c r="BD70" i="18"/>
  <c r="AY70" i="18"/>
  <c r="AT70" i="18"/>
  <c r="BC70" i="18"/>
  <c r="AX70" i="18"/>
  <c r="AR70" i="18"/>
  <c r="AE71" i="18"/>
  <c r="AO70" i="18"/>
  <c r="AD67" i="18"/>
  <c r="AC67" i="18"/>
  <c r="AK66" i="18"/>
  <c r="AN65" i="18"/>
  <c r="AJ65" i="18"/>
  <c r="AM65" i="18"/>
  <c r="AI65" i="18"/>
  <c r="AK65" i="18"/>
  <c r="AP65" i="18"/>
  <c r="AL65" i="18"/>
  <c r="AO65" i="18"/>
  <c r="AO66" i="18"/>
  <c r="BE66" i="18"/>
  <c r="BA66" i="18"/>
  <c r="AW66" i="18"/>
  <c r="AS66" i="18"/>
  <c r="BD66" i="18"/>
  <c r="AZ66" i="18"/>
  <c r="AV66" i="18"/>
  <c r="AR66" i="18"/>
  <c r="BC66" i="18"/>
  <c r="AU66" i="18"/>
  <c r="BB66" i="18"/>
  <c r="AT66" i="18"/>
  <c r="AY66" i="18"/>
  <c r="AQ66" i="18"/>
  <c r="BF66" i="18"/>
  <c r="AX66" i="18"/>
  <c r="BB65" i="18"/>
  <c r="BF65" i="18"/>
  <c r="AU65" i="18"/>
  <c r="AV65" i="18"/>
  <c r="L72" i="18"/>
  <c r="W71" i="18"/>
  <c r="AB71" i="18" s="1"/>
  <c r="Y67" i="18"/>
  <c r="Y68" i="18"/>
  <c r="AN70" i="18"/>
  <c r="V71" i="18"/>
  <c r="O72" i="18"/>
  <c r="AF60" i="18"/>
  <c r="AE60" i="18"/>
  <c r="AH60" i="18"/>
  <c r="AG60" i="18"/>
  <c r="BD60" i="18"/>
  <c r="AZ60" i="18"/>
  <c r="AV60" i="18"/>
  <c r="AR60" i="18"/>
  <c r="BF60" i="18"/>
  <c r="BA60" i="18"/>
  <c r="AU60" i="18"/>
  <c r="BE60" i="18"/>
  <c r="AY60" i="18"/>
  <c r="AT60" i="18"/>
  <c r="BC60" i="18"/>
  <c r="AX60" i="18"/>
  <c r="AS60" i="18"/>
  <c r="BB60" i="18"/>
  <c r="AW60" i="18"/>
  <c r="AQ60" i="18"/>
  <c r="AG57" i="18"/>
  <c r="AE57" i="18"/>
  <c r="AH57" i="18"/>
  <c r="AF57" i="18"/>
  <c r="AC57" i="18"/>
  <c r="AD57" i="18"/>
  <c r="BD55" i="18"/>
  <c r="AZ55" i="18"/>
  <c r="AV55" i="18"/>
  <c r="AR55" i="18"/>
  <c r="BF55" i="18"/>
  <c r="BA55" i="18"/>
  <c r="AU55" i="18"/>
  <c r="AY55" i="18"/>
  <c r="BE55" i="18"/>
  <c r="AT55" i="18"/>
  <c r="BC55" i="18"/>
  <c r="AX55" i="18"/>
  <c r="AS55" i="18"/>
  <c r="BB55" i="18"/>
  <c r="AW55" i="18"/>
  <c r="AQ55" i="18"/>
  <c r="O62" i="18"/>
  <c r="V61" i="18"/>
  <c r="AO57" i="18"/>
  <c r="AK57" i="18"/>
  <c r="AP57" i="18"/>
  <c r="AJ57" i="18"/>
  <c r="AM57" i="18"/>
  <c r="AN57" i="18"/>
  <c r="AL57" i="18"/>
  <c r="AI57" i="18"/>
  <c r="AD60" i="18"/>
  <c r="AC60" i="18"/>
  <c r="X61" i="18"/>
  <c r="Y61" i="18" s="1"/>
  <c r="T61" i="18"/>
  <c r="U61" i="18"/>
  <c r="M62" i="18"/>
  <c r="AC56" i="18"/>
  <c r="AD56" i="18"/>
  <c r="O57" i="18"/>
  <c r="V56" i="18"/>
  <c r="L62" i="18"/>
  <c r="W61" i="18"/>
  <c r="AB61" i="18" s="1"/>
  <c r="Y58" i="18"/>
  <c r="U58" i="18"/>
  <c r="T58" i="18"/>
  <c r="X58" i="18"/>
  <c r="M59" i="18"/>
  <c r="Z61" i="18"/>
  <c r="N62" i="18"/>
  <c r="AN60" i="18"/>
  <c r="AJ60" i="18"/>
  <c r="AP60" i="18"/>
  <c r="AK60" i="18"/>
  <c r="AO60" i="18"/>
  <c r="AI60" i="18"/>
  <c r="AM60" i="18"/>
  <c r="AL60" i="18"/>
  <c r="AE51" i="18"/>
  <c r="AE48" i="18"/>
  <c r="AF48" i="18"/>
  <c r="AH48" i="18"/>
  <c r="AG48" i="18"/>
  <c r="AM51" i="18"/>
  <c r="AI51" i="18"/>
  <c r="X53" i="18"/>
  <c r="Y53" i="18" s="1"/>
  <c r="T53" i="18"/>
  <c r="U53" i="18"/>
  <c r="AD47" i="18"/>
  <c r="AC47" i="18"/>
  <c r="O53" i="18"/>
  <c r="V53" i="18" s="1"/>
  <c r="V52" i="18"/>
  <c r="AB50" i="18"/>
  <c r="AR50" i="18"/>
  <c r="AF50" i="18"/>
  <c r="AK47" i="18"/>
  <c r="AL47" i="18"/>
  <c r="AZ50" i="18"/>
  <c r="AM48" i="18"/>
  <c r="AI48" i="18"/>
  <c r="AP48" i="18"/>
  <c r="AK48" i="18"/>
  <c r="AO48" i="18"/>
  <c r="AJ48" i="18"/>
  <c r="AN48" i="18"/>
  <c r="AL48" i="18"/>
  <c r="AE52" i="18"/>
  <c r="AD46" i="18"/>
  <c r="AC46" i="18"/>
  <c r="AL46" i="18"/>
  <c r="AK46" i="18"/>
  <c r="BC51" i="18"/>
  <c r="AY51" i="18"/>
  <c r="AU51" i="18"/>
  <c r="AQ51" i="18"/>
  <c r="L52" i="18"/>
  <c r="W51" i="18"/>
  <c r="AB51" i="18" s="1"/>
  <c r="AW46" i="18"/>
  <c r="BB46" i="18"/>
  <c r="AG47" i="18"/>
  <c r="AB45" i="18"/>
  <c r="AR45" i="18"/>
  <c r="AT45" i="18"/>
  <c r="AD45" i="18"/>
  <c r="AH47" i="18"/>
  <c r="AF49" i="18"/>
  <c r="AH49" i="18"/>
  <c r="AG49" i="18"/>
  <c r="AE49" i="18"/>
  <c r="AU49" i="18"/>
  <c r="AW49" i="18"/>
  <c r="AX49" i="18"/>
  <c r="AV49" i="18"/>
  <c r="AC49" i="18"/>
  <c r="AT49" i="18"/>
  <c r="AD49" i="18"/>
  <c r="AS49" i="18"/>
  <c r="AP47" i="18"/>
  <c r="AE45" i="18"/>
  <c r="AH45" i="18"/>
  <c r="AG45" i="18"/>
  <c r="AF45" i="18"/>
  <c r="AV45" i="18"/>
  <c r="AU45" i="18"/>
  <c r="AX45" i="18"/>
  <c r="AW45" i="18"/>
  <c r="AN50" i="18"/>
  <c r="AM52" i="18"/>
  <c r="AI52" i="18"/>
  <c r="BC48" i="18"/>
  <c r="AY48" i="18"/>
  <c r="AU48" i="18"/>
  <c r="AQ48" i="18"/>
  <c r="BF48" i="18"/>
  <c r="BA48" i="18"/>
  <c r="AV48" i="18"/>
  <c r="BE48" i="18"/>
  <c r="AZ48" i="18"/>
  <c r="AT48" i="18"/>
  <c r="BD48" i="18"/>
  <c r="AX48" i="18"/>
  <c r="AS48" i="18"/>
  <c r="BB48" i="18"/>
  <c r="AW48" i="18"/>
  <c r="AR48" i="18"/>
  <c r="AM45" i="18"/>
  <c r="AI45" i="18"/>
  <c r="AP45" i="18"/>
  <c r="AL45" i="18"/>
  <c r="AO45" i="18"/>
  <c r="AK45" i="18"/>
  <c r="AJ45" i="18"/>
  <c r="BD45" i="18"/>
  <c r="AN45" i="18"/>
  <c r="BC45" i="18"/>
  <c r="BF45" i="18"/>
  <c r="BE45" i="18"/>
  <c r="AY45" i="18"/>
  <c r="BB45" i="18"/>
  <c r="BA45" i="18"/>
  <c r="AZ45" i="18"/>
  <c r="AN49" i="18"/>
  <c r="AJ49" i="18"/>
  <c r="AM49" i="18"/>
  <c r="AL49" i="18"/>
  <c r="AP49" i="18"/>
  <c r="AK49" i="18"/>
  <c r="BE49" i="18"/>
  <c r="AY49" i="18"/>
  <c r="AO49" i="18"/>
  <c r="AI49" i="18"/>
  <c r="AZ49" i="18"/>
  <c r="BC49" i="18"/>
  <c r="BB49" i="18"/>
  <c r="BA49" i="18"/>
  <c r="BF49" i="18"/>
  <c r="BD49" i="18"/>
  <c r="N51" i="18"/>
  <c r="Z50" i="18"/>
  <c r="AV50" i="18"/>
  <c r="AB46" i="18"/>
  <c r="AJ46" i="18"/>
  <c r="BF47" i="18"/>
  <c r="BB47" i="18"/>
  <c r="AX47" i="18"/>
  <c r="AT47" i="18"/>
  <c r="BD47" i="18"/>
  <c r="AY47" i="18"/>
  <c r="AS47" i="18"/>
  <c r="BC47" i="18"/>
  <c r="AW47" i="18"/>
  <c r="AR47" i="18"/>
  <c r="BA47" i="18"/>
  <c r="AV47" i="18"/>
  <c r="AQ47" i="18"/>
  <c r="AU47" i="18"/>
  <c r="BE47" i="18"/>
  <c r="AZ47" i="18"/>
  <c r="BA46" i="18"/>
  <c r="AT46" i="18"/>
  <c r="AR46" i="18"/>
  <c r="AG46" i="18"/>
  <c r="AF40" i="18"/>
  <c r="AJ40" i="18"/>
  <c r="BC42" i="18"/>
  <c r="AU42" i="18"/>
  <c r="H33" i="18"/>
  <c r="H32" i="18" s="1"/>
  <c r="H31" i="18" s="1"/>
  <c r="H30" i="18" s="1"/>
  <c r="H29" i="18" s="1"/>
  <c r="H28" i="18" s="1"/>
  <c r="H27" i="18" s="1"/>
  <c r="H26" i="18" s="1"/>
  <c r="H25" i="18" s="1"/>
  <c r="H24" i="18" s="1"/>
  <c r="AI41" i="18"/>
  <c r="AM41" i="18"/>
  <c r="AP35" i="18"/>
  <c r="AL35" i="18"/>
  <c r="AO35" i="18"/>
  <c r="AJ35" i="18"/>
  <c r="AN35" i="18"/>
  <c r="AI35" i="18"/>
  <c r="AK35" i="18"/>
  <c r="AM35" i="18"/>
  <c r="BA35" i="18"/>
  <c r="BF35" i="18"/>
  <c r="BE35" i="18"/>
  <c r="BD35" i="18"/>
  <c r="BC35" i="18"/>
  <c r="BB35" i="18"/>
  <c r="AZ35" i="18"/>
  <c r="AY35" i="18"/>
  <c r="AY41" i="18"/>
  <c r="W41" i="18"/>
  <c r="AJ41" i="18" s="1"/>
  <c r="L42" i="18"/>
  <c r="AM42" i="18"/>
  <c r="AI42" i="18"/>
  <c r="U39" i="18"/>
  <c r="T39" i="18"/>
  <c r="X39" i="18"/>
  <c r="Y39" i="18" s="1"/>
  <c r="AE38" i="18"/>
  <c r="AH38" i="18"/>
  <c r="AF38" i="18"/>
  <c r="AG38" i="18"/>
  <c r="AE42" i="18"/>
  <c r="N41" i="18"/>
  <c r="Z40" i="18"/>
  <c r="BC41" i="18"/>
  <c r="BC38" i="18"/>
  <c r="AY38" i="18"/>
  <c r="AU38" i="18"/>
  <c r="AQ38" i="18"/>
  <c r="BE38" i="18"/>
  <c r="AZ38" i="18"/>
  <c r="AT38" i="18"/>
  <c r="BD38" i="18"/>
  <c r="AX38" i="18"/>
  <c r="AS38" i="18"/>
  <c r="BA38" i="18"/>
  <c r="AR38" i="18"/>
  <c r="AW38" i="18"/>
  <c r="BB38" i="18"/>
  <c r="BF38" i="18"/>
  <c r="AV38" i="18"/>
  <c r="AM38" i="18"/>
  <c r="AI38" i="18"/>
  <c r="AO38" i="18"/>
  <c r="AJ38" i="18"/>
  <c r="AN38" i="18"/>
  <c r="AP38" i="18"/>
  <c r="AL38" i="18"/>
  <c r="AK38" i="18"/>
  <c r="T43" i="18"/>
  <c r="X43" i="18"/>
  <c r="Y43" i="18" s="1"/>
  <c r="U43" i="18"/>
  <c r="AE41" i="18"/>
  <c r="AU41" i="18"/>
  <c r="AD39" i="18"/>
  <c r="AC39" i="18"/>
  <c r="AS39" i="18"/>
  <c r="AT39" i="18"/>
  <c r="AH35" i="18"/>
  <c r="AE35" i="18"/>
  <c r="AG35" i="18"/>
  <c r="AF35" i="18"/>
  <c r="AX35" i="18"/>
  <c r="AU35" i="18"/>
  <c r="AV35" i="18"/>
  <c r="AW35" i="18"/>
  <c r="BF37" i="18"/>
  <c r="BB37" i="18"/>
  <c r="AX37" i="18"/>
  <c r="AT37" i="18"/>
  <c r="BC37" i="18"/>
  <c r="AW37" i="18"/>
  <c r="AR37" i="18"/>
  <c r="BA37" i="18"/>
  <c r="AV37" i="18"/>
  <c r="AQ37" i="18"/>
  <c r="BE37" i="18"/>
  <c r="AU37" i="18"/>
  <c r="BD37" i="18"/>
  <c r="AS37" i="18"/>
  <c r="AY37" i="18"/>
  <c r="AZ37" i="18"/>
  <c r="AB40" i="18"/>
  <c r="AR40" i="18"/>
  <c r="AV40" i="18"/>
  <c r="BD40" i="18"/>
  <c r="V33" i="18"/>
  <c r="AQ33" i="18" s="1"/>
  <c r="AZ30" i="18"/>
  <c r="AG32" i="18"/>
  <c r="AE32" i="18"/>
  <c r="U29" i="18"/>
  <c r="T29" i="18"/>
  <c r="X29" i="18"/>
  <c r="Y29" i="18" s="1"/>
  <c r="AF28" i="18"/>
  <c r="AH28" i="18"/>
  <c r="AE28" i="18"/>
  <c r="AG28" i="18"/>
  <c r="AH27" i="18"/>
  <c r="AF27" i="18"/>
  <c r="AG27" i="18"/>
  <c r="AE27" i="18"/>
  <c r="AD26" i="18"/>
  <c r="AC26" i="18"/>
  <c r="AI31" i="18"/>
  <c r="AY31" i="18"/>
  <c r="AO26" i="18"/>
  <c r="AY32" i="18"/>
  <c r="AQ32" i="18"/>
  <c r="AS32" i="18"/>
  <c r="BE32" i="18"/>
  <c r="AW32" i="18"/>
  <c r="BA32" i="18"/>
  <c r="BC32" i="18"/>
  <c r="AU32" i="18"/>
  <c r="AS29" i="18"/>
  <c r="AT29" i="18"/>
  <c r="AD29" i="18"/>
  <c r="AC29" i="18"/>
  <c r="R30" i="18"/>
  <c r="U33" i="18"/>
  <c r="X33" i="18"/>
  <c r="Y33" i="18" s="1"/>
  <c r="T33" i="18"/>
  <c r="BF26" i="18"/>
  <c r="BB26" i="18"/>
  <c r="AX26" i="18"/>
  <c r="AT26" i="18"/>
  <c r="AW26" i="18"/>
  <c r="BE26" i="18"/>
  <c r="BA26" i="18"/>
  <c r="AS26" i="18"/>
  <c r="BD26" i="18"/>
  <c r="AZ26" i="18"/>
  <c r="AV26" i="18"/>
  <c r="AR26" i="18"/>
  <c r="AY26" i="18"/>
  <c r="BC26" i="18"/>
  <c r="AU26" i="18"/>
  <c r="AQ26" i="18"/>
  <c r="AD27" i="18"/>
  <c r="AC27" i="18"/>
  <c r="BA25" i="18"/>
  <c r="AX25" i="18"/>
  <c r="AB30" i="18"/>
  <c r="AR30" i="18"/>
  <c r="AN28" i="18"/>
  <c r="AJ28" i="18"/>
  <c r="AP28" i="18"/>
  <c r="AL28" i="18"/>
  <c r="AM28" i="18"/>
  <c r="AK28" i="18"/>
  <c r="AI28" i="18"/>
  <c r="AO28" i="18"/>
  <c r="AL26" i="18"/>
  <c r="AF25" i="18"/>
  <c r="AE25" i="18"/>
  <c r="AH25" i="18"/>
  <c r="AG25" i="18"/>
  <c r="V27" i="18"/>
  <c r="O28" i="18"/>
  <c r="V28" i="18" s="1"/>
  <c r="AP27" i="18"/>
  <c r="AL27" i="18"/>
  <c r="AN27" i="18"/>
  <c r="AJ27" i="18"/>
  <c r="AK27" i="18"/>
  <c r="AI27" i="18"/>
  <c r="AO27" i="18"/>
  <c r="AM27" i="18"/>
  <c r="AG26" i="18"/>
  <c r="L32" i="18"/>
  <c r="W31" i="18"/>
  <c r="AP26" i="18"/>
  <c r="AN25" i="18"/>
  <c r="AJ25" i="18"/>
  <c r="AI25" i="18"/>
  <c r="AM25" i="18"/>
  <c r="AP25" i="18"/>
  <c r="AL25" i="18"/>
  <c r="AO25" i="18"/>
  <c r="AK25" i="18"/>
  <c r="AI32" i="18"/>
  <c r="AO32" i="18"/>
  <c r="AK32" i="18"/>
  <c r="AM32" i="18"/>
  <c r="H21" i="18"/>
  <c r="B32" i="18"/>
  <c r="W22" i="18"/>
  <c r="V22" i="18"/>
  <c r="O23" i="18"/>
  <c r="V23" i="18" s="1"/>
  <c r="T15" i="18"/>
  <c r="U15" i="18"/>
  <c r="Z22" i="18"/>
  <c r="N23" i="18"/>
  <c r="Z23" i="18" s="1"/>
  <c r="Y23" i="18"/>
  <c r="U23" i="18"/>
  <c r="Y16" i="18"/>
  <c r="Y15" i="18"/>
  <c r="T22" i="18"/>
  <c r="U22" i="18"/>
  <c r="Y22" i="18"/>
  <c r="Y20" i="18"/>
  <c r="Y17" i="18"/>
  <c r="Y21" i="18"/>
  <c r="T21" i="18"/>
  <c r="U21" i="18"/>
  <c r="T17" i="18"/>
  <c r="U17" i="18"/>
  <c r="O17" i="18"/>
  <c r="V17" i="18" s="1"/>
  <c r="M18" i="18"/>
  <c r="U82" i="18" l="1"/>
  <c r="X82" i="18"/>
  <c r="Y82" i="18" s="1"/>
  <c r="T82" i="18"/>
  <c r="AE79" i="18"/>
  <c r="AH79" i="18"/>
  <c r="AG79" i="18"/>
  <c r="AF79" i="18"/>
  <c r="AU79" i="18"/>
  <c r="AX79" i="18"/>
  <c r="AW79" i="18"/>
  <c r="AV79" i="18"/>
  <c r="AV78" i="18"/>
  <c r="AO79" i="18"/>
  <c r="AM79" i="18"/>
  <c r="AO81" i="18"/>
  <c r="AK81" i="18"/>
  <c r="AN81" i="18"/>
  <c r="AJ81" i="18"/>
  <c r="AM81" i="18"/>
  <c r="AL81" i="18"/>
  <c r="AI81" i="18"/>
  <c r="AP81" i="18"/>
  <c r="AM77" i="18"/>
  <c r="AV77" i="18"/>
  <c r="AX77" i="18"/>
  <c r="BC81" i="18"/>
  <c r="BD81" i="18"/>
  <c r="BE81" i="18"/>
  <c r="AN78" i="18"/>
  <c r="AH78" i="18"/>
  <c r="AE78" i="18"/>
  <c r="AF78" i="18"/>
  <c r="AG78" i="18"/>
  <c r="AD82" i="18"/>
  <c r="AC82" i="18"/>
  <c r="AU78" i="18"/>
  <c r="AX78" i="18"/>
  <c r="BE79" i="18"/>
  <c r="AG81" i="18"/>
  <c r="AF81" i="18"/>
  <c r="AE81" i="18"/>
  <c r="AH81" i="18"/>
  <c r="AO77" i="18"/>
  <c r="BC77" i="18"/>
  <c r="BD77" i="18"/>
  <c r="BF81" i="18"/>
  <c r="AT81" i="18"/>
  <c r="AG77" i="18"/>
  <c r="AH77" i="18"/>
  <c r="AF77" i="18"/>
  <c r="AE77" i="18"/>
  <c r="AN77" i="18"/>
  <c r="AW77" i="18"/>
  <c r="AC81" i="18"/>
  <c r="AD81" i="18"/>
  <c r="BC79" i="18"/>
  <c r="AW78" i="18"/>
  <c r="BF79" i="18"/>
  <c r="AP79" i="18"/>
  <c r="AP77" i="18"/>
  <c r="AU77" i="18"/>
  <c r="BF77" i="18"/>
  <c r="BB81" i="18"/>
  <c r="AV81" i="18"/>
  <c r="AW81" i="18"/>
  <c r="AM78" i="18"/>
  <c r="AO78" i="18"/>
  <c r="AJ71" i="18"/>
  <c r="AF71" i="18"/>
  <c r="AF69" i="18"/>
  <c r="AH69" i="18"/>
  <c r="AG69" i="18"/>
  <c r="AE69" i="18"/>
  <c r="AU69" i="18"/>
  <c r="AX69" i="18"/>
  <c r="AW69" i="18"/>
  <c r="AV69" i="18"/>
  <c r="AE73" i="18"/>
  <c r="AE68" i="18"/>
  <c r="AG68" i="18"/>
  <c r="AF68" i="18"/>
  <c r="AH68" i="18"/>
  <c r="AM68" i="18"/>
  <c r="BC68" i="18"/>
  <c r="AY68" i="18"/>
  <c r="AU68" i="18"/>
  <c r="AQ68" i="18"/>
  <c r="BB68" i="18"/>
  <c r="AW68" i="18"/>
  <c r="AR68" i="18"/>
  <c r="BF68" i="18"/>
  <c r="BA68" i="18"/>
  <c r="AV68" i="18"/>
  <c r="AX68" i="18"/>
  <c r="BE68" i="18"/>
  <c r="AT68" i="18"/>
  <c r="BD68" i="18"/>
  <c r="AS68" i="18"/>
  <c r="AZ68" i="18"/>
  <c r="AM73" i="18"/>
  <c r="AI73" i="18"/>
  <c r="AN69" i="18"/>
  <c r="AJ69" i="18"/>
  <c r="AO69" i="18"/>
  <c r="AI69" i="18"/>
  <c r="AM69" i="18"/>
  <c r="AL69" i="18"/>
  <c r="AK69" i="18"/>
  <c r="AP69" i="18"/>
  <c r="BD69" i="18"/>
  <c r="BF69" i="18"/>
  <c r="BC69" i="18"/>
  <c r="AZ69" i="18"/>
  <c r="BE69" i="18"/>
  <c r="BB69" i="18"/>
  <c r="BA69" i="18"/>
  <c r="AY69" i="18"/>
  <c r="N72" i="18"/>
  <c r="Z71" i="18"/>
  <c r="W72" i="18"/>
  <c r="L73" i="18"/>
  <c r="W73" i="18" s="1"/>
  <c r="AB73" i="18" s="1"/>
  <c r="BF67" i="18"/>
  <c r="BB67" i="18"/>
  <c r="AX67" i="18"/>
  <c r="AT67" i="18"/>
  <c r="BE67" i="18"/>
  <c r="AZ67" i="18"/>
  <c r="AU67" i="18"/>
  <c r="BD67" i="18"/>
  <c r="AY67" i="18"/>
  <c r="AS67" i="18"/>
  <c r="AW67" i="18"/>
  <c r="AV67" i="18"/>
  <c r="BC67" i="18"/>
  <c r="AR67" i="18"/>
  <c r="BA67" i="18"/>
  <c r="AQ67" i="18"/>
  <c r="AH67" i="18"/>
  <c r="AE67" i="18"/>
  <c r="AG67" i="18"/>
  <c r="AF67" i="18"/>
  <c r="AO68" i="18"/>
  <c r="AP68" i="18"/>
  <c r="AN67" i="18"/>
  <c r="AP67" i="18"/>
  <c r="AN71" i="18"/>
  <c r="AC70" i="18"/>
  <c r="AD70" i="18"/>
  <c r="AK70" i="18"/>
  <c r="AL70" i="18"/>
  <c r="O73" i="18"/>
  <c r="V73" i="18" s="1"/>
  <c r="V72" i="18"/>
  <c r="BC71" i="18"/>
  <c r="AY71" i="18"/>
  <c r="AU71" i="18"/>
  <c r="AQ71" i="18"/>
  <c r="BB71" i="18"/>
  <c r="AX71" i="18"/>
  <c r="AT71" i="18"/>
  <c r="AZ71" i="18"/>
  <c r="AR71" i="18"/>
  <c r="BE71" i="18"/>
  <c r="AW71" i="18"/>
  <c r="BD71" i="18"/>
  <c r="AV71" i="18"/>
  <c r="BA71" i="18"/>
  <c r="AS71" i="18"/>
  <c r="AW70" i="18"/>
  <c r="AP70" i="18"/>
  <c r="AG70" i="18"/>
  <c r="N63" i="18"/>
  <c r="Z63" i="18" s="1"/>
  <c r="Z62" i="18"/>
  <c r="AP58" i="18"/>
  <c r="AL58" i="18"/>
  <c r="AK58" i="18"/>
  <c r="AN58" i="18"/>
  <c r="AI58" i="18"/>
  <c r="AO58" i="18"/>
  <c r="AM58" i="18"/>
  <c r="AJ58" i="18"/>
  <c r="W62" i="18"/>
  <c r="AB62" i="18" s="1"/>
  <c r="L63" i="18"/>
  <c r="W63" i="18" s="1"/>
  <c r="AB63" i="18" s="1"/>
  <c r="AO61" i="18"/>
  <c r="AK61" i="18"/>
  <c r="AL61" i="18"/>
  <c r="AP61" i="18"/>
  <c r="AJ61" i="18"/>
  <c r="AN61" i="18"/>
  <c r="AI61" i="18"/>
  <c r="AM61" i="18"/>
  <c r="BE61" i="18"/>
  <c r="BA61" i="18"/>
  <c r="AW61" i="18"/>
  <c r="AS61" i="18"/>
  <c r="BB61" i="18"/>
  <c r="AV61" i="18"/>
  <c r="AQ61" i="18"/>
  <c r="BF61" i="18"/>
  <c r="AZ61" i="18"/>
  <c r="AU61" i="18"/>
  <c r="BD61" i="18"/>
  <c r="AY61" i="18"/>
  <c r="AT61" i="18"/>
  <c r="BC61" i="18"/>
  <c r="AX61" i="18"/>
  <c r="AR61" i="18"/>
  <c r="AC61" i="18"/>
  <c r="AD61" i="18"/>
  <c r="BE56" i="18"/>
  <c r="BA56" i="18"/>
  <c r="AW56" i="18"/>
  <c r="AS56" i="18"/>
  <c r="BC56" i="18"/>
  <c r="BB56" i="18"/>
  <c r="AV56" i="18"/>
  <c r="AQ56" i="18"/>
  <c r="AZ56" i="18"/>
  <c r="AU56" i="18"/>
  <c r="BF56" i="18"/>
  <c r="AY56" i="18"/>
  <c r="AT56" i="18"/>
  <c r="BD56" i="18"/>
  <c r="AX56" i="18"/>
  <c r="AR56" i="18"/>
  <c r="U62" i="18"/>
  <c r="T62" i="18"/>
  <c r="X62" i="18"/>
  <c r="Y62" i="18" s="1"/>
  <c r="M63" i="18"/>
  <c r="V62" i="18"/>
  <c r="O63" i="18"/>
  <c r="V63" i="18" s="1"/>
  <c r="Y59" i="18"/>
  <c r="T59" i="18"/>
  <c r="X59" i="18"/>
  <c r="U59" i="18"/>
  <c r="AH58" i="18"/>
  <c r="AF58" i="18"/>
  <c r="AG58" i="18"/>
  <c r="AE58" i="18"/>
  <c r="V57" i="18"/>
  <c r="O58" i="18"/>
  <c r="V58" i="18" s="1"/>
  <c r="AG61" i="18"/>
  <c r="AF61" i="18"/>
  <c r="AE61" i="18"/>
  <c r="AH61" i="18"/>
  <c r="AD50" i="18"/>
  <c r="AC50" i="18"/>
  <c r="AT50" i="18"/>
  <c r="AS50" i="18"/>
  <c r="BB50" i="18"/>
  <c r="AW50" i="18"/>
  <c r="AK50" i="18"/>
  <c r="BE50" i="18"/>
  <c r="BA50" i="18"/>
  <c r="BF50" i="18"/>
  <c r="AH50" i="18"/>
  <c r="AX50" i="18"/>
  <c r="AP50" i="18"/>
  <c r="AG50" i="18"/>
  <c r="AL50" i="18"/>
  <c r="AO50" i="18"/>
  <c r="AV51" i="18"/>
  <c r="BC52" i="18"/>
  <c r="AY52" i="18"/>
  <c r="AU52" i="18"/>
  <c r="AQ52" i="18"/>
  <c r="AF51" i="18"/>
  <c r="N52" i="18"/>
  <c r="Z51" i="18"/>
  <c r="W52" i="18"/>
  <c r="AZ52" i="18" s="1"/>
  <c r="L53" i="18"/>
  <c r="W53" i="18" s="1"/>
  <c r="AB53" i="18" s="1"/>
  <c r="BD51" i="18"/>
  <c r="AZ51" i="18"/>
  <c r="AR53" i="18"/>
  <c r="BC53" i="18"/>
  <c r="AU53" i="18"/>
  <c r="AY53" i="18"/>
  <c r="AQ53" i="18"/>
  <c r="AE53" i="18"/>
  <c r="AN51" i="18"/>
  <c r="AN53" i="18"/>
  <c r="AM53" i="18"/>
  <c r="AI53" i="18"/>
  <c r="AR51" i="18"/>
  <c r="AJ51" i="18"/>
  <c r="AF41" i="18"/>
  <c r="AZ41" i="18"/>
  <c r="AF39" i="18"/>
  <c r="AG39" i="18"/>
  <c r="AE39" i="18"/>
  <c r="AH39" i="18"/>
  <c r="AX39" i="18"/>
  <c r="AV39" i="18"/>
  <c r="AW39" i="18"/>
  <c r="AU39" i="18"/>
  <c r="AC40" i="18"/>
  <c r="AD40" i="18"/>
  <c r="AS40" i="18"/>
  <c r="AT40" i="18"/>
  <c r="AH40" i="18"/>
  <c r="BF40" i="18"/>
  <c r="AL40" i="18"/>
  <c r="AO40" i="18"/>
  <c r="AX40" i="18"/>
  <c r="BB40" i="18"/>
  <c r="BE40" i="18"/>
  <c r="AG40" i="18"/>
  <c r="AW40" i="18"/>
  <c r="AK40" i="18"/>
  <c r="BA40" i="18"/>
  <c r="AP40" i="18"/>
  <c r="AI43" i="18"/>
  <c r="AM43" i="18"/>
  <c r="BC43" i="18"/>
  <c r="AY43" i="18"/>
  <c r="Z41" i="18"/>
  <c r="N42" i="18"/>
  <c r="W42" i="18"/>
  <c r="L43" i="18"/>
  <c r="W43" i="18" s="1"/>
  <c r="AZ43" i="18" s="1"/>
  <c r="AB41" i="18"/>
  <c r="AR41" i="18"/>
  <c r="AE43" i="18"/>
  <c r="AU43" i="18"/>
  <c r="AN39" i="18"/>
  <c r="AJ39" i="18"/>
  <c r="AO39" i="18"/>
  <c r="AL39" i="18"/>
  <c r="AP39" i="18"/>
  <c r="AK39" i="18"/>
  <c r="AM39" i="18"/>
  <c r="AI39" i="18"/>
  <c r="AZ39" i="18"/>
  <c r="AY39" i="18"/>
  <c r="BF39" i="18"/>
  <c r="BB39" i="18"/>
  <c r="BA39" i="18"/>
  <c r="BC39" i="18"/>
  <c r="BD39" i="18"/>
  <c r="BE39" i="18"/>
  <c r="BD41" i="18"/>
  <c r="AN41" i="18"/>
  <c r="AV41" i="18"/>
  <c r="AS33" i="18"/>
  <c r="AG33" i="18"/>
  <c r="AE33" i="18"/>
  <c r="AW33" i="18"/>
  <c r="AU33" i="18"/>
  <c r="BE33" i="18"/>
  <c r="AH29" i="18"/>
  <c r="AF29" i="18"/>
  <c r="AG29" i="18"/>
  <c r="AE29" i="18"/>
  <c r="AU29" i="18"/>
  <c r="AX29" i="18"/>
  <c r="AV29" i="18"/>
  <c r="AW29" i="18"/>
  <c r="AB31" i="18"/>
  <c r="AR31" i="18"/>
  <c r="AO33" i="18"/>
  <c r="AM33" i="18"/>
  <c r="AI33" i="18"/>
  <c r="AK33" i="18"/>
  <c r="AZ31" i="18"/>
  <c r="L33" i="18"/>
  <c r="W32" i="18"/>
  <c r="BC33" i="18"/>
  <c r="AP29" i="18"/>
  <c r="AL29" i="18"/>
  <c r="AN29" i="18"/>
  <c r="AJ29" i="18"/>
  <c r="AK29" i="18"/>
  <c r="AI29" i="18"/>
  <c r="AO29" i="18"/>
  <c r="AM29" i="18"/>
  <c r="BB29" i="18"/>
  <c r="AZ29" i="18"/>
  <c r="BE29" i="18"/>
  <c r="AY29" i="18"/>
  <c r="BF29" i="18"/>
  <c r="BD29" i="18"/>
  <c r="BC29" i="18"/>
  <c r="BA29" i="18"/>
  <c r="BA33" i="18"/>
  <c r="AC33" i="18"/>
  <c r="AJ31" i="18"/>
  <c r="BF27" i="18"/>
  <c r="BB27" i="18"/>
  <c r="AX27" i="18"/>
  <c r="AT27" i="18"/>
  <c r="BD27" i="18"/>
  <c r="AZ27" i="18"/>
  <c r="AV27" i="18"/>
  <c r="AR27" i="18"/>
  <c r="BA27" i="18"/>
  <c r="AS27" i="18"/>
  <c r="AY27" i="18"/>
  <c r="AQ27" i="18"/>
  <c r="BE27" i="18"/>
  <c r="AW27" i="18"/>
  <c r="BC27" i="18"/>
  <c r="AU27" i="18"/>
  <c r="AT30" i="18"/>
  <c r="R31" i="18"/>
  <c r="AD30" i="18"/>
  <c r="AS30" i="18"/>
  <c r="AC30" i="18"/>
  <c r="AF30" i="18"/>
  <c r="AW30" i="18"/>
  <c r="BD30" i="18"/>
  <c r="AM30" i="18"/>
  <c r="AH30" i="18"/>
  <c r="AU30" i="18"/>
  <c r="AP30" i="18"/>
  <c r="AG30" i="18"/>
  <c r="AV30" i="18"/>
  <c r="BC30" i="18"/>
  <c r="BA30" i="18"/>
  <c r="AL30" i="18"/>
  <c r="AK30" i="18"/>
  <c r="BB30" i="18"/>
  <c r="AE30" i="18"/>
  <c r="AX30" i="18"/>
  <c r="BE30" i="18"/>
  <c r="AN30" i="18"/>
  <c r="AO30" i="18"/>
  <c r="BF30" i="18"/>
  <c r="BD28" i="18"/>
  <c r="AZ28" i="18"/>
  <c r="AV28" i="18"/>
  <c r="AR28" i="18"/>
  <c r="BF28" i="18"/>
  <c r="BB28" i="18"/>
  <c r="AX28" i="18"/>
  <c r="AT28" i="18"/>
  <c r="BC28" i="18"/>
  <c r="AU28" i="18"/>
  <c r="BA28" i="18"/>
  <c r="AS28" i="18"/>
  <c r="AY28" i="18"/>
  <c r="AQ28" i="18"/>
  <c r="BE28" i="18"/>
  <c r="AW28" i="18"/>
  <c r="AY33" i="18"/>
  <c r="H20" i="18"/>
  <c r="B31" i="18"/>
  <c r="Y18" i="18"/>
  <c r="U18" i="18"/>
  <c r="T18" i="18"/>
  <c r="O18" i="18"/>
  <c r="V18" i="18" s="1"/>
  <c r="M19" i="18"/>
  <c r="AH82" i="18" l="1"/>
  <c r="AG82" i="18"/>
  <c r="AF82" i="18"/>
  <c r="AE82" i="18"/>
  <c r="AX82" i="18"/>
  <c r="AW82" i="18"/>
  <c r="AU82" i="18"/>
  <c r="AV82" i="18"/>
  <c r="AT82" i="18"/>
  <c r="AS82" i="18"/>
  <c r="AP82" i="18"/>
  <c r="AL82" i="18"/>
  <c r="AO82" i="18"/>
  <c r="AK82" i="18"/>
  <c r="AN82" i="18"/>
  <c r="AM82" i="18"/>
  <c r="AJ82" i="18"/>
  <c r="AI82" i="18"/>
  <c r="BC82" i="18"/>
  <c r="AY82" i="18"/>
  <c r="BE82" i="18"/>
  <c r="BD82" i="18"/>
  <c r="BA82" i="18"/>
  <c r="BB82" i="18"/>
  <c r="AZ82" i="18"/>
  <c r="BF82" i="18"/>
  <c r="AN73" i="18"/>
  <c r="AB72" i="18"/>
  <c r="AJ72" i="18"/>
  <c r="AF72" i="18"/>
  <c r="AN72" i="18"/>
  <c r="AS73" i="18"/>
  <c r="BD73" i="18"/>
  <c r="AZ73" i="18"/>
  <c r="AV73" i="18"/>
  <c r="AR73" i="18"/>
  <c r="BC73" i="18"/>
  <c r="AU73" i="18"/>
  <c r="AT73" i="18"/>
  <c r="AY73" i="18"/>
  <c r="AQ73" i="18"/>
  <c r="AD71" i="18"/>
  <c r="AC71" i="18"/>
  <c r="AO71" i="18"/>
  <c r="AG71" i="18"/>
  <c r="AP71" i="18"/>
  <c r="AL71" i="18"/>
  <c r="AK71" i="18"/>
  <c r="AH71" i="18"/>
  <c r="BD72" i="18"/>
  <c r="AZ72" i="18"/>
  <c r="AV72" i="18"/>
  <c r="AR72" i="18"/>
  <c r="BC72" i="18"/>
  <c r="AY72" i="18"/>
  <c r="AU72" i="18"/>
  <c r="AQ72" i="18"/>
  <c r="N73" i="18"/>
  <c r="Z73" i="18" s="1"/>
  <c r="AX73" i="18" s="1"/>
  <c r="Z72" i="18"/>
  <c r="AW72" i="18" s="1"/>
  <c r="AF73" i="18"/>
  <c r="BF71" i="18"/>
  <c r="AJ73" i="18"/>
  <c r="AH62" i="18"/>
  <c r="AG62" i="18"/>
  <c r="AF62" i="18"/>
  <c r="AE62" i="18"/>
  <c r="BF62" i="18"/>
  <c r="BB62" i="18"/>
  <c r="AX62" i="18"/>
  <c r="AT62" i="18"/>
  <c r="BD62" i="18"/>
  <c r="AY62" i="18"/>
  <c r="AS62" i="18"/>
  <c r="BC62" i="18"/>
  <c r="AW62" i="18"/>
  <c r="AR62" i="18"/>
  <c r="BA62" i="18"/>
  <c r="AV62" i="18"/>
  <c r="AQ62" i="18"/>
  <c r="BE62" i="18"/>
  <c r="AZ62" i="18"/>
  <c r="AU62" i="18"/>
  <c r="BF58" i="18"/>
  <c r="BB58" i="18"/>
  <c r="AX58" i="18"/>
  <c r="AT58" i="18"/>
  <c r="BA58" i="18"/>
  <c r="AV58" i="18"/>
  <c r="AQ58" i="18"/>
  <c r="BD58" i="18"/>
  <c r="AY58" i="18"/>
  <c r="AS58" i="18"/>
  <c r="BC58" i="18"/>
  <c r="AR58" i="18"/>
  <c r="AZ58" i="18"/>
  <c r="AW58" i="18"/>
  <c r="BE58" i="18"/>
  <c r="AU58" i="18"/>
  <c r="AM59" i="18"/>
  <c r="AI59" i="18"/>
  <c r="AN59" i="18"/>
  <c r="AP59" i="18"/>
  <c r="AK59" i="18"/>
  <c r="AO59" i="18"/>
  <c r="AJ59" i="18"/>
  <c r="AL59" i="18"/>
  <c r="BC59" i="18"/>
  <c r="BD59" i="18"/>
  <c r="BF59" i="18"/>
  <c r="AZ59" i="18"/>
  <c r="AY59" i="18"/>
  <c r="BA59" i="18"/>
  <c r="BB59" i="18"/>
  <c r="BE59" i="18"/>
  <c r="T63" i="18"/>
  <c r="X63" i="18"/>
  <c r="Y63" i="18" s="1"/>
  <c r="U63" i="18"/>
  <c r="AD63" i="18" s="1"/>
  <c r="BE57" i="18"/>
  <c r="BA57" i="18"/>
  <c r="AW57" i="18"/>
  <c r="AS57" i="18"/>
  <c r="BF57" i="18"/>
  <c r="AZ57" i="18"/>
  <c r="AU57" i="18"/>
  <c r="BC57" i="18"/>
  <c r="AX57" i="18"/>
  <c r="AR57" i="18"/>
  <c r="BB57" i="18"/>
  <c r="AQ57" i="18"/>
  <c r="AY57" i="18"/>
  <c r="AV57" i="18"/>
  <c r="BD57" i="18"/>
  <c r="AT57" i="18"/>
  <c r="AD62" i="18"/>
  <c r="AC62" i="18"/>
  <c r="AE59" i="18"/>
  <c r="AH59" i="18"/>
  <c r="AF59" i="18"/>
  <c r="AG59" i="18"/>
  <c r="AX59" i="18"/>
  <c r="AU59" i="18"/>
  <c r="AV59" i="18"/>
  <c r="AW59" i="18"/>
  <c r="AQ63" i="18"/>
  <c r="AR63" i="18"/>
  <c r="AP62" i="18"/>
  <c r="AL62" i="18"/>
  <c r="AN62" i="18"/>
  <c r="AI62" i="18"/>
  <c r="AM62" i="18"/>
  <c r="AK62" i="18"/>
  <c r="AO62" i="18"/>
  <c r="AJ62" i="18"/>
  <c r="AZ53" i="18"/>
  <c r="AV52" i="18"/>
  <c r="BD52" i="18"/>
  <c r="AF53" i="18"/>
  <c r="AD51" i="18"/>
  <c r="AC51" i="18"/>
  <c r="AX51" i="18"/>
  <c r="BE51" i="18"/>
  <c r="BA51" i="18"/>
  <c r="AT51" i="18"/>
  <c r="AW51" i="18"/>
  <c r="AH51" i="18"/>
  <c r="AO51" i="18"/>
  <c r="AS51" i="18"/>
  <c r="BB51" i="18"/>
  <c r="AG51" i="18"/>
  <c r="AP51" i="18"/>
  <c r="BF51" i="18"/>
  <c r="AL51" i="18"/>
  <c r="AK51" i="18"/>
  <c r="AV53" i="18"/>
  <c r="N53" i="18"/>
  <c r="Z53" i="18" s="1"/>
  <c r="Z52" i="18"/>
  <c r="AJ53" i="18"/>
  <c r="BD53" i="18"/>
  <c r="AB52" i="18"/>
  <c r="AJ52" i="18"/>
  <c r="AF52" i="18"/>
  <c r="AN52" i="18"/>
  <c r="AR52" i="18"/>
  <c r="BD43" i="18"/>
  <c r="AJ43" i="18"/>
  <c r="AB43" i="18"/>
  <c r="AR43" i="18"/>
  <c r="AB42" i="18"/>
  <c r="BD42" i="18"/>
  <c r="AV42" i="18"/>
  <c r="AR42" i="18"/>
  <c r="AZ42" i="18"/>
  <c r="AN42" i="18"/>
  <c r="AF42" i="18"/>
  <c r="AJ42" i="18"/>
  <c r="N43" i="18"/>
  <c r="Z43" i="18" s="1"/>
  <c r="Z42" i="18"/>
  <c r="AV43" i="18"/>
  <c r="AF43" i="18"/>
  <c r="AD41" i="18"/>
  <c r="AC41" i="18"/>
  <c r="AS41" i="18"/>
  <c r="BB41" i="18"/>
  <c r="AT41" i="18"/>
  <c r="AL41" i="18"/>
  <c r="BE41" i="18"/>
  <c r="AG41" i="18"/>
  <c r="BF41" i="18"/>
  <c r="AK41" i="18"/>
  <c r="AX41" i="18"/>
  <c r="AH41" i="18"/>
  <c r="AO41" i="18"/>
  <c r="AP41" i="18"/>
  <c r="AW41" i="18"/>
  <c r="BA41" i="18"/>
  <c r="AN43" i="18"/>
  <c r="W33" i="18"/>
  <c r="AB32" i="18"/>
  <c r="AD32" i="18"/>
  <c r="AF32" i="18"/>
  <c r="AZ32" i="18"/>
  <c r="BB32" i="18"/>
  <c r="AL32" i="18"/>
  <c r="BF32" i="18"/>
  <c r="AP32" i="18"/>
  <c r="AH32" i="18"/>
  <c r="AV32" i="18"/>
  <c r="AX32" i="18"/>
  <c r="AN32" i="18"/>
  <c r="AR32" i="18"/>
  <c r="AT32" i="18"/>
  <c r="AJ32" i="18"/>
  <c r="BD32" i="18"/>
  <c r="AD33" i="18"/>
  <c r="AP33" i="18"/>
  <c r="AV33" i="18"/>
  <c r="BF33" i="18"/>
  <c r="AS31" i="18"/>
  <c r="AT31" i="18"/>
  <c r="AD31" i="18"/>
  <c r="AC31" i="18"/>
  <c r="AH31" i="18"/>
  <c r="AW31" i="18"/>
  <c r="AN31" i="18"/>
  <c r="AM31" i="18"/>
  <c r="BC31" i="18"/>
  <c r="BE31" i="18"/>
  <c r="AF31" i="18"/>
  <c r="AX31" i="18"/>
  <c r="AO31" i="18"/>
  <c r="BF31" i="18"/>
  <c r="BD31" i="18"/>
  <c r="AE31" i="18"/>
  <c r="AV31" i="18"/>
  <c r="AP31" i="18"/>
  <c r="AK31" i="18"/>
  <c r="BB31" i="18"/>
  <c r="BA31" i="18"/>
  <c r="AG31" i="18"/>
  <c r="AU31" i="18"/>
  <c r="AL31" i="18"/>
  <c r="AB33" i="18"/>
  <c r="AT33" i="18"/>
  <c r="AR33" i="18"/>
  <c r="BD33" i="18"/>
  <c r="BB33" i="18"/>
  <c r="AJ33" i="18"/>
  <c r="AX33" i="18"/>
  <c r="AH33" i="18"/>
  <c r="H19" i="18"/>
  <c r="B30" i="18"/>
  <c r="Y19" i="18"/>
  <c r="T19" i="18"/>
  <c r="U19" i="18"/>
  <c r="AT72" i="18" l="1"/>
  <c r="BB72" i="18"/>
  <c r="AW73" i="18"/>
  <c r="AX72" i="18"/>
  <c r="BA73" i="18"/>
  <c r="BF72" i="18"/>
  <c r="AD72" i="18"/>
  <c r="AC72" i="18"/>
  <c r="AH72" i="18"/>
  <c r="AK72" i="18"/>
  <c r="AG72" i="18"/>
  <c r="AP72" i="18"/>
  <c r="AO72" i="18"/>
  <c r="AL72" i="18"/>
  <c r="AS72" i="18"/>
  <c r="AC73" i="18"/>
  <c r="AD73" i="18"/>
  <c r="AG73" i="18"/>
  <c r="AO73" i="18"/>
  <c r="AP73" i="18"/>
  <c r="AL73" i="18"/>
  <c r="AH73" i="18"/>
  <c r="AK73" i="18"/>
  <c r="BA72" i="18"/>
  <c r="BE72" i="18"/>
  <c r="BB73" i="18"/>
  <c r="BF73" i="18"/>
  <c r="BE73" i="18"/>
  <c r="AV63" i="18"/>
  <c r="AX63" i="18"/>
  <c r="BE63" i="18"/>
  <c r="AU63" i="18"/>
  <c r="AW63" i="18"/>
  <c r="BD63" i="18"/>
  <c r="AT63" i="18"/>
  <c r="AC63" i="18"/>
  <c r="AS63" i="18"/>
  <c r="BC63" i="18"/>
  <c r="AE63" i="18"/>
  <c r="AF63" i="18"/>
  <c r="AH63" i="18"/>
  <c r="AG63" i="18"/>
  <c r="BB63" i="18"/>
  <c r="BA63" i="18"/>
  <c r="AY63" i="18"/>
  <c r="AZ63" i="18"/>
  <c r="BF63" i="18"/>
  <c r="AM63" i="18"/>
  <c r="AI63" i="18"/>
  <c r="AP63" i="18"/>
  <c r="AK63" i="18"/>
  <c r="AO63" i="18"/>
  <c r="AJ63" i="18"/>
  <c r="AN63" i="18"/>
  <c r="AL63" i="18"/>
  <c r="AC53" i="18"/>
  <c r="AD53" i="18"/>
  <c r="BE53" i="18"/>
  <c r="BF53" i="18"/>
  <c r="BB53" i="18"/>
  <c r="AG53" i="18"/>
  <c r="BA53" i="18"/>
  <c r="AX53" i="18"/>
  <c r="AO53" i="18"/>
  <c r="AL53" i="18"/>
  <c r="AT53" i="18"/>
  <c r="AP53" i="18"/>
  <c r="AW53" i="18"/>
  <c r="AH53" i="18"/>
  <c r="AK53" i="18"/>
  <c r="AS53" i="18"/>
  <c r="AD52" i="18"/>
  <c r="AC52" i="18"/>
  <c r="AG52" i="18"/>
  <c r="AK52" i="18"/>
  <c r="AP52" i="18"/>
  <c r="AH52" i="18"/>
  <c r="AO52" i="18"/>
  <c r="AL52" i="18"/>
  <c r="AT52" i="18"/>
  <c r="AX52" i="18"/>
  <c r="BE52" i="18"/>
  <c r="BA52" i="18"/>
  <c r="AW52" i="18"/>
  <c r="AS52" i="18"/>
  <c r="BB52" i="18"/>
  <c r="BF52" i="18"/>
  <c r="AC42" i="18"/>
  <c r="AD42" i="18"/>
  <c r="BB42" i="18"/>
  <c r="BA42" i="18"/>
  <c r="AT42" i="18"/>
  <c r="AW42" i="18"/>
  <c r="AX42" i="18"/>
  <c r="BE42" i="18"/>
  <c r="AS42" i="18"/>
  <c r="BF42" i="18"/>
  <c r="AK42" i="18"/>
  <c r="AG42" i="18"/>
  <c r="AO42" i="18"/>
  <c r="AL42" i="18"/>
  <c r="AP42" i="18"/>
  <c r="AH42" i="18"/>
  <c r="AD43" i="18"/>
  <c r="AC43" i="18"/>
  <c r="AS43" i="18"/>
  <c r="AT43" i="18"/>
  <c r="AO43" i="18"/>
  <c r="BE43" i="18"/>
  <c r="AP43" i="18"/>
  <c r="BA43" i="18"/>
  <c r="AH43" i="18"/>
  <c r="AW43" i="18"/>
  <c r="AK43" i="18"/>
  <c r="AL43" i="18"/>
  <c r="BF43" i="18"/>
  <c r="BB43" i="18"/>
  <c r="AG43" i="18"/>
  <c r="AX43" i="18"/>
  <c r="AF33" i="18"/>
  <c r="AN33" i="18"/>
  <c r="AZ33" i="18"/>
  <c r="AL33" i="18"/>
  <c r="H18" i="18"/>
  <c r="B29" i="18"/>
  <c r="V41" i="3"/>
  <c r="R57" i="3"/>
  <c r="Q57" i="3"/>
  <c r="R56" i="3"/>
  <c r="Q56" i="3"/>
  <c r="R55" i="3"/>
  <c r="Q55" i="3"/>
  <c r="R54" i="3"/>
  <c r="Q54" i="3"/>
  <c r="Q53" i="3"/>
  <c r="R53" i="3"/>
  <c r="R52" i="3"/>
  <c r="Q52" i="3"/>
  <c r="T1" i="3"/>
  <c r="T2" i="3"/>
  <c r="R343" i="3"/>
  <c r="AB311" i="3"/>
  <c r="F4" i="17" a="1"/>
  <c r="M67" i="3" a="1"/>
  <c r="M322" i="3" a="1"/>
  <c r="M381" i="3" a="1"/>
  <c r="L92" i="3" a="1"/>
  <c r="M366" i="3" a="1"/>
  <c r="F3" i="17"/>
  <c r="L360" i="3" a="1"/>
  <c r="M357" i="3" a="1"/>
  <c r="L65" i="3" a="1"/>
  <c r="M63" i="3" a="1"/>
  <c r="L85" i="3" a="1"/>
  <c r="L63" i="3" a="1"/>
  <c r="L355" i="3" a="1"/>
  <c r="M65" i="3" a="1"/>
  <c r="M92" i="3" a="1"/>
  <c r="M85" i="3" a="1"/>
  <c r="L67" i="3" a="1"/>
  <c r="M378" i="3" a="1"/>
  <c r="M372" i="3" a="1"/>
  <c r="H17" i="18" l="1"/>
  <c r="B28" i="18"/>
  <c r="F4" i="17"/>
  <c r="M322" i="3"/>
  <c r="M372" i="3"/>
  <c r="M378" i="3"/>
  <c r="M381" i="3"/>
  <c r="M357" i="3"/>
  <c r="L355" i="3"/>
  <c r="L360" i="3"/>
  <c r="M366" i="3"/>
  <c r="M92" i="3"/>
  <c r="L92" i="3"/>
  <c r="M85" i="3"/>
  <c r="L85" i="3"/>
  <c r="L63" i="3"/>
  <c r="M63" i="3"/>
  <c r="L67" i="3"/>
  <c r="M67" i="3"/>
  <c r="M65" i="3"/>
  <c r="L65" i="3"/>
  <c r="W327" i="3"/>
  <c r="X327" i="3"/>
  <c r="M355" i="3"/>
  <c r="L380" i="3"/>
  <c r="W380" i="3"/>
  <c r="Q388" i="3"/>
  <c r="Y31" i="3"/>
  <c r="AF31" i="3" s="1"/>
  <c r="H16" i="18" l="1"/>
  <c r="B27" i="18"/>
  <c r="V31" i="3"/>
  <c r="H15" i="18" l="1"/>
  <c r="B26" i="18"/>
  <c r="Q356" i="3"/>
  <c r="O362" i="3"/>
  <c r="O343" i="3"/>
  <c r="P343" i="3"/>
  <c r="AB356" i="3"/>
  <c r="AC342" i="3"/>
  <c r="AB341" i="3"/>
  <c r="AC341" i="3"/>
  <c r="T341" i="3"/>
  <c r="AK356" i="3"/>
  <c r="AD309" i="3"/>
  <c r="H14" i="18" l="1"/>
  <c r="B24" i="18" s="1"/>
  <c r="B25" i="18"/>
  <c r="L343" i="3"/>
  <c r="L328" i="3"/>
  <c r="L329" i="3"/>
  <c r="L376" i="3"/>
  <c r="AA377" i="3"/>
  <c r="W377" i="3"/>
  <c r="P377" i="3"/>
  <c r="O377" i="3"/>
  <c r="L377" i="3"/>
  <c r="AA376" i="3"/>
  <c r="W376" i="3"/>
  <c r="P376" i="3"/>
  <c r="O376" i="3"/>
  <c r="L362" i="3"/>
  <c r="G24" i="18" l="1"/>
  <c r="G25" i="18" s="1"/>
  <c r="G26" i="18" s="1"/>
  <c r="B36"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B34" i="18" l="1"/>
  <c r="B35" i="18"/>
  <c r="G27" i="18"/>
  <c r="B37" i="18" s="1"/>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G34" i="18" l="1"/>
  <c r="G35" i="18" s="1"/>
  <c r="G36" i="18" s="1"/>
  <c r="G37" i="18" s="1"/>
  <c r="G38" i="18" s="1"/>
  <c r="G39" i="18" s="1"/>
  <c r="G40" i="18" s="1"/>
  <c r="G41" i="18" s="1"/>
  <c r="G42" i="18" s="1"/>
  <c r="G43" i="18" s="1"/>
  <c r="G28" i="18"/>
  <c r="B38" i="18" s="1"/>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G29" i="18" l="1"/>
  <c r="B39" i="18" s="1"/>
  <c r="AS328" i="3"/>
  <c r="AS329" i="3" s="1"/>
  <c r="AS330" i="3" s="1"/>
  <c r="AS342" i="3" s="1"/>
  <c r="AS343" i="3" s="1"/>
  <c r="S374" i="3"/>
  <c r="T374" i="3" s="1"/>
  <c r="V374" i="3" s="1"/>
  <c r="Q375" i="3"/>
  <c r="R375" i="3" s="1"/>
  <c r="S375" i="3" s="1"/>
  <c r="T375" i="3" s="1"/>
  <c r="V375" i="3" s="1"/>
  <c r="AJ307" i="3"/>
  <c r="W308" i="3"/>
  <c r="X308" i="3" s="1"/>
  <c r="Y308" i="3" s="1"/>
  <c r="H9" i="14"/>
  <c r="G30" i="18" l="1"/>
  <c r="B40" i="18" s="1"/>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G31" i="18" l="1"/>
  <c r="B41" i="18" s="1"/>
  <c r="AJ375" i="3"/>
  <c r="W310" i="3"/>
  <c r="X310" i="3" s="1"/>
  <c r="Y310" i="3" s="1"/>
  <c r="AJ309" i="3"/>
  <c r="L295" i="3"/>
  <c r="O287" i="3"/>
  <c r="P287" i="3"/>
  <c r="AH288" i="3"/>
  <c r="AH287" i="3"/>
  <c r="AA287" i="3"/>
  <c r="W287" i="3" s="1"/>
  <c r="P290" i="3"/>
  <c r="P285" i="3"/>
  <c r="P276" i="3"/>
  <c r="P280" i="3"/>
  <c r="P279" i="3"/>
  <c r="P278" i="3"/>
  <c r="P277" i="3"/>
  <c r="G32" i="18" l="1"/>
  <c r="B42"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G33" i="18" l="1"/>
  <c r="B43" i="18" s="1"/>
  <c r="W323" i="3"/>
  <c r="AJ311" i="3"/>
  <c r="O29" i="3"/>
  <c r="N29" i="3" s="1"/>
  <c r="V29" i="3"/>
  <c r="H43" i="18" l="1"/>
  <c r="H42" i="18" s="1"/>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B53" i="18" l="1"/>
  <c r="H53" i="18" s="1"/>
  <c r="H52" i="18" s="1"/>
  <c r="H51" i="18" s="1"/>
  <c r="H50" i="18" s="1"/>
  <c r="H49" i="18" s="1"/>
  <c r="H48" i="18" s="1"/>
  <c r="H47" i="18" s="1"/>
  <c r="H46" i="18" s="1"/>
  <c r="H45" i="18" s="1"/>
  <c r="H44" i="18" s="1"/>
  <c r="H41" i="18"/>
  <c r="B52" i="18"/>
  <c r="W288" i="3"/>
  <c r="X284" i="3"/>
  <c r="W285" i="3" s="1"/>
  <c r="H40" i="18" l="1"/>
  <c r="B51" i="18"/>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39" i="18" l="1"/>
  <c r="B50" i="18"/>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38" i="18" l="1"/>
  <c r="B49" i="18"/>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37" i="18" l="1"/>
  <c r="B48" i="18"/>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36" i="18" l="1"/>
  <c r="B47" i="18"/>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35" i="18" l="1"/>
  <c r="B46" i="18"/>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34" i="18" l="1"/>
  <c r="B44" i="18" s="1"/>
  <c r="B45" i="18"/>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G44" i="18" l="1"/>
  <c r="G45" i="18" s="1"/>
  <c r="G46" i="18" s="1"/>
  <c r="B54" i="18"/>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G54" i="18" l="1"/>
  <c r="G55" i="18" s="1"/>
  <c r="G56" i="18" s="1"/>
  <c r="G57" i="18" s="1"/>
  <c r="G58" i="18" s="1"/>
  <c r="G59" i="18" s="1"/>
  <c r="G60" i="18" s="1"/>
  <c r="G61" i="18" s="1"/>
  <c r="G62" i="18" s="1"/>
  <c r="G63" i="18" s="1"/>
  <c r="G47" i="18"/>
  <c r="B56" i="18"/>
  <c r="B55" i="18"/>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G48" i="18" l="1"/>
  <c r="B57" i="18"/>
  <c r="AB76"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G49" i="18" l="1"/>
  <c r="B58" i="18"/>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G50" i="18" l="1"/>
  <c r="B59" i="18"/>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G51" i="18" l="1"/>
  <c r="B60" i="18"/>
  <c r="Q84" i="3"/>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G52" i="18" l="1"/>
  <c r="B61" i="18"/>
  <c r="AB58" i="2"/>
  <c r="AC58" i="2" s="1"/>
  <c r="V58" i="2"/>
  <c r="L427" i="1"/>
  <c r="M427" i="1" s="1"/>
  <c r="N426" i="1"/>
  <c r="O426" i="1" s="1"/>
  <c r="Q426" i="1" s="1"/>
  <c r="S426" i="1" s="1"/>
  <c r="M401" i="1"/>
  <c r="V68" i="3"/>
  <c r="AB68" i="3"/>
  <c r="AC68" i="3" s="1"/>
  <c r="AI74" i="2"/>
  <c r="AC74" i="2"/>
  <c r="X74" i="2"/>
  <c r="AI84" i="3"/>
  <c r="AC84" i="3"/>
  <c r="X84" i="3"/>
  <c r="G53" i="18" l="1"/>
  <c r="B63" i="18" s="1"/>
  <c r="B62" i="18"/>
  <c r="AE84" i="3"/>
  <c r="AD84" i="3"/>
  <c r="J401" i="1"/>
  <c r="N401" i="1"/>
  <c r="L402" i="1"/>
  <c r="I402" i="1" s="1"/>
  <c r="AI68" i="3"/>
  <c r="X68" i="3"/>
  <c r="AH68" i="3" s="1"/>
  <c r="AI58" i="2"/>
  <c r="X58" i="2"/>
  <c r="AH58" i="2" s="1"/>
  <c r="W86" i="3"/>
  <c r="AH84" i="3"/>
  <c r="AH74" i="2"/>
  <c r="W76" i="2"/>
  <c r="AE74" i="2"/>
  <c r="AD74" i="2"/>
  <c r="N427" i="1"/>
  <c r="O427" i="1" s="1"/>
  <c r="Q427" i="1" s="1"/>
  <c r="L428" i="1"/>
  <c r="M428" i="1" s="1"/>
  <c r="H63" i="18" l="1"/>
  <c r="H62" i="18" s="1"/>
  <c r="H61" i="18" s="1"/>
  <c r="L429" i="1"/>
  <c r="M429" i="1" s="1"/>
  <c r="N428" i="1"/>
  <c r="O428" i="1" s="1"/>
  <c r="Q428" i="1" s="1"/>
  <c r="S428" i="1" s="1"/>
  <c r="S427" i="1"/>
  <c r="R76" i="2"/>
  <c r="R86" i="3"/>
  <c r="O401" i="1"/>
  <c r="Q401" i="1" s="1"/>
  <c r="N410" i="1"/>
  <c r="B72" i="18" l="1"/>
  <c r="B73" i="18"/>
  <c r="H73" i="18" s="1"/>
  <c r="H72" i="18" s="1"/>
  <c r="H71" i="18" s="1"/>
  <c r="H70" i="18" s="1"/>
  <c r="H69" i="18" s="1"/>
  <c r="H68" i="18" s="1"/>
  <c r="H67" i="18" s="1"/>
  <c r="H66" i="18" s="1"/>
  <c r="H65" i="18" s="1"/>
  <c r="H64" i="18" s="1"/>
  <c r="H60" i="18"/>
  <c r="B71" i="18"/>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H59" i="18" l="1"/>
  <c r="B70" i="18"/>
  <c r="AC86" i="3"/>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H58" i="18" l="1"/>
  <c r="B69" i="18"/>
  <c r="AI87" i="3"/>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H57" i="18" l="1"/>
  <c r="B68" i="18"/>
  <c r="L433" i="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H56" i="18" l="1"/>
  <c r="B67" i="18"/>
  <c r="Q91" i="3"/>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H55" i="18" l="1"/>
  <c r="B66" i="18"/>
  <c r="L448" i="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H54" i="18" l="1"/>
  <c r="B64" i="18" s="1"/>
  <c r="B65" i="18"/>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G64" i="18" l="1"/>
  <c r="G65" i="18" s="1"/>
  <c r="G66" i="18" s="1"/>
  <c r="AE124" i="3"/>
  <c r="AD124" i="3"/>
  <c r="AI124" i="3"/>
  <c r="X124" i="3"/>
  <c r="L450" i="1"/>
  <c r="M450" i="1" s="1"/>
  <c r="N449" i="1"/>
  <c r="O449" i="1" s="1"/>
  <c r="Q449" i="1" s="1"/>
  <c r="S449" i="1" s="1"/>
  <c r="AI114" i="2"/>
  <c r="X114" i="2"/>
  <c r="AD81" i="2"/>
  <c r="AD82" i="2" s="1"/>
  <c r="AE81" i="2"/>
  <c r="AE114" i="2"/>
  <c r="AD114" i="2"/>
  <c r="AE91" i="3"/>
  <c r="AD91" i="3"/>
  <c r="AD92" i="3" s="1"/>
  <c r="B74" i="18" l="1"/>
  <c r="G74" i="18" s="1"/>
  <c r="G75" i="18" s="1"/>
  <c r="G76" i="18" s="1"/>
  <c r="G77" i="18" s="1"/>
  <c r="G78" i="18" s="1"/>
  <c r="G79" i="18" s="1"/>
  <c r="G80" i="18" s="1"/>
  <c r="G81" i="18" s="1"/>
  <c r="G82" i="18" s="1"/>
  <c r="G67" i="18"/>
  <c r="B76" i="18"/>
  <c r="B75" i="18"/>
  <c r="AH114" i="2"/>
  <c r="W121" i="2"/>
  <c r="L451" i="1"/>
  <c r="M451" i="1" s="1"/>
  <c r="N450" i="1"/>
  <c r="O450" i="1" s="1"/>
  <c r="Q450" i="1" s="1"/>
  <c r="S450" i="1" s="1"/>
  <c r="AH124" i="3"/>
  <c r="W131" i="3"/>
  <c r="G68" i="18" l="1"/>
  <c r="B77" i="18"/>
  <c r="R131" i="3"/>
  <c r="AC131" i="3"/>
  <c r="N451" i="1"/>
  <c r="O451" i="1" s="1"/>
  <c r="Q451" i="1" s="1"/>
  <c r="S451" i="1" s="1"/>
  <c r="L452" i="1"/>
  <c r="M452" i="1" s="1"/>
  <c r="AC121" i="2"/>
  <c r="R121" i="2"/>
  <c r="G69" i="18" l="1"/>
  <c r="B78" i="18"/>
  <c r="AE121" i="2"/>
  <c r="AD121" i="2"/>
  <c r="N452" i="1"/>
  <c r="O452" i="1" s="1"/>
  <c r="Q452" i="1" s="1"/>
  <c r="S452" i="1" s="1"/>
  <c r="L453" i="1"/>
  <c r="M453" i="1" s="1"/>
  <c r="Q122" i="2"/>
  <c r="S121" i="2"/>
  <c r="T121" i="2" s="1"/>
  <c r="V121" i="2" s="1"/>
  <c r="AD131" i="3"/>
  <c r="AE131" i="3"/>
  <c r="S131" i="3"/>
  <c r="T131" i="3" s="1"/>
  <c r="V131" i="3" s="1"/>
  <c r="Q132" i="3"/>
  <c r="G70" i="18" l="1"/>
  <c r="B79" i="18"/>
  <c r="L454" i="1"/>
  <c r="M454" i="1" s="1"/>
  <c r="N453" i="1"/>
  <c r="O453" i="1" s="1"/>
  <c r="Q453" i="1" s="1"/>
  <c r="S453" i="1" s="1"/>
  <c r="AI132" i="3"/>
  <c r="X131" i="3"/>
  <c r="AI122" i="2"/>
  <c r="X121" i="2"/>
  <c r="G71" i="18" l="1"/>
  <c r="B80" i="18"/>
  <c r="W122" i="2"/>
  <c r="AH122" i="2"/>
  <c r="AH132" i="3"/>
  <c r="W132" i="3"/>
  <c r="N454" i="1"/>
  <c r="O454" i="1" s="1"/>
  <c r="Q454" i="1" s="1"/>
  <c r="S454" i="1" s="1"/>
  <c r="L455" i="1"/>
  <c r="M455" i="1" s="1"/>
  <c r="G72" i="18" l="1"/>
  <c r="B81" i="18"/>
  <c r="R132" i="3"/>
  <c r="L456" i="1"/>
  <c r="M456" i="1" s="1"/>
  <c r="N455" i="1"/>
  <c r="O455" i="1" s="1"/>
  <c r="Q455" i="1" s="1"/>
  <c r="S455" i="1" s="1"/>
  <c r="R122" i="2"/>
  <c r="G73" i="18" l="1"/>
  <c r="B82" i="18"/>
  <c r="S132" i="3"/>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<sst xmlns="http://schemas.openxmlformats.org/spreadsheetml/2006/main" count="23616" uniqueCount="8453">
  <si>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</si>
  <si>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</si>
  <si>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</si>
  <si>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</si>
  <si>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</si>
  <si>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</si>
  <si>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</si>
  <si>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</si>
  <si>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</si>
  <si>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</si>
  <si>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</si>
  <si>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</si>
  <si>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</si>
  <si>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</si>
  <si>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</si>
  <si>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</si>
  <si>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</si>
  <si>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</si>
  <si>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</si>
  <si>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</si>
  <si>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</si>
  <si>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</si>
  <si>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</si>
  <si>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</si>
  <si>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</si>
  <si>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</si>
  <si>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</si>
  <si>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</si>
  <si>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</si>
  <si>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</si>
  <si>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</si>
  <si>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</si>
  <si>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</si>
  <si>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</si>
  <si>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</si>
  <si>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</si>
  <si>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</si>
  <si>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</si>
  <si>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</si>
  <si>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</si>
  <si>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</si>
  <si>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</si>
  <si>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</si>
  <si>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</si>
  <si>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</si>
  <si>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</si>
  <si>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</si>
  <si>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</si>
  <si>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</si>
  <si>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</si>
  <si>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</si>
  <si>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</si>
  <si>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</si>
  <si>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</si>
  <si>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</si>
  <si>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</si>
  <si>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</si>
  <si>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</si>
  <si>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</si>
  <si>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</si>
  <si>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</si>
  <si>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</si>
  <si>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</si>
  <si>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</si>
  <si>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</si>
  <si>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</si>
  <si>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</si>
  <si>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</si>
  <si>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</si>
  <si>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</si>
  <si>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</si>
  <si>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</si>
  <si>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</si>
  <si>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</si>
  <si>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</si>
  <si>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</si>
  <si>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</si>
  <si>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</si>
  <si>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</si>
  <si>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</si>
  <si>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</si>
  <si>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</si>
  <si>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</si>
  <si>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</si>
  <si>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</si>
  <si>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</si>
  <si>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</si>
  <si>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</si>
  <si>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</si>
  <si>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</si>
  <si>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</si>
  <si>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</si>
  <si>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</si>
  <si>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</si>
  <si>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</si>
  <si>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</si>
  <si>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</si>
  <si>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</si>
  <si>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</si>
  <si>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</si>
  <si>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</si>
  <si>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</si>
  <si>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</si>
  <si>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</si>
  <si>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</si>
  <si>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</si>
  <si>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</si>
  <si>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</si>
  <si>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</si>
  <si>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</si>
  <si>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</si>
  <si>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</si>
  <si>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</si>
  <si>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</si>
  <si>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</si>
  <si>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</si>
  <si>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</si>
  <si>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</si>
  <si>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</si>
  <si>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</si>
  <si>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</si>
  <si>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</si>
  <si>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</si>
  <si>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</si>
  <si>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</si>
  <si>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</si>
  <si>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</si>
  <si>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</si>
  <si>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</si>
  <si>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</si>
  <si>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</si>
  <si>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</si>
  <si>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</si>
  <si>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</si>
  <si>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</si>
  <si>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</si>
  <si>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</si>
  <si>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</si>
  <si>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</si>
  <si>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</si>
  <si>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</si>
  <si>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</si>
  <si>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</si>
  <si>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</si>
  <si>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</si>
  <si>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</si>
  <si>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</si>
  <si>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</si>
  <si>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</si>
  <si>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</si>
  <si>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</si>
  <si>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</si>
  <si>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</si>
  <si>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</si>
  <si>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</si>
  <si>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</si>
  <si>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</si>
  <si>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</si>
  <si>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</si>
  <si>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</si>
  <si>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</si>
  <si>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</si>
  <si>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</si>
  <si>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</si>
  <si>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</si>
  <si>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</si>
  <si>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</si>
  <si>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</si>
  <si>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</si>
  <si>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</si>
  <si>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</si>
  <si>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</si>
  <si>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</si>
  <si>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</si>
  <si>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</si>
  <si>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</si>
  <si>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</si>
  <si>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</si>
  <si>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</si>
  <si>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</si>
  <si>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</si>
  <si>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</si>
  <si>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</si>
  <si>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</si>
  <si>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</si>
  <si>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</si>
  <si>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</si>
  <si>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</si>
  <si>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</si>
  <si>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</si>
  <si>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</si>
  <si>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</si>
  <si>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</si>
  <si>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</si>
  <si>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</si>
  <si>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</si>
  <si>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</si>
  <si>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</si>
  <si>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</si>
  <si>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</si>
  <si>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</si>
  <si>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</si>
  <si>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</si>
  <si>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</si>
  <si>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</si>
  <si>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</si>
  <si>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</si>
  <si>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</si>
  <si>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</si>
  <si>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</si>
  <si>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</si>
  <si>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</si>
  <si>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</si>
  <si>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</si>
  <si>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</si>
  <si>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</si>
  <si>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</si>
  <si>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</si>
  <si>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</si>
  <si>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</si>
  <si>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</si>
  <si>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</si>
  <si>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</si>
  <si>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</si>
  <si>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</si>
  <si>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</si>
  <si>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</si>
  <si>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</si>
  <si>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</si>
  <si>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</si>
  <si>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</si>
  <si>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</si>
  <si>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</si>
  <si>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</si>
  <si>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</si>
  <si>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</si>
  <si>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</si>
  <si>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</si>
  <si>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</si>
  <si>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</si>
  <si>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</si>
  <si>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</si>
  <si>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</si>
  <si>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</si>
  <si>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</si>
  <si>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</si>
  <si>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</si>
  <si>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</si>
  <si>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</si>
  <si>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</si>
  <si>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</si>
  <si>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</si>
  <si>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</si>
  <si>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</si>
  <si>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</si>
  <si>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</si>
  <si>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</si>
  <si>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</si>
  <si>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</si>
  <si>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</si>
  <si>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</si>
  <si>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</si>
  <si>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</si>
  <si>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</si>
  <si>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</si>
  <si>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</si>
  <si>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</si>
  <si>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</si>
  <si>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</si>
  <si>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</si>
  <si>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</si>
  <si>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</si>
  <si>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</si>
  <si>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</si>
  <si>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</si>
  <si>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</si>
  <si>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</si>
  <si>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</si>
  <si>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</si>
  <si>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</si>
  <si>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</si>
  <si>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</si>
  <si>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</si>
  <si>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</si>
  <si>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</si>
  <si>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</si>
  <si>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</si>
  <si>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</si>
  <si>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</si>
  <si>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</si>
  <si>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</si>
  <si>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</si>
  <si>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</si>
  <si>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</si>
  <si>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</si>
  <si>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</si>
  <si>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</si>
  <si>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</si>
  <si>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</si>
  <si>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</si>
  <si>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</si>
  <si>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</si>
  <si>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</si>
  <si>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</si>
  <si>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</si>
  <si>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</si>
  <si>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</si>
  <si>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</si>
  <si>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</si>
  <si>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</si>
  <si>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</si>
  <si>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</si>
  <si>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</si>
  <si>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</si>
  <si>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</si>
  <si>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</si>
  <si>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</si>
  <si>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</si>
  <si>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</si>
  <si>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</si>
  <si>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</si>
  <si>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</si>
  <si>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</si>
  <si>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</si>
  <si>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</si>
  <si>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</si>
  <si>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</si>
  <si>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</si>
  <si>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</si>
  <si>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</si>
  <si>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</si>
  <si>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</si>
  <si>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</si>
  <si>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</si>
  <si>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</si>
  <si>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</si>
  <si>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</si>
  <si>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</si>
  <si>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</si>
  <si>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</si>
  <si>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</si>
  <si>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</si>
  <si>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</si>
  <si>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</si>
  <si>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</si>
  <si>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</si>
  <si>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</si>
  <si>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</si>
  <si>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</si>
  <si>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</si>
  <si>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</si>
  <si>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</si>
  <si>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</si>
  <si>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</si>
  <si>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</si>
  <si>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</si>
  <si>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</si>
  <si>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</si>
  <si>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</si>
  <si>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</si>
  <si>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</si>
  <si>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</si>
  <si>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</si>
  <si>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</si>
  <si>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</si>
  <si>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</si>
  <si>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</si>
  <si>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</si>
  <si>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</si>
  <si>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</si>
  <si>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</si>
  <si>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</si>
  <si>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</si>
  <si>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</si>
  <si>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</si>
  <si>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</si>
  <si>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</si>
  <si>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</si>
  <si>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</si>
  <si>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</si>
  <si>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</si>
  <si>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</si>
  <si>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</si>
  <si>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</si>
  <si>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</si>
  <si>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</si>
  <si>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</si>
  <si>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</si>
  <si>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</si>
  <si>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</si>
  <si>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</si>
  <si>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</si>
  <si>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</si>
  <si>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</si>
  <si>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</si>
  <si>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</si>
  <si>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</si>
  <si>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</si>
  <si>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</si>
  <si>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</si>
  <si>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</si>
  <si>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</si>
  <si>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</si>
  <si>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</si>
  <si>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</si>
  <si>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</si>
  <si>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</si>
  <si>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</si>
  <si>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</si>
  <si>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</si>
  <si>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</si>
  <si>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</si>
  <si>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</si>
  <si>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</si>
  <si>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</si>
  <si>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</si>
  <si>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</si>
  <si>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</si>
  <si>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</si>
  <si>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</si>
  <si>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</si>
  <si>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</si>
  <si>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</si>
  <si>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</si>
  <si>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</si>
  <si>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</si>
  <si>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</si>
  <si>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</si>
  <si>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</si>
  <si>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</si>
  <si>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</si>
  <si>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</si>
  <si>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</si>
  <si>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</si>
  <si>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</si>
  <si>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</si>
  <si>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</si>
  <si>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</si>
  <si>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</si>
  <si>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</si>
  <si>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</si>
  <si>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</si>
  <si>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</si>
  <si>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</si>
  <si>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</si>
  <si>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</si>
  <si>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</si>
  <si>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</si>
  <si>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</si>
  <si>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</si>
  <si>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</si>
  <si>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</si>
  <si>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</si>
  <si>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</si>
  <si>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</si>
  <si>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</si>
  <si>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</si>
  <si>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</si>
  <si>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</si>
  <si>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</si>
  <si>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</si>
  <si>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</si>
  <si>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</si>
  <si>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</si>
  <si>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</si>
  <si>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</si>
  <si>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</si>
  <si>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</si>
  <si>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</si>
  <si>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</si>
  <si>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</si>
  <si>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</si>
  <si>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</si>
  <si>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</si>
  <si>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</si>
  <si>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</si>
  <si>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</si>
  <si>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</si>
  <si>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</si>
  <si>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</si>
  <si>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</si>
  <si>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</si>
  <si>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</si>
  <si>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</si>
  <si>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</si>
  <si>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</si>
  <si>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</si>
  <si>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</si>
  <si>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</si>
  <si>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</si>
  <si>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</si>
  <si>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</si>
  <si>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</si>
  <si>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</si>
  <si>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</si>
  <si>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</si>
  <si>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</si>
  <si>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</si>
  <si>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</si>
  <si>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</si>
  <si>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</si>
  <si>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</si>
  <si>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</si>
  <si>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</si>
  <si>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</si>
  <si>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</si>
  <si>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</si>
  <si>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</si>
  <si>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</si>
  <si>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</si>
  <si>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</si>
  <si>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</si>
  <si>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</si>
  <si>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</si>
  <si>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</si>
  <si>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</si>
  <si>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</si>
  <si>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</si>
  <si>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</si>
  <si>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</si>
  <si>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</si>
  <si>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</si>
  <si>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</si>
  <si>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</si>
  <si>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</si>
  <si>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</si>
  <si>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</si>
  <si>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</si>
  <si>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</si>
  <si>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</si>
  <si>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</si>
  <si>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</si>
  <si>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</si>
  <si>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</si>
  <si>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</si>
  <si>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</si>
  <si>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</si>
  <si>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</si>
  <si>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</si>
  <si>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</si>
  <si>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</si>
  <si>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</si>
  <si>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</si>
  <si>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</si>
  <si>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</si>
  <si>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</si>
  <si>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</si>
  <si>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</si>
  <si>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</si>
  <si>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</si>
  <si>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</si>
  <si>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</si>
  <si>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</si>
  <si>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</si>
  <si>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</si>
  <si>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</si>
  <si>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</si>
  <si>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</si>
  <si>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</si>
  <si>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</si>
  <si>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</si>
  <si>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</si>
  <si>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</si>
  <si>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</si>
  <si>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</si>
  <si>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</si>
  <si>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</si>
  <si>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</si>
  <si>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</si>
  <si>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</si>
  <si>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</si>
  <si>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</si>
  <si>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</si>
  <si>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</si>
  <si>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</si>
  <si>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</si>
  <si>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</si>
  <si>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</si>
  <si>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</si>
  <si>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</si>
  <si>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</si>
  <si>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</si>
  <si>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</si>
  <si>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</si>
  <si>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</si>
  <si>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</si>
  <si>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</si>
  <si>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</si>
  <si>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</si>
  <si>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</si>
  <si>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</si>
  <si>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</si>
  <si>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</si>
  <si>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</si>
  <si>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</si>
  <si>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</si>
  <si>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</si>
  <si>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</si>
  <si>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</si>
  <si>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</si>
  <si>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</si>
  <si>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</si>
  <si>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</si>
  <si>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</si>
  <si>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</si>
  <si>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</si>
  <si>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</si>
  <si>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</si>
  <si>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</si>
  <si>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</si>
  <si>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</si>
  <si>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</si>
  <si>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</si>
  <si>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</si>
  <si>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</si>
  <si>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</si>
  <si>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</si>
  <si>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</si>
  <si>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</si>
  <si>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</si>
  <si>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</si>
  <si>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</si>
  <si>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</si>
  <si>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</si>
  <si>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</si>
  <si>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</si>
  <si>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</si>
  <si>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</si>
  <si>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</si>
  <si>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</si>
  <si>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</si>
  <si>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</si>
  <si>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</si>
  <si>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</si>
  <si>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</si>
  <si>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</si>
  <si>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</si>
  <si>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</si>
  <si>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</si>
  <si>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</si>
  <si>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</si>
  <si>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</si>
  <si>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</si>
  <si>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</si>
  <si>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</si>
  <si>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</si>
  <si>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</si>
  <si>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</si>
  <si>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</si>
  <si>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</si>
  <si>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</si>
  <si>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</si>
  <si>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</si>
  <si>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</si>
  <si>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</si>
  <si>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</si>
  <si>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</si>
  <si>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</si>
  <si>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</si>
  <si>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</si>
  <si>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</si>
  <si>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</si>
  <si>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</si>
  <si>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</si>
  <si>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</si>
  <si>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</si>
  <si>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</si>
  <si>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</si>
  <si>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</si>
  <si>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</si>
  <si>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</si>
  <si>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</si>
  <si>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</si>
  <si>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</si>
  <si>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</si>
  <si>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</si>
  <si>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</si>
  <si>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</si>
  <si>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</si>
  <si>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</si>
  <si>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</si>
  <si>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</si>
  <si>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</si>
  <si>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</si>
  <si>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</si>
  <si>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</si>
  <si>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</si>
  <si>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</si>
  <si>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</si>
  <si>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</si>
  <si>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</si>
  <si>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</si>
  <si>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</si>
  <si>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</si>
  <si>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</si>
  <si>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</si>
  <si>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</si>
  <si>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</si>
  <si>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</si>
  <si>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</si>
  <si>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</si>
  <si>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</si>
  <si>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</si>
  <si>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</si>
  <si>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</si>
  <si>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</si>
  <si>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</si>
  <si>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</si>
  <si>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</si>
  <si>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</si>
  <si>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</si>
  <si>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</si>
  <si>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</si>
  <si>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</si>
  <si>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</si>
  <si>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</si>
  <si>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</si>
  <si>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</si>
  <si>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</si>
  <si>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</si>
  <si>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</si>
  <si>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</si>
  <si>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</si>
  <si>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</si>
  <si>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</si>
  <si>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</si>
  <si>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</si>
  <si>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</si>
  <si>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</si>
  <si>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</si>
  <si>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</si>
  <si>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</si>
  <si>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</si>
  <si>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</si>
  <si>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</si>
  <si>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</si>
  <si>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</si>
  <si>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</si>
  <si>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</si>
  <si>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</si>
  <si>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</si>
  <si>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</si>
  <si>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</si>
  <si>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</si>
  <si>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</si>
  <si>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</si>
  <si>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</si>
  <si>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</si>
  <si>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</si>
  <si>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</si>
  <si>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</si>
  <si>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</si>
  <si>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</si>
  <si>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</si>
  <si>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</si>
  <si>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</si>
  <si>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</si>
  <si>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</si>
  <si>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</si>
  <si>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</si>
  <si>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</si>
  <si>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</si>
  <si>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</si>
  <si>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</si>
  <si>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</si>
  <si>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</si>
  <si>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</si>
  <si>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</si>
  <si>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</si>
  <si>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</si>
  <si>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</si>
  <si>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</si>
  <si>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</si>
  <si>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</si>
  <si>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</si>
  <si>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</si>
  <si>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</si>
  <si>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</si>
  <si>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</si>
  <si>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</si>
  <si>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</si>
  <si>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</si>
  <si>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</si>
  <si>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</si>
  <si>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</si>
  <si>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</si>
  <si>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</si>
  <si>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</si>
  <si>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</si>
  <si>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</si>
  <si>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</si>
  <si>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</si>
  <si>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</si>
  <si>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</si>
  <si>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</si>
  <si>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</si>
  <si>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</si>
  <si>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</si>
  <si>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</si>
  <si>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</si>
  <si>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</si>
  <si>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</si>
  <si>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</si>
  <si>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</si>
  <si>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</si>
  <si>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</si>
  <si>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</si>
  <si>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</si>
  <si>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</si>
  <si>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</si>
  <si>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</si>
  <si>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</si>
  <si>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</si>
  <si>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</si>
  <si>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</si>
  <si>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</si>
  <si>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</si>
  <si>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</si>
  <si>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</si>
  <si>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</si>
  <si>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</si>
  <si>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</si>
  <si>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</si>
  <si>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</si>
  <si>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</si>
  <si>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</si>
  <si>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</si>
  <si>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</si>
  <si>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</si>
  <si>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</si>
  <si>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</si>
  <si>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</si>
  <si>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</si>
  <si>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</si>
  <si>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</si>
  <si>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</si>
  <si>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</si>
  <si>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</si>
  <si>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</si>
  <si>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</si>
  <si>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</si>
  <si>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</si>
  <si>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</si>
  <si>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</si>
  <si>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</si>
  <si>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</si>
  <si>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</si>
  <si>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</si>
  <si>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</si>
  <si>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</si>
  <si>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</si>
  <si>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</si>
  <si>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</si>
  <si>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</si>
  <si>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</si>
  <si>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</si>
  <si>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</si>
  <si>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</si>
  <si>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</si>
  <si>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</si>
  <si>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</si>
  <si>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</si>
  <si>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</si>
  <si>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</si>
  <si>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</si>
  <si>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</si>
  <si>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</si>
  <si>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</si>
  <si>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</si>
  <si>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</si>
  <si>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</si>
  <si>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</si>
  <si>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</si>
  <si>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</si>
  <si>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</si>
  <si>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</si>
  <si>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</si>
  <si>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</si>
  <si>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</si>
  <si>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</si>
  <si>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</si>
  <si>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</si>
  <si>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</si>
  <si>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</si>
  <si>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</si>
  <si>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</si>
  <si>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</si>
  <si>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</si>
  <si>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</si>
  <si>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</si>
  <si>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</si>
  <si>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</si>
  <si>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</si>
  <si>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</si>
  <si>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</si>
  <si>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</si>
  <si>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</si>
  <si>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</si>
  <si>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</si>
  <si>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</si>
  <si>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</si>
  <si>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</si>
  <si>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</si>
  <si>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</si>
  <si>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</si>
  <si>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</si>
  <si>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</si>
  <si>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</si>
  <si>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</si>
  <si>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</si>
  <si>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</si>
  <si>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</si>
  <si>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</si>
  <si>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</si>
  <si>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</si>
  <si>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</si>
  <si>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</si>
  <si>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</si>
  <si>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</si>
  <si>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</si>
  <si>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</si>
  <si>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</si>
  <si>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</si>
  <si>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</si>
  <si>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</si>
  <si>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</si>
  <si>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</si>
  <si>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</si>
  <si>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</si>
  <si>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</si>
  <si>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</si>
  <si>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</si>
  <si>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</si>
  <si>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</si>
  <si>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</si>
  <si>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</si>
  <si>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</si>
  <si>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</si>
  <si>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</si>
  <si>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</si>
  <si>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</si>
  <si>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</si>
  <si>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</si>
  <si>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</si>
  <si>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</si>
  <si>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</si>
  <si>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</si>
  <si>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</si>
  <si>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</si>
  <si>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</si>
  <si>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</si>
  <si>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</si>
  <si>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</si>
  <si>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</si>
  <si>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</si>
  <si>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</si>
  <si>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</si>
  <si>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</si>
  <si>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</si>
  <si>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</si>
  <si>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</si>
  <si>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</si>
  <si>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</si>
  <si>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</si>
  <si>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</si>
  <si>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</si>
  <si>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</si>
  <si>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</si>
  <si>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</si>
  <si>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</si>
  <si>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</si>
  <si>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</si>
  <si>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</si>
  <si>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</si>
  <si>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</si>
  <si>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</si>
  <si>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</si>
  <si>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</si>
  <si>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</si>
  <si>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</si>
  <si>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</si>
  <si>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</si>
  <si>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</si>
  <si>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</si>
  <si>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</si>
  <si>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</si>
  <si>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</si>
  <si>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</si>
  <si>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</si>
  <si>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</si>
  <si>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</si>
  <si>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</si>
  <si>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</si>
  <si>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</si>
  <si>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</si>
  <si>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</si>
  <si>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</si>
  <si>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</si>
  <si>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</si>
  <si>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</si>
  <si>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</si>
  <si>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</si>
  <si>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</si>
  <si>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</si>
  <si>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</si>
  <si>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</si>
  <si>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</si>
  <si>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</si>
  <si>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</si>
  <si>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</si>
  <si>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</si>
  <si>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</si>
  <si>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</si>
  <si>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</si>
  <si>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</si>
  <si>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</si>
  <si>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</si>
  <si>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</si>
  <si>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</si>
  <si>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</si>
  <si>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</si>
  <si>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</si>
  <si>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</si>
  <si>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</si>
  <si>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</si>
  <si>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</si>
  <si>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</si>
  <si>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</si>
  <si>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</si>
  <si>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</si>
  <si>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</si>
  <si>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</si>
  <si>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</si>
  <si>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</si>
  <si>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</si>
  <si>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</si>
  <si>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</si>
  <si>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</si>
  <si>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</si>
  <si>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</si>
  <si>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</si>
  <si>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</si>
  <si>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</si>
  <si>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</si>
  <si>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</si>
  <si>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</si>
  <si>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</si>
  <si>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</si>
  <si>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</si>
  <si>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</si>
  <si>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</si>
  <si>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</si>
  <si>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</si>
  <si>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</si>
  <si>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</si>
  <si>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</si>
  <si>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</si>
  <si>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</si>
  <si>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</si>
  <si>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</si>
  <si>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</si>
  <si>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</si>
  <si>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</si>
  <si>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</si>
  <si>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</si>
  <si>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</si>
  <si>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</si>
  <si>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</si>
  <si>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</si>
  <si>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</si>
  <si>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</si>
  <si>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</si>
  <si>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</si>
  <si>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</si>
  <si>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</si>
  <si>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</si>
  <si>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</si>
  <si>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</si>
  <si>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</si>
  <si>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</si>
  <si>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</si>
  <si>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</si>
  <si>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</si>
  <si>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</si>
  <si>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</si>
  <si>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</si>
  <si>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</si>
  <si>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</si>
  <si>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</si>
  <si>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</si>
  <si>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</si>
  <si>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</si>
  <si>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</si>
  <si>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</si>
  <si>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</si>
  <si>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</si>
  <si>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</si>
  <si>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</si>
  <si>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</si>
  <si>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</si>
  <si>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</si>
  <si>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</si>
  <si>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</si>
  <si>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</si>
  <si>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</si>
  <si>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</si>
  <si>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</si>
  <si>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</si>
  <si>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</si>
  <si>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</si>
  <si>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</si>
  <si>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</si>
  <si>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</si>
  <si>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</si>
  <si>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</si>
  <si>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</si>
  <si>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</si>
  <si>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</si>
  <si>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</si>
  <si>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</si>
  <si>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</si>
  <si>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</si>
  <si>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</si>
  <si>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</si>
  <si>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</si>
  <si>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</si>
  <si>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</si>
  <si>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</si>
  <si>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</si>
  <si>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</si>
  <si>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</si>
  <si>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</si>
  <si>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</si>
  <si>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</si>
  <si>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</si>
  <si>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</si>
  <si>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</si>
  <si>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</si>
  <si>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</si>
  <si>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</si>
  <si>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</si>
  <si>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</si>
  <si>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</si>
  <si>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</si>
  <si>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</si>
  <si>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</si>
  <si>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</si>
  <si>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</si>
  <si>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</si>
  <si>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</si>
  <si>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</si>
  <si>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</si>
  <si>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</si>
  <si>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</si>
  <si>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</si>
  <si>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</si>
  <si>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</si>
  <si>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</si>
  <si>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</si>
  <si>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</si>
  <si>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</si>
  <si>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</si>
  <si>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</si>
  <si>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</si>
  <si>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</si>
  <si>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</si>
  <si>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</si>
  <si>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</si>
  <si>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</si>
  <si>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</si>
  <si>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</si>
  <si>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</si>
  <si>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</si>
  <si>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</si>
  <si>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</si>
  <si>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</si>
  <si>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</si>
  <si>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</si>
  <si>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</si>
  <si>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</si>
  <si>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</si>
  <si>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</si>
  <si>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</si>
  <si>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</si>
  <si>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</si>
  <si>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</si>
  <si>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</si>
  <si>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</si>
  <si>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</si>
  <si>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</si>
  <si>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</si>
  <si>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</si>
  <si>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</si>
  <si>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</si>
  <si>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</si>
  <si>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</si>
  <si>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</si>
  <si>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</si>
  <si>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</si>
  <si>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</si>
  <si>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</si>
  <si>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</si>
  <si>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</si>
  <si>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</si>
  <si>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</si>
  <si>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</si>
  <si>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</si>
  <si>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</si>
  <si>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</si>
  <si>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</si>
  <si>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</si>
  <si>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</si>
  <si>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</si>
  <si>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</si>
  <si>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</si>
  <si>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</si>
  <si>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</si>
  <si>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</si>
  <si>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</si>
  <si>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</si>
  <si>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</si>
  <si>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</si>
  <si>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</si>
  <si>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</si>
  <si>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</si>
  <si>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</si>
  <si>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</si>
  <si>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</si>
  <si>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</si>
  <si>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</si>
  <si>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</si>
  <si>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</si>
  <si>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</si>
  <si>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</si>
  <si>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</si>
  <si>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</si>
  <si>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</si>
  <si>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</si>
  <si>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</si>
  <si>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</si>
  <si>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</si>
  <si>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</si>
  <si>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</si>
  <si>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</si>
  <si>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</si>
  <si>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</si>
  <si>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</si>
  <si>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</si>
  <si>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</si>
  <si>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</si>
  <si>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</si>
  <si>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</si>
  <si>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</si>
  <si>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</si>
  <si>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</si>
  <si>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</si>
  <si>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</si>
  <si>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</si>
  <si>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</si>
  <si>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</si>
  <si>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</si>
  <si>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</si>
  <si>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</si>
  <si>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</si>
  <si>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</si>
  <si>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</si>
  <si>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</si>
  <si>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</si>
  <si>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</si>
  <si>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</si>
  <si>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</si>
  <si>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</si>
  <si>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</si>
  <si>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</si>
  <si>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</si>
  <si>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</si>
  <si>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</si>
  <si>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</si>
  <si>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</si>
  <si>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</si>
  <si>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</si>
  <si>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</si>
  <si>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</si>
  <si>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</si>
  <si>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</si>
  <si>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</si>
  <si>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</si>
  <si>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</si>
  <si>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</si>
  <si>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</si>
  <si>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</si>
  <si>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</si>
  <si>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</si>
  <si>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</si>
  <si>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</si>
  <si>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</si>
  <si>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</si>
  <si>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</si>
  <si>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</si>
  <si>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</si>
  <si>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</si>
  <si>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</si>
  <si>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</si>
  <si>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</si>
  <si>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</si>
  <si>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</si>
  <si>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</si>
  <si>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</si>
  <si>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</si>
  <si>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</si>
  <si>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</si>
  <si>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</si>
  <si>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</si>
  <si>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</si>
  <si>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</si>
  <si>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</si>
  <si>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</si>
  <si>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</si>
  <si>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</si>
  <si>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</si>
  <si>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</si>
  <si>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</si>
  <si>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</si>
  <si>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</si>
  <si>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</si>
  <si>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</si>
  <si>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</si>
  <si>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</si>
  <si>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</si>
  <si>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</si>
  <si>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</si>
  <si>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</si>
  <si>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</si>
  <si>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</si>
  <si>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</si>
  <si>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</si>
  <si>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</si>
  <si>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</si>
  <si>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</si>
  <si>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</si>
  <si>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</si>
  <si>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</si>
  <si>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</si>
  <si>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</si>
  <si>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</si>
  <si>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</si>
  <si>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</si>
  <si>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</si>
  <si>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</si>
  <si>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</si>
  <si>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</si>
  <si>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</si>
  <si>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</si>
  <si>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</si>
  <si>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</si>
  <si>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</si>
  <si>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</si>
  <si>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</si>
  <si>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</si>
  <si>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</si>
  <si>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</si>
  <si>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</si>
  <si>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</si>
  <si>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</si>
  <si>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</si>
  <si>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</si>
  <si>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</si>
  <si>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</si>
  <si>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</si>
  <si>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</si>
  <si>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</si>
  <si>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</si>
  <si>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</si>
  <si>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</si>
  <si>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</si>
  <si>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</si>
  <si>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</si>
  <si>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</si>
  <si>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</si>
  <si>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</si>
  <si>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</si>
  <si>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</si>
  <si>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</si>
  <si>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</si>
  <si>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</si>
  <si>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</si>
  <si>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</si>
  <si>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</si>
  <si>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</si>
  <si>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</si>
  <si>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</si>
  <si>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</si>
  <si>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</si>
  <si>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</si>
  <si>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</si>
  <si>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</si>
  <si>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</si>
  <si>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</si>
  <si>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</si>
  <si>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</si>
  <si>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</si>
  <si>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</si>
  <si>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</si>
  <si>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</si>
  <si>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</si>
  <si>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</si>
  <si>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</si>
  <si>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</si>
  <si>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</si>
  <si>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</si>
  <si>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</si>
  <si>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</si>
  <si>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</si>
  <si>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</si>
  <si>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</si>
  <si>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</si>
  <si>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</si>
  <si>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</si>
  <si>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</si>
  <si>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</si>
  <si>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</si>
  <si>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</si>
  <si>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</si>
  <si>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</si>
  <si>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</si>
  <si>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</si>
  <si>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</si>
  <si>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</si>
  <si>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</si>
  <si>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</si>
  <si>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</si>
  <si>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</si>
  <si>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</si>
  <si>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</si>
  <si>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</si>
  <si>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</si>
  <si>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</si>
  <si>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</si>
  <si>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</si>
  <si>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</si>
  <si>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</si>
  <si>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</si>
  <si>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</si>
  <si>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</si>
  <si>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</si>
  <si>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</si>
  <si>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</si>
  <si>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</si>
  <si>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</si>
  <si>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</si>
  <si>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</si>
  <si>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</si>
  <si>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</si>
  <si>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</si>
  <si>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</si>
  <si>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</si>
  <si>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</si>
  <si>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</si>
  <si>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</si>
  <si>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</si>
  <si>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</si>
  <si>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</si>
  <si>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</si>
  <si>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</si>
  <si>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</si>
  <si>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</si>
  <si>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</si>
  <si>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</si>
  <si>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</si>
  <si>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</si>
  <si>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</si>
  <si>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</si>
  <si>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</si>
  <si>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</si>
  <si>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</si>
  <si>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</si>
  <si>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</si>
  <si>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</si>
  <si>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</si>
  <si>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</si>
  <si>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</si>
  <si>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</si>
  <si>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</si>
  <si>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</si>
  <si>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</si>
  <si>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</si>
  <si>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</si>
  <si>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</si>
  <si>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</si>
  <si>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</si>
  <si>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</si>
  <si>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</si>
  <si>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</si>
  <si>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</si>
  <si>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</si>
  <si>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</si>
  <si>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</si>
  <si>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</si>
  <si>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</si>
  <si>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</si>
  <si>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</si>
  <si>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</si>
  <si>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</si>
  <si>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</si>
  <si>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</si>
  <si>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</si>
  <si>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</si>
  <si>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</si>
  <si>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</si>
  <si>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</si>
  <si>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</si>
  <si>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</si>
  <si>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</si>
  <si>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</si>
  <si>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</si>
  <si>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</si>
  <si>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</si>
  <si>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</si>
  <si>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</si>
  <si>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</si>
  <si>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</si>
  <si>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</si>
  <si>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</si>
  <si>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</si>
  <si>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</si>
  <si>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</si>
  <si>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</si>
  <si>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</si>
  <si>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</si>
  <si>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</si>
  <si>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</si>
  <si>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</si>
  <si>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</si>
  <si>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</si>
  <si>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</si>
  <si>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</si>
  <si>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</si>
  <si>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</si>
  <si>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</si>
  <si>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</si>
  <si>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</si>
  <si>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</si>
  <si>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</si>
  <si>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</si>
  <si>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</si>
  <si>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</si>
  <si>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</si>
  <si>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</si>
  <si>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</si>
  <si>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</si>
  <si>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</si>
  <si>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</si>
  <si>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</si>
  <si>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</si>
  <si>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</si>
  <si>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</si>
  <si>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</si>
  <si>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</si>
  <si>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</si>
  <si>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</si>
  <si>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</si>
  <si>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</si>
  <si>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</si>
  <si>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</si>
  <si>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</si>
  <si>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</si>
  <si>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</si>
  <si>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</si>
  <si>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</si>
  <si>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</si>
  <si>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</si>
  <si>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</si>
  <si>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</si>
  <si>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</si>
  <si>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</si>
  <si>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</si>
  <si>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</si>
  <si>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</si>
  <si>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</si>
  <si>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</si>
  <si>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</si>
  <si>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</si>
  <si>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</si>
  <si>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</si>
  <si>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</si>
  <si>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</si>
  <si>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</si>
  <si>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</si>
  <si>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</si>
  <si>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</si>
  <si>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</si>
  <si>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</si>
  <si>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</si>
  <si>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</si>
  <si>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</si>
  <si>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</si>
  <si>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</si>
  <si>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</si>
  <si>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</si>
  <si>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</si>
  <si>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</si>
  <si>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</si>
  <si>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</si>
  <si>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</si>
  <si>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</si>
  <si>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</si>
  <si>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</si>
  <si>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</si>
  <si>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</si>
  <si>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</si>
  <si>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</si>
  <si>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</si>
  <si>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</si>
  <si>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</si>
  <si>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</si>
  <si>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</si>
  <si>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</si>
  <si>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</si>
  <si>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</si>
  <si>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</si>
  <si>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</si>
  <si>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</si>
  <si>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</si>
  <si>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</si>
  <si>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</si>
  <si>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</si>
  <si>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</si>
  <si>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</si>
  <si>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</si>
  <si>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</si>
  <si>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</si>
  <si>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</si>
  <si>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</si>
  <si>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</si>
  <si>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</si>
  <si>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</si>
  <si>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</si>
  <si>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</si>
  <si>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</si>
  <si>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</si>
  <si>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</si>
  <si>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</si>
  <si>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</si>
  <si>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</si>
  <si>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</si>
  <si>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</si>
  <si>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</si>
  <si>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</si>
  <si>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</si>
  <si>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</si>
  <si>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</si>
  <si>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</si>
  <si>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</si>
  <si>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</si>
  <si>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</si>
  <si>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</si>
  <si>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</si>
  <si>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</si>
  <si>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</si>
  <si>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</si>
  <si>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</si>
  <si>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</si>
  <si>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</si>
  <si>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</si>
  <si>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</si>
  <si>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</si>
  <si>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</si>
  <si>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</si>
  <si>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</si>
  <si>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</si>
  <si>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</si>
  <si>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</si>
  <si>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</si>
  <si>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</si>
  <si>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</si>
  <si>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</si>
  <si>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</si>
  <si>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</si>
  <si>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</si>
  <si>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</si>
  <si>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</si>
  <si>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</si>
  <si>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</si>
  <si>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</si>
  <si>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</si>
  <si>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</si>
  <si>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</si>
  <si>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</si>
  <si>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</si>
  <si>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</si>
  <si>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</si>
  <si>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</si>
  <si>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</si>
  <si>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</si>
  <si>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</si>
  <si>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</si>
  <si>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</si>
  <si>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</si>
  <si>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</si>
  <si>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</si>
  <si>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</si>
  <si>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</si>
  <si>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</si>
  <si>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</si>
  <si>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</si>
  <si>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</si>
  <si>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</si>
  <si>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</si>
  <si>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</si>
  <si>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</si>
  <si>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</si>
  <si>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</si>
  <si>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</si>
  <si>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</si>
  <si>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</si>
  <si>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</si>
  <si>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</si>
  <si>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</si>
  <si>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</si>
  <si>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</si>
  <si>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</si>
  <si>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</si>
  <si>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</si>
  <si>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</si>
  <si>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</si>
  <si>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</si>
  <si>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</si>
  <si>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</si>
  <si>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</si>
  <si>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</si>
  <si>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</si>
  <si>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</si>
  <si>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</si>
  <si>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</si>
  <si>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</si>
  <si>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</si>
  <si>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</si>
  <si>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</si>
  <si>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</si>
  <si>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</si>
  <si>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</si>
  <si>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</si>
  <si>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</si>
  <si>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</si>
  <si>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</si>
  <si>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</si>
  <si>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</si>
  <si>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</si>
  <si>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</si>
  <si>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</si>
  <si>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</si>
  <si>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</si>
  <si>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</si>
  <si>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</si>
  <si>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</si>
  <si>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</si>
  <si>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</si>
  <si>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</si>
  <si>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</si>
  <si>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</si>
  <si>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</si>
  <si>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</si>
  <si>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</si>
  <si>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</si>
  <si>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</si>
  <si>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</si>
  <si>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</si>
  <si>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</si>
  <si>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</si>
  <si>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</si>
  <si>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</si>
  <si>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</si>
  <si>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</si>
  <si>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</si>
  <si>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</si>
  <si>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</si>
  <si>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</si>
  <si>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</si>
  <si>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</si>
  <si>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</si>
  <si>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</si>
  <si>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</si>
  <si>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</si>
  <si>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</si>
  <si>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</si>
  <si>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</si>
  <si>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</si>
  <si>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</si>
  <si>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</si>
  <si>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</si>
  <si>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</si>
  <si>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</si>
  <si>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</si>
  <si>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</si>
  <si>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</si>
  <si>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</si>
  <si>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</si>
  <si>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</si>
  <si>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</si>
  <si>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</si>
  <si>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</si>
  <si>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</si>
  <si>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</si>
  <si>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</si>
  <si>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</si>
  <si>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</si>
  <si>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</si>
  <si>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</si>
  <si>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</si>
  <si>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</si>
  <si>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</si>
  <si>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</si>
  <si>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</si>
  <si>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</si>
  <si>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</si>
  <si>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</si>
  <si>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</si>
  <si>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</si>
  <si>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</si>
  <si>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</si>
  <si>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</si>
  <si>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</si>
  <si>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</si>
  <si>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</si>
  <si>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</si>
  <si>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</si>
  <si>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</si>
  <si>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</si>
  <si>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</si>
  <si>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</si>
  <si>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</si>
  <si>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</si>
  <si>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</si>
  <si>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</si>
  <si>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</si>
  <si>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</si>
  <si>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</si>
  <si>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</si>
  <si>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</si>
  <si>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</si>
  <si>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</si>
  <si>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</si>
  <si>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</si>
  <si>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</si>
  <si>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</si>
  <si>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</si>
  <si>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</si>
  <si>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</si>
  <si>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</si>
  <si>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</si>
  <si>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</si>
  <si>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</si>
  <si>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</si>
  <si>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</si>
  <si>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</si>
  <si>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</si>
  <si>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</si>
  <si>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</si>
  <si>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</si>
  <si>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</si>
  <si>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</si>
  <si>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</si>
  <si>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</si>
  <si>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</si>
  <si>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</si>
  <si>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</si>
  <si>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</si>
  <si>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</si>
  <si>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</si>
  <si>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</si>
  <si>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</si>
  <si>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</si>
  <si>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</si>
  <si>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</si>
  <si>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</si>
  <si>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</si>
  <si>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</si>
  <si>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</si>
  <si>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</si>
  <si>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</si>
  <si>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</si>
  <si>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</si>
  <si>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</si>
  <si>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</si>
  <si>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</si>
  <si>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</si>
  <si>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</si>
  <si>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</si>
  <si>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</si>
  <si>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</si>
  <si>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</si>
  <si>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</si>
  <si>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</si>
  <si>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</si>
  <si>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</si>
  <si>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</si>
  <si>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</si>
  <si>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</si>
  <si>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</si>
  <si>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</si>
  <si>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</si>
  <si>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</si>
  <si>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</si>
  <si>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</si>
  <si>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</si>
  <si>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</si>
  <si>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</si>
  <si>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</si>
  <si>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</si>
  <si>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</si>
  <si>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</si>
  <si>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</si>
  <si>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</si>
  <si>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</si>
  <si>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</si>
  <si>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</si>
  <si>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</si>
  <si>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</si>
  <si>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</si>
  <si>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</si>
  <si>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</si>
  <si>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</si>
  <si>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</si>
  <si>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</si>
  <si>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</si>
  <si>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</si>
  <si>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</si>
  <si>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</si>
  <si>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</si>
  <si>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</si>
  <si>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</si>
  <si>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</si>
  <si>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</si>
  <si>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</si>
  <si>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</si>
  <si>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</si>
  <si>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</si>
  <si>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</si>
  <si>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</si>
  <si>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</si>
  <si>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</si>
  <si>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</si>
  <si>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</si>
  <si>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</si>
  <si>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</si>
  <si>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</si>
  <si>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</si>
  <si>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</si>
  <si>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</si>
  <si>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</si>
  <si>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</si>
  <si>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</si>
  <si>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</si>
  <si>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</si>
  <si>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</si>
  <si>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</si>
  <si>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</si>
  <si>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</si>
  <si>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</si>
  <si>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</si>
  <si>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</si>
  <si>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</si>
  <si>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</si>
  <si>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</si>
  <si>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</si>
  <si>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</si>
  <si>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</si>
  <si>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</si>
  <si>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</si>
  <si>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</si>
  <si>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</si>
  <si>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</si>
  <si>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</si>
  <si>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</si>
  <si>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</si>
  <si>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</si>
  <si>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</si>
  <si>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</si>
  <si>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</si>
  <si>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</si>
  <si>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</si>
  <si>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</si>
  <si>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</si>
  <si>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</si>
  <si>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</si>
  <si>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</si>
  <si>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</si>
  <si>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</si>
  <si>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</si>
  <si>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</si>
  <si>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</si>
  <si>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</si>
  <si>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</si>
  <si>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</si>
  <si>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</si>
  <si>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</si>
  <si>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</si>
  <si>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</si>
  <si>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</si>
  <si>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</si>
  <si>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</si>
  <si>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</si>
  <si>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</si>
  <si>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</si>
  <si>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</si>
  <si>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</si>
  <si>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</si>
  <si>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</si>
  <si>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</si>
  <si>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</si>
  <si>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</si>
  <si>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</si>
  <si>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</si>
  <si>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</si>
  <si>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</si>
  <si>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</si>
  <si>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</si>
  <si>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</si>
  <si>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</si>
  <si>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</si>
  <si>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</si>
  <si>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</si>
  <si>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</si>
  <si>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</si>
  <si>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</si>
  <si>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</si>
  <si>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</si>
  <si>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</si>
  <si>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</si>
  <si>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</si>
  <si>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</si>
  <si>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</si>
  <si>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</si>
  <si>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</si>
  <si>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</si>
  <si>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</si>
  <si>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</si>
  <si>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</si>
  <si>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</si>
  <si>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</si>
  <si>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</si>
  <si>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</si>
  <si>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</si>
  <si>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</si>
  <si>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</si>
  <si>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</si>
  <si>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</si>
  <si>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</si>
  <si>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</si>
  <si>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</si>
  <si>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</si>
  <si>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</si>
  <si>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</si>
  <si>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</si>
  <si>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</si>
  <si>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</si>
  <si>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</si>
  <si>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</si>
  <si>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</si>
  <si>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</si>
  <si>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</si>
  <si>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</si>
  <si>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</si>
  <si>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</si>
  <si>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</si>
  <si>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</si>
  <si>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</si>
  <si>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</si>
  <si>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</si>
  <si>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</si>
  <si>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</si>
  <si>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</si>
  <si>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</si>
  <si>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</si>
  <si>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</si>
  <si>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</si>
  <si>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</si>
  <si>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</si>
  <si>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</si>
  <si>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</si>
  <si>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</si>
  <si>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</si>
  <si>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</si>
  <si>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</si>
  <si>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</si>
  <si>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</si>
  <si>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</si>
  <si>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</si>
  <si>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</si>
  <si>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</si>
  <si>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</si>
  <si>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</si>
  <si>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</si>
  <si>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</si>
  <si>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</si>
  <si>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</si>
  <si>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</si>
  <si>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</si>
  <si>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</si>
  <si>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</si>
  <si>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</si>
  <si>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</si>
  <si>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</si>
  <si>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</si>
  <si>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</si>
  <si>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</si>
  <si>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</si>
  <si>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</si>
  <si>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</si>
  <si>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</si>
  <si>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</si>
  <si>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</si>
  <si>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</si>
  <si>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</si>
  <si>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</si>
  <si>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</si>
  <si>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</si>
  <si>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</si>
  <si>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</si>
  <si>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</si>
  <si>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</si>
  <si>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</si>
  <si>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</si>
  <si>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</si>
  <si>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</si>
  <si>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</si>
  <si>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</si>
  <si>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</si>
  <si>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</si>
  <si>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</si>
  <si>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</si>
  <si>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</si>
  <si>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</si>
  <si>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</si>
  <si>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</si>
  <si>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</si>
  <si>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</si>
  <si>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</si>
  <si>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</si>
  <si>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</si>
  <si>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</si>
  <si>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</si>
  <si>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</si>
  <si>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</si>
  <si>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</si>
  <si>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</si>
  <si>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</si>
  <si>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</si>
  <si>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</si>
  <si>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</si>
  <si>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</si>
  <si>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</si>
  <si>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</si>
  <si>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</si>
  <si>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</si>
  <si>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</si>
  <si>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</si>
  <si>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</si>
  <si>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</si>
  <si>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</si>
  <si>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</si>
  <si>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</si>
  <si>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</si>
  <si>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</si>
  <si>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</si>
  <si>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</si>
  <si>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</si>
  <si>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</si>
  <si>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</si>
  <si>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</si>
  <si>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</si>
  <si>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</si>
  <si>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</si>
  <si>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</si>
  <si>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</si>
  <si>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</si>
  <si>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</si>
  <si>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</si>
  <si>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</si>
  <si>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</si>
  <si>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</si>
  <si>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</si>
  <si>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</si>
  <si>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</si>
  <si>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</si>
  <si>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</si>
  <si>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</si>
  <si>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</si>
  <si>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</si>
  <si>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</si>
  <si>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</si>
  <si>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</si>
  <si>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</si>
  <si>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</si>
  <si>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</si>
  <si>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</si>
  <si>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</si>
  <si>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</si>
  <si>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</si>
  <si>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</si>
  <si>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</si>
  <si>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</si>
  <si>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</si>
  <si>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</si>
  <si>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</si>
  <si>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</si>
  <si>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</si>
  <si>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</si>
  <si>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</si>
  <si>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</si>
  <si>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</si>
  <si>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</si>
  <si>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</si>
  <si>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</si>
  <si>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</si>
  <si>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</si>
  <si>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</si>
  <si>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</si>
  <si>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</si>
  <si>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</si>
  <si>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</si>
  <si>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</si>
  <si>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</si>
  <si>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</si>
  <si>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</si>
  <si>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</si>
  <si>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</si>
  <si>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</si>
  <si>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</si>
  <si>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</si>
  <si>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</si>
  <si>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</si>
  <si>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</si>
  <si>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</si>
  <si>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</si>
  <si>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</si>
  <si>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</si>
  <si>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</si>
  <si>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</si>
  <si>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</si>
  <si>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</si>
  <si>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</si>
  <si>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</si>
  <si>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</si>
  <si>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</si>
  <si>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</si>
  <si>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</si>
  <si>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</si>
  <si>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</si>
  <si>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</si>
  <si>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</si>
  <si>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</si>
  <si>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</si>
  <si>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</si>
  <si>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</si>
  <si>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</si>
  <si>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</si>
  <si>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</si>
  <si>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</si>
  <si>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</si>
  <si>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</si>
  <si>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</si>
  <si>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</si>
  <si>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</si>
  <si>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</si>
  <si>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</si>
  <si>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</si>
  <si>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</si>
  <si>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</si>
  <si>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</si>
  <si>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</si>
  <si>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</si>
  <si>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</si>
  <si>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</si>
  <si>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</si>
  <si>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</si>
  <si>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</si>
  <si>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</si>
  <si>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</si>
  <si>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</si>
  <si>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</si>
  <si>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</si>
  <si>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</si>
  <si>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</si>
  <si>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</si>
  <si>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</si>
  <si>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</si>
  <si>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</si>
  <si>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</si>
  <si>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</si>
  <si>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</si>
  <si>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</si>
  <si>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</si>
  <si>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</si>
  <si>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</si>
  <si>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</si>
  <si>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</si>
  <si>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</si>
  <si>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</si>
  <si>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</si>
  <si>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</si>
  <si>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</si>
  <si>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</si>
  <si>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</si>
  <si>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</si>
  <si>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</si>
  <si>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</si>
  <si>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</si>
  <si>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</si>
  <si>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</si>
  <si>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</si>
  <si>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</si>
  <si>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</si>
  <si>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</si>
  <si>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</si>
  <si>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</si>
  <si>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</si>
  <si>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</si>
  <si>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</si>
  <si>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</si>
  <si>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</si>
  <si>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</si>
  <si>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</si>
  <si>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</si>
  <si>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</si>
  <si>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</si>
  <si>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</si>
  <si>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</si>
  <si>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</si>
  <si>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</si>
  <si>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</si>
  <si>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</si>
  <si>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</si>
  <si>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</si>
  <si>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</si>
  <si>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</si>
  <si>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</si>
  <si>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</si>
  <si>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</si>
  <si>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</si>
  <si>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</si>
  <si>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</si>
  <si>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</si>
  <si>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</si>
  <si>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</si>
  <si>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</si>
  <si>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</si>
  <si>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</si>
  <si>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</si>
  <si>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</si>
  <si>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</si>
  <si>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</si>
  <si>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</si>
  <si>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</si>
  <si>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</si>
  <si>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</si>
  <si>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</si>
  <si>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</si>
  <si>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</si>
  <si>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</si>
  <si>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</si>
  <si>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</si>
  <si>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</si>
  <si>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</si>
  <si>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</si>
  <si>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</si>
  <si>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</si>
  <si>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</si>
  <si>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</si>
  <si>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</si>
  <si>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</si>
  <si>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</si>
  <si>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</si>
  <si>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</si>
  <si>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</si>
  <si>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</si>
  <si>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</si>
  <si>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</si>
  <si>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</si>
  <si>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</si>
  <si>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</si>
  <si>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</si>
  <si>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</si>
  <si>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</si>
  <si>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</si>
  <si>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</si>
  <si>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</si>
  <si>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</si>
  <si>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</si>
  <si>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</si>
  <si>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</si>
  <si>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</si>
  <si>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</si>
  <si>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</si>
  <si>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</si>
  <si>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</si>
  <si>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</si>
  <si>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</si>
  <si>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</si>
  <si>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</si>
  <si>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</si>
  <si>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</si>
  <si>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</si>
  <si>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</si>
  <si>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</si>
  <si>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</si>
  <si>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</si>
  <si>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</si>
  <si>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</si>
  <si>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</si>
  <si>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</si>
  <si>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</si>
  <si>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</si>
  <si>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</si>
  <si>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</si>
  <si>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</si>
  <si>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</si>
  <si>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</si>
  <si>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</si>
  <si>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</si>
  <si>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</si>
  <si>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</si>
  <si>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</si>
  <si>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</si>
  <si>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</si>
  <si>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</si>
  <si>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</si>
  <si>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</si>
  <si>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</si>
  <si>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</si>
  <si>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</si>
  <si>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</si>
  <si>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</si>
  <si>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</si>
  <si>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</si>
  <si>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</si>
  <si>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</si>
  <si>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</si>
  <si>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</si>
  <si>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</si>
  <si>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</si>
  <si>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</si>
  <si>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</si>
  <si>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</si>
  <si>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</si>
  <si>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</si>
  <si>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</si>
  <si>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</si>
  <si>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</si>
  <si>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</si>
  <si>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</si>
  <si>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</si>
  <si>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</si>
  <si>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</si>
  <si>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</si>
  <si>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</si>
  <si>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</si>
  <si>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</si>
  <si>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</si>
  <si>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</si>
  <si>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</si>
  <si>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</si>
  <si>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</si>
  <si>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</si>
  <si>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</si>
  <si>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</si>
  <si>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</si>
  <si>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</si>
  <si>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</si>
  <si>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</si>
  <si>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</si>
  <si>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</si>
  <si>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</si>
  <si>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</si>
  <si>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</si>
  <si>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</si>
  <si>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</si>
  <si>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</si>
  <si>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</si>
  <si>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</si>
  <si>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</si>
  <si>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</si>
  <si>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</si>
  <si>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</si>
  <si>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</si>
  <si>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</si>
  <si>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</si>
  <si>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</si>
  <si>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</si>
  <si>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</si>
  <si>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</si>
  <si>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</si>
  <si>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</si>
  <si>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</si>
  <si>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</si>
  <si>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</si>
  <si>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</si>
  <si>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</si>
  <si>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</si>
  <si>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</si>
  <si>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</si>
  <si>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</si>
  <si>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</si>
  <si>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</si>
  <si>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</si>
  <si>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</si>
  <si>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</si>
  <si>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</si>
  <si>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</si>
  <si>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</si>
  <si>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</si>
  <si>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</si>
  <si>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</si>
  <si>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</si>
  <si>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</si>
  <si>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</si>
  <si>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</si>
  <si>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</si>
  <si>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</si>
  <si>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</si>
  <si>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</si>
  <si>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</si>
  <si>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</si>
  <si>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</si>
  <si>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</si>
  <si>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</si>
  <si>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</si>
  <si>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</si>
  <si>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</si>
  <si>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</si>
  <si>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</si>
  <si>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</si>
  <si>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</si>
  <si>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</si>
  <si>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</si>
  <si>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</si>
  <si>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</si>
  <si>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</si>
  <si>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</si>
  <si>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</si>
  <si>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</si>
  <si>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</si>
  <si>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</si>
  <si>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</si>
  <si>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</si>
  <si>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</si>
  <si>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</si>
  <si>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</si>
  <si>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</si>
  <si>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</si>
  <si>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</si>
  <si>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</si>
  <si>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</si>
  <si>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</si>
  <si>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</si>
  <si>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</si>
  <si>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</si>
  <si>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</si>
  <si>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</si>
  <si>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</si>
  <si>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</si>
  <si>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</si>
  <si>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</si>
  <si>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</si>
  <si>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</si>
  <si>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</si>
  <si>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</si>
  <si>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</si>
  <si>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</si>
  <si>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</si>
  <si>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</si>
  <si>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</si>
  <si>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</si>
  <si>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</si>
  <si>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</si>
  <si>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</si>
  <si>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</si>
  <si>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</si>
  <si>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</si>
  <si>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</si>
  <si>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</si>
  <si>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</si>
  <si>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</si>
  <si>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</si>
  <si>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</si>
  <si>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</si>
  <si>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</si>
  <si>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</si>
  <si>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</si>
  <si>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</si>
  <si>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</si>
  <si>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</si>
  <si>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</si>
  <si>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</si>
  <si>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</si>
  <si>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</si>
  <si>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</si>
  <si>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</si>
  <si>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</si>
  <si>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</si>
  <si>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</si>
  <si>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</si>
  <si>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</si>
  <si>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</si>
  <si>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</si>
  <si>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</si>
  <si>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</si>
  <si>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</si>
  <si>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</si>
  <si>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</si>
  <si>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</si>
  <si>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</si>
  <si>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</si>
  <si>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</si>
  <si>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</si>
  <si>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</si>
  <si>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</si>
  <si>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</si>
  <si>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</si>
  <si>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</si>
  <si>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</si>
  <si>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</si>
  <si>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</si>
  <si>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</si>
  <si>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</si>
  <si>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</si>
  <si>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</si>
  <si>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</si>
  <si>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</si>
  <si>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</si>
  <si>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</si>
  <si>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</si>
  <si>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</si>
  <si>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</si>
  <si>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</si>
  <si>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</si>
  <si>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</si>
  <si>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</si>
  <si>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</si>
  <si>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</si>
  <si>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</si>
  <si>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</si>
  <si>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</si>
  <si>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</si>
  <si>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</si>
  <si>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</si>
  <si>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</si>
  <si>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</si>
  <si>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</si>
  <si>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</si>
  <si>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</si>
  <si>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</si>
  <si>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</si>
  <si>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</si>
  <si>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</si>
  <si>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</si>
  <si>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</si>
  <si>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</si>
  <si>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</si>
  <si>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</si>
  <si>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</si>
  <si>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</si>
  <si>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</si>
  <si>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</si>
  <si>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</si>
  <si>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</si>
  <si>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</si>
  <si>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</si>
  <si>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</si>
  <si>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</si>
  <si>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</si>
  <si>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</si>
  <si>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</si>
  <si>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</si>
  <si>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</si>
  <si>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</si>
  <si>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</si>
  <si>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</si>
  <si>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</si>
  <si>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</si>
  <si>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</si>
  <si>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</si>
  <si>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</si>
  <si>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</si>
  <si>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</si>
  <si>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</si>
  <si>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</si>
  <si>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</si>
  <si>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</si>
  <si>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</si>
  <si>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</si>
  <si>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</si>
  <si>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</si>
  <si>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</si>
  <si>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</si>
  <si>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</si>
  <si>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</si>
  <si>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</si>
  <si>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</si>
  <si>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</si>
  <si>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</si>
  <si>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</si>
  <si>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</si>
  <si>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</si>
  <si>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</si>
  <si>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</si>
  <si>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</si>
  <si>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</si>
  <si>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</si>
  <si>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</si>
  <si>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</si>
  <si>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</si>
  <si>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</si>
  <si>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</si>
  <si>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</si>
  <si>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</si>
  <si>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</si>
  <si>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</si>
  <si>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</si>
  <si>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</si>
  <si>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</si>
  <si>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</si>
  <si>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</si>
  <si>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</si>
  <si>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</si>
  <si>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</si>
  <si>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</si>
  <si>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</si>
  <si>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</si>
  <si>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</si>
  <si>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</si>
  <si>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</si>
  <si>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</si>
  <si>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</si>
  <si>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</si>
  <si>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</si>
  <si>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</si>
  <si>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</si>
  <si>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</si>
  <si>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</si>
  <si>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</si>
  <si>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</si>
  <si>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</si>
  <si>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</si>
  <si>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</si>
  <si>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</si>
  <si>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</si>
  <si>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</si>
  <si>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</si>
  <si>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</si>
  <si>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</si>
  <si>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</si>
  <si>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</si>
  <si>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</si>
  <si>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</si>
  <si>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</si>
  <si>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</si>
  <si>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</si>
  <si>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</si>
  <si>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</si>
  <si>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</si>
  <si>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</si>
  <si>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</si>
  <si>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</si>
  <si>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</si>
  <si>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</si>
  <si>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</si>
  <si>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</si>
  <si>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</si>
  <si>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</si>
  <si>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</si>
  <si>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</si>
  <si>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</si>
  <si>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</si>
  <si>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</si>
  <si>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</si>
  <si>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</si>
  <si>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</si>
  <si>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</si>
  <si>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</si>
  <si>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</si>
  <si>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</si>
  <si>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</si>
  <si>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</si>
  <si>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</si>
  <si>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</si>
  <si>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</si>
  <si>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</si>
  <si>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</si>
  <si>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</si>
  <si>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</si>
  <si>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</si>
  <si>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</si>
  <si>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</si>
  <si>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</si>
  <si>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</si>
  <si>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</si>
  <si>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</si>
  <si>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</si>
  <si>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</si>
  <si>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</si>
  <si>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</si>
  <si>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</si>
  <si>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</si>
  <si>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</si>
  <si>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</si>
  <si>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</si>
  <si>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</si>
  <si>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</si>
  <si>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</si>
  <si>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</si>
  <si>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</si>
  <si>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</si>
  <si>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</si>
  <si>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</si>
  <si>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</si>
  <si>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</si>
  <si>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</si>
  <si>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</si>
  <si>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</si>
  <si>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</si>
  <si>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</si>
  <si>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</si>
  <si>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</si>
  <si>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</si>
  <si>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</si>
  <si>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</si>
  <si>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</si>
  <si>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</si>
  <si>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</si>
  <si>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</si>
  <si>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</si>
  <si>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</si>
  <si>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</si>
  <si>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</si>
  <si>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</si>
  <si>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</si>
  <si>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</si>
  <si>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</si>
  <si>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</si>
  <si>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</si>
  <si>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</si>
  <si>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</si>
  <si>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</si>
  <si>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</si>
  <si>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</si>
  <si>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</si>
  <si>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</si>
  <si>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</si>
  <si>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</si>
  <si>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</si>
  <si>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</si>
  <si>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</si>
  <si>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</si>
  <si>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</si>
  <si>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</si>
  <si>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</si>
  <si>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</si>
  <si>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</si>
  <si>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</si>
  <si>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</si>
  <si>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</si>
  <si>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</si>
  <si>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</si>
  <si>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</si>
  <si>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</si>
  <si>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</si>
  <si>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</si>
  <si>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</si>
  <si>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</si>
  <si>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</si>
  <si>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</si>
  <si>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</si>
  <si>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</si>
  <si>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</si>
  <si>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</si>
  <si>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</si>
  <si>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</si>
  <si>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</si>
  <si>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</si>
  <si>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</si>
  <si>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</si>
  <si>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</si>
  <si>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</si>
  <si>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</si>
  <si>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</si>
  <si>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</si>
  <si>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</si>
  <si>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</si>
  <si>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</si>
  <si>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</si>
  <si>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</si>
  <si>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</si>
  <si>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</si>
  <si>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</si>
  <si>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</si>
  <si>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</si>
  <si>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</si>
  <si>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</si>
  <si>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</si>
  <si>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</si>
  <si>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</si>
  <si>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</si>
  <si>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</si>
  <si>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</si>
  <si>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</si>
  <si>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</si>
  <si>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</si>
  <si>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</si>
  <si>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</si>
  <si>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</si>
  <si>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</si>
  <si>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</si>
  <si>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</si>
  <si>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</si>
  <si>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</si>
  <si>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</si>
  <si>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</si>
  <si>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</si>
  <si>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</si>
  <si>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</si>
  <si>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</si>
  <si>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</si>
  <si>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</si>
  <si>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</si>
  <si>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</si>
  <si>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</si>
  <si>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</si>
  <si>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</si>
  <si>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</si>
  <si>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</si>
  <si>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</si>
  <si>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</si>
  <si>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</si>
  <si>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</si>
  <si>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</si>
  <si>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</si>
  <si>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</si>
  <si>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</si>
  <si>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</si>
  <si>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</si>
  <si>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</si>
  <si>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</si>
  <si>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</si>
  <si>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</si>
  <si>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</si>
  <si>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</si>
  <si>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</si>
  <si>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</si>
  <si>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</si>
  <si>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</si>
  <si>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</si>
  <si>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</si>
  <si>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</si>
  <si>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</si>
  <si>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</si>
  <si>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</si>
  <si>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</si>
  <si>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</si>
  <si>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</si>
  <si>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</si>
  <si>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</si>
  <si>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</si>
  <si>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</si>
  <si>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</si>
  <si>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</si>
  <si>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</si>
  <si>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</si>
  <si>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</si>
  <si>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</si>
  <si>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</si>
  <si>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</si>
  <si>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</si>
  <si>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</si>
  <si>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</si>
  <si>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</si>
  <si>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</si>
  <si>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</si>
  <si>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</si>
  <si>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</si>
  <si>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</si>
  <si>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</si>
  <si>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</si>
  <si>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</si>
  <si>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</si>
  <si>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</si>
  <si>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</si>
  <si>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</si>
  <si>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</si>
  <si>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</si>
  <si>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</si>
  <si>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</si>
  <si>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</si>
  <si>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</si>
  <si>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</si>
  <si>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</si>
  <si>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</si>
  <si>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</si>
  <si>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</si>
  <si>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</si>
  <si>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</si>
  <si>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</si>
  <si>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</si>
  <si>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</si>
  <si>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</si>
  <si>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</si>
  <si>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</si>
  <si>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</si>
  <si>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</si>
  <si>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</si>
  <si>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</si>
  <si>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</si>
  <si>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</si>
  <si>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</si>
  <si>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</si>
  <si>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</si>
  <si>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</si>
  <si>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</si>
  <si>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</si>
  <si>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</si>
  <si>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</si>
  <si>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</si>
  <si>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</si>
  <si>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</si>
  <si>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</si>
  <si>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</si>
  <si>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</si>
  <si>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</si>
  <si>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</si>
  <si>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</si>
  <si>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</si>
  <si>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</si>
  <si>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</si>
  <si>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</si>
  <si>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</si>
  <si>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</si>
  <si>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</si>
  <si>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</si>
  <si>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</si>
  <si>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</si>
  <si>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</si>
  <si>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</si>
  <si>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</si>
  <si>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</si>
  <si>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</si>
  <si>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</si>
  <si>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</si>
  <si>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</si>
  <si>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</si>
  <si>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</si>
  <si>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</si>
  <si>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</si>
  <si>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</si>
  <si>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</si>
  <si>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</si>
  <si>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</si>
  <si>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</si>
  <si>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</si>
  <si>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</si>
  <si>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</si>
  <si>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</si>
  <si>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</si>
  <si>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</si>
  <si>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</si>
  <si>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</si>
  <si>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</si>
  <si>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</si>
  <si>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</si>
  <si>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</si>
  <si>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</si>
  <si>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</si>
  <si>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</si>
  <si>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</si>
  <si>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</si>
  <si>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</si>
  <si>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</si>
  <si>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</si>
  <si>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</si>
  <si>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</si>
  <si>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</si>
  <si>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</si>
  <si>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</si>
  <si>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</si>
  <si>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</si>
  <si>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</si>
  <si>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</si>
  <si>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</si>
  <si>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</si>
  <si>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</si>
  <si>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</si>
  <si>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</si>
  <si>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</si>
  <si>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</si>
  <si>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</si>
  <si>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</si>
  <si>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</si>
  <si>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</si>
  <si>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</si>
  <si>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</si>
  <si>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</si>
  <si>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</si>
  <si>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</si>
  <si>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</si>
  <si>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</si>
  <si>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</si>
  <si>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</si>
  <si>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</si>
  <si>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</si>
  <si>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</si>
  <si>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</si>
  <si>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</si>
  <si>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</si>
  <si>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</si>
  <si>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</si>
  <si>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</si>
  <si>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</si>
  <si>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</si>
  <si>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</si>
  <si>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</si>
  <si>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</si>
  <si>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</si>
  <si>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</si>
  <si>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</si>
  <si>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</si>
  <si>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</si>
  <si>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</si>
  <si>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</si>
  <si>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</si>
  <si>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</si>
  <si>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</si>
  <si>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</si>
  <si>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</si>
  <si>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</si>
  <si>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</si>
  <si>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</si>
  <si>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</si>
  <si>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</si>
  <si>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</si>
  <si>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</si>
  <si>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</si>
  <si>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</si>
  <si>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</si>
  <si>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</si>
  <si>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</si>
  <si>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</si>
  <si>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</si>
  <si>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</si>
  <si>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</si>
  <si>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</si>
  <si>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</si>
  <si>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</si>
  <si>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</si>
  <si>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</si>
  <si>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</si>
  <si>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</si>
  <si>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</si>
  <si>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</si>
  <si>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</si>
  <si>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</si>
  <si>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</si>
  <si>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</si>
  <si>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</si>
  <si>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</si>
  <si>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</si>
  <si>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</si>
  <si>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</si>
  <si>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</si>
  <si>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</si>
  <si>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</si>
  <si>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</si>
  <si>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</si>
  <si>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</si>
  <si>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</si>
  <si>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</si>
  <si>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</si>
  <si>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</si>
  <si>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</si>
  <si>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</si>
  <si>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</si>
  <si>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</si>
  <si>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</si>
  <si>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</si>
  <si>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</si>
  <si>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</si>
  <si>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</si>
  <si>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</si>
  <si>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</si>
  <si>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</si>
  <si>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</si>
  <si>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</si>
  <si>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</si>
  <si>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</si>
  <si>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</si>
  <si>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</si>
  <si>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</si>
  <si>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</si>
  <si>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</si>
  <si>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</si>
  <si>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</si>
  <si>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</si>
  <si>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</si>
  <si>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</si>
  <si>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</si>
  <si>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</si>
  <si>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</si>
  <si>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</si>
  <si>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</si>
  <si>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</si>
  <si>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</si>
  <si>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</si>
  <si>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</si>
  <si>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</si>
  <si>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</si>
  <si>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</si>
  <si>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</si>
  <si>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</si>
  <si>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</si>
  <si>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</si>
  <si>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</si>
  <si>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</si>
  <si>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</si>
  <si>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</si>
  <si>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</si>
  <si>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</si>
  <si>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</si>
  <si>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</si>
  <si>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</si>
  <si>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</si>
  <si>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</si>
  <si>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</si>
  <si>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</si>
  <si>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</si>
  <si>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</si>
  <si>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</si>
  <si>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</si>
  <si>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</si>
  <si>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</si>
  <si>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</si>
  <si>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</si>
  <si>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</si>
  <si>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</si>
  <si>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</si>
  <si>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</si>
  <si>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</si>
  <si>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</si>
  <si>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</si>
  <si>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</si>
  <si>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</si>
  <si>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</si>
  <si>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</si>
  <si>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</si>
  <si>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</si>
  <si>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</si>
  <si>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</si>
  <si>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</si>
  <si>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</si>
  <si>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</si>
  <si>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</si>
  <si>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</si>
  <si>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</si>
  <si>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</si>
  <si>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</si>
  <si>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</si>
  <si>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</si>
  <si>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</si>
  <si>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</si>
  <si>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</si>
  <si>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</si>
  <si>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</si>
  <si>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</si>
  <si>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</si>
  <si>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</si>
  <si>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</si>
  <si>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</si>
  <si>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</si>
  <si>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</si>
  <si>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</si>
  <si>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</si>
  <si>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</si>
  <si>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</si>
  <si>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</si>
  <si>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</si>
  <si>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</si>
  <si>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</si>
  <si>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</si>
  <si>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</si>
  <si>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</si>
  <si>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</si>
  <si>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</si>
  <si>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</si>
  <si>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</si>
  <si>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</si>
  <si>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</si>
  <si>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</si>
  <si>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</si>
  <si>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</si>
  <si>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</si>
  <si>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</si>
  <si>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</si>
  <si>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</si>
  <si>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</si>
  <si>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</si>
  <si>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</si>
  <si>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</si>
  <si>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</si>
  <si>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</si>
  <si>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</si>
  <si>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</si>
  <si>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</si>
  <si>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</si>
  <si>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</si>
  <si>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</si>
  <si>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</si>
  <si>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</si>
  <si>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</si>
  <si>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</si>
  <si>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</si>
  <si>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</si>
  <si>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</si>
  <si>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</si>
  <si>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</si>
  <si>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</si>
  <si>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</si>
  <si>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</si>
  <si>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</si>
  <si>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</si>
  <si>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</si>
  <si>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</si>
  <si>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</si>
  <si>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</si>
  <si>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</si>
  <si>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</si>
  <si>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</si>
  <si>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</si>
  <si>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</si>
  <si>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</si>
  <si>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</si>
  <si>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</si>
  <si>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</si>
  <si>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</si>
  <si>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</si>
  <si>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</si>
  <si>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</si>
  <si>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</si>
  <si>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</si>
  <si>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</si>
  <si>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</si>
  <si>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</si>
  <si>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</si>
  <si>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</si>
  <si>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</si>
  <si>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</si>
  <si>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</si>
  <si>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</si>
  <si>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</si>
  <si>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</si>
  <si>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</si>
  <si>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</si>
  <si>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</si>
  <si>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</si>
  <si>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</si>
  <si>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</si>
  <si>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</si>
  <si>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</si>
  <si>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</si>
  <si>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</si>
  <si>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</si>
  <si>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</si>
  <si>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</si>
  <si>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</si>
  <si>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</si>
  <si>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</si>
  <si>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</si>
  <si>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</si>
  <si>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</si>
  <si>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</si>
  <si>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</si>
  <si>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</si>
  <si>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</si>
  <si>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</si>
  <si>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</si>
  <si>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</si>
  <si>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</si>
  <si>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</si>
  <si>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</si>
  <si>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</si>
  <si>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</si>
  <si>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</si>
  <si>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</si>
  <si>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</si>
  <si>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</si>
  <si>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</si>
  <si>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</si>
  <si>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</si>
  <si>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</si>
  <si>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</si>
  <si>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</si>
  <si>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</si>
  <si>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</si>
  <si>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</si>
  <si>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</si>
  <si>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</si>
  <si>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</si>
  <si>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</si>
  <si>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</si>
  <si>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</si>
  <si>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</si>
  <si>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</si>
  <si>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</si>
  <si>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</si>
  <si>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</si>
  <si>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</si>
  <si>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</si>
  <si>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</si>
  <si>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</si>
  <si>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</si>
  <si>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</si>
  <si>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</si>
  <si>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</si>
  <si>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</si>
  <si>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</si>
  <si>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</si>
  <si>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</si>
  <si>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</si>
  <si>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</si>
  <si>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</si>
  <si>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</si>
  <si>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</si>
  <si>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</si>
  <si>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</si>
  <si>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</si>
  <si>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</si>
  <si>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</si>
  <si>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</si>
  <si>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</si>
  <si>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</si>
  <si>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</si>
  <si>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</si>
  <si>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</si>
  <si>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</si>
  <si>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</si>
  <si>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</si>
  <si>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</si>
  <si>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</si>
  <si>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</si>
  <si>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</si>
  <si>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</si>
  <si>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</si>
  <si>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</si>
  <si>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</si>
  <si>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</si>
  <si>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</si>
  <si>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</si>
  <si>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</si>
  <si>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</si>
  <si>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</si>
  <si>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</si>
  <si>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</si>
  <si>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</si>
  <si>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</si>
  <si>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</si>
  <si>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</si>
  <si>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</si>
  <si>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</si>
  <si>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</si>
  <si>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</si>
  <si>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</si>
  <si>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</si>
  <si>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</si>
  <si>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</si>
  <si>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</si>
  <si>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</si>
  <si>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</si>
  <si>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</si>
  <si>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</si>
  <si>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</si>
  <si>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</si>
  <si>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</si>
  <si>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</si>
  <si>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</si>
  <si>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</si>
  <si>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</si>
  <si>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</si>
  <si>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</si>
  <si>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</si>
  <si>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</si>
  <si>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</si>
  <si>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</si>
  <si>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</si>
  <si>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</si>
  <si>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</si>
  <si>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</si>
  <si>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</si>
  <si>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</si>
  <si>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</si>
  <si>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</si>
  <si>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</si>
  <si>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</si>
  <si>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</si>
  <si>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</si>
  <si>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</si>
  <si>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</si>
  <si>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</si>
  <si>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</si>
  <si>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</si>
  <si>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</si>
  <si>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</si>
  <si>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</si>
  <si>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</si>
  <si>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</si>
  <si>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</si>
  <si>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</si>
  <si>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</si>
  <si>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</si>
  <si>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</si>
  <si>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</si>
  <si>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</si>
  <si>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</si>
  <si>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</si>
  <si>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</si>
  <si>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</si>
  <si>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</si>
  <si>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</si>
  <si>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</si>
  <si>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</si>
  <si>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</si>
  <si>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</si>
  <si>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</si>
  <si>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</si>
  <si>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</si>
  <si>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</si>
  <si>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</si>
  <si>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</si>
  <si>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</si>
  <si>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</si>
  <si>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</si>
  <si>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</si>
  <si>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</si>
  <si>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</si>
  <si>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</si>
  <si>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</si>
  <si>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</si>
  <si>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</si>
  <si>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</si>
  <si>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</si>
  <si>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</si>
  <si>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</si>
  <si>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</si>
  <si>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</si>
  <si>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</si>
  <si>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</si>
  <si>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</si>
  <si>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</si>
  <si>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</si>
  <si>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</si>
  <si>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</si>
  <si>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</si>
  <si>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</si>
  <si>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</si>
  <si>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</si>
  <si>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</si>
  <si>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</si>
  <si>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</si>
  <si>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</si>
  <si>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</si>
  <si>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</si>
  <si>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</si>
  <si>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</si>
  <si>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</si>
  <si>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</si>
  <si>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</si>
  <si>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</si>
  <si>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</si>
  <si>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</si>
  <si>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</si>
  <si>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</si>
  <si>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</si>
  <si>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</si>
  <si>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</si>
  <si>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</si>
  <si>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</si>
  <si>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</si>
  <si>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</si>
  <si>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</si>
  <si>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</si>
  <si>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</si>
  <si>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</si>
  <si>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</si>
  <si>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</si>
  <si>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</si>
  <si>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</si>
  <si>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</si>
  <si>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</si>
  <si>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</si>
  <si>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</si>
  <si>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</si>
  <si>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</si>
  <si>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</si>
  <si>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</si>
  <si>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</si>
  <si>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</si>
  <si>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</si>
  <si>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</si>
  <si>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</si>
  <si>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</si>
  <si>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</si>
  <si>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</si>
  <si>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</si>
  <si>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</si>
  <si>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</si>
  <si>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</si>
  <si>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</si>
  <si>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</si>
  <si>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</si>
  <si>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</si>
  <si>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</si>
  <si>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</si>
  <si>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</si>
  <si>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</si>
  <si>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</si>
  <si>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</si>
  <si>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</si>
  <si>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</si>
  <si>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</si>
  <si>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</si>
  <si>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</si>
  <si>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</si>
  <si>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</si>
  <si>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</si>
  <si>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</si>
  <si>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</si>
  <si>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</si>
  <si>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</si>
  <si>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</si>
  <si>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</si>
  <si>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</si>
  <si>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</si>
  <si>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</si>
  <si>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</si>
  <si>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</si>
  <si>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</si>
  <si>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</si>
  <si>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</si>
  <si>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</si>
  <si>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</si>
  <si>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</si>
  <si>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</si>
  <si>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</si>
  <si>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</si>
  <si>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</si>
  <si>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</si>
  <si>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</si>
  <si>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</si>
  <si>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</si>
  <si>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</si>
  <si>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</si>
  <si>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</si>
  <si>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</si>
  <si>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</si>
  <si>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</si>
  <si>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</si>
  <si>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</si>
  <si>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</si>
  <si>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</si>
  <si>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</si>
  <si>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</si>
  <si>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</si>
  <si>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</si>
  <si>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</si>
  <si>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</si>
  <si>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</si>
  <si>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</si>
  <si>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</si>
  <si>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</si>
  <si>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</si>
  <si>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</si>
  <si>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</si>
  <si>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</si>
  <si>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</si>
  <si>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</si>
  <si>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</si>
  <si>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</si>
  <si>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</si>
  <si>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</si>
  <si>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</si>
  <si>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</si>
  <si>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</si>
  <si>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</si>
  <si>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</si>
  <si>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</si>
  <si>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</si>
  <si>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</si>
  <si>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</si>
  <si>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</si>
  <si>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</si>
  <si>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</si>
  <si>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</si>
  <si>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</si>
  <si>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</si>
  <si>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</si>
  <si>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</si>
  <si>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</si>
  <si>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</si>
  <si>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</si>
  <si>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</si>
  <si>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</si>
  <si>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</si>
  <si>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</si>
  <si>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</si>
  <si>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</si>
  <si>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</si>
  <si>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</si>
  <si>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</si>
  <si>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</si>
  <si>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</si>
  <si>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</si>
  <si>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</si>
  <si>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</si>
  <si>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</si>
  <si>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</si>
  <si>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</si>
  <si>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</si>
  <si>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</si>
  <si>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</si>
  <si>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</si>
  <si>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</si>
  <si>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</si>
  <si>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</si>
  <si>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</si>
  <si>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</si>
  <si>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</si>
  <si>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</si>
  <si>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</si>
  <si>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</si>
  <si>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</si>
  <si>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</si>
  <si>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</si>
  <si>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</si>
  <si>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</si>
  <si>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</si>
  <si>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</si>
  <si>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</si>
  <si>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</si>
  <si>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</si>
  <si>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</si>
  <si>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</si>
  <si>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</si>
  <si>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</si>
  <si>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</si>
  <si>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</si>
  <si>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</si>
  <si>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</si>
  <si>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</si>
  <si>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</si>
  <si>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</si>
  <si>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</si>
  <si>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</si>
  <si>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</si>
  <si>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</si>
  <si>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</si>
  <si>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</si>
  <si>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</si>
  <si>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</si>
  <si>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</si>
  <si>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</si>
  <si>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</si>
  <si>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</si>
  <si>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</si>
  <si>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</si>
  <si>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</si>
  <si>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</si>
  <si>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</si>
  <si>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</si>
  <si>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</si>
  <si>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</si>
  <si>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</si>
  <si>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</si>
  <si>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</si>
  <si>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</si>
  <si>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</si>
  <si>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</si>
  <si>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</si>
  <si>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</si>
  <si>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</si>
  <si>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</si>
  <si>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</si>
  <si>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</si>
  <si>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</si>
  <si>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</si>
  <si>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</si>
  <si>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</si>
  <si>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</si>
  <si>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</si>
  <si>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</si>
  <si>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</si>
  <si>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</si>
  <si>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</si>
  <si>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</si>
  <si>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</si>
  <si>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</si>
  <si>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</si>
  <si>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</si>
  <si>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</si>
  <si>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</si>
  <si>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</si>
  <si>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</si>
  <si>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</si>
  <si>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</si>
  <si>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</si>
  <si>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</si>
  <si>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</si>
  <si>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</si>
  <si>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</si>
  <si>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</si>
  <si>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</si>
  <si>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</si>
  <si>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</si>
  <si>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</si>
  <si>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</si>
  <si>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</si>
  <si>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</si>
  <si>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</si>
  <si>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</si>
  <si>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</si>
  <si>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</si>
  <si>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</si>
  <si>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</si>
  <si>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</si>
  <si>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</si>
  <si>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</si>
  <si>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</si>
  <si>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</si>
  <si>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</si>
  <si>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</si>
  <si>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</si>
  <si>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</si>
  <si>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</si>
  <si>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</si>
  <si>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</si>
  <si>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</si>
  <si>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</si>
  <si>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</si>
  <si>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</si>
  <si>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</si>
  <si>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</si>
  <si>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</si>
  <si>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</si>
  <si>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</si>
  <si>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</si>
  <si>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</si>
  <si>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</si>
  <si>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</si>
  <si>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</si>
  <si>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</si>
  <si>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</si>
  <si>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</si>
  <si>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</si>
  <si>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</si>
  <si>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</si>
  <si>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</si>
  <si>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</si>
  <si>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</si>
  <si>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</si>
  <si>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</si>
  <si>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</si>
  <si>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</si>
  <si>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</si>
  <si>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</si>
  <si>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</si>
  <si>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</si>
  <si>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</si>
  <si>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</si>
  <si>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</si>
  <si>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</si>
  <si>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</si>
  <si>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</si>
  <si>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</si>
  <si>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</si>
  <si>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</si>
  <si>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</si>
  <si>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</si>
  <si>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</si>
  <si>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</si>
  <si>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</si>
  <si>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</si>
  <si>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</si>
  <si>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</si>
  <si>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</si>
  <si>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</si>
  <si>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</si>
  <si>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</si>
  <si>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</si>
  <si>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</si>
  <si>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</si>
  <si>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</si>
  <si>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</si>
  <si>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</si>
  <si>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</si>
  <si>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</si>
  <si>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</si>
  <si>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</si>
  <si>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</si>
  <si>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</si>
  <si>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</si>
  <si>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</si>
  <si>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</si>
  <si>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</si>
  <si>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</si>
  <si>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</si>
  <si>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</si>
  <si>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</si>
  <si>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</si>
  <si>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</si>
  <si>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</si>
  <si>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</si>
  <si>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</si>
  <si>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</si>
  <si>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</si>
  <si>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</si>
  <si>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</si>
  <si>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</si>
  <si>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</si>
  <si>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</si>
  <si>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</si>
  <si>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</si>
  <si>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</si>
  <si>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</si>
  <si>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</si>
  <si>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</si>
  <si>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</si>
  <si>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</si>
  <si>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</si>
  <si>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</si>
  <si>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</si>
  <si>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</si>
  <si>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</si>
  <si>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</si>
  <si>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</si>
  <si>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</si>
  <si>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</si>
  <si>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</si>
  <si>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</si>
  <si>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</si>
  <si>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</si>
  <si>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</si>
  <si>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</si>
  <si>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</si>
  <si>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</si>
  <si>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</si>
  <si>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</si>
  <si>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</si>
  <si>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</si>
  <si>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</si>
  <si>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</si>
  <si>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</si>
  <si>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</si>
  <si>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</si>
  <si>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</si>
  <si>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</si>
  <si>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</si>
  <si>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</si>
  <si>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</si>
  <si>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</si>
  <si>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</si>
  <si>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</si>
  <si>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</si>
  <si>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</si>
  <si>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</si>
  <si>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</si>
  <si>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</si>
  <si>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</si>
  <si>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</si>
  <si>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</si>
  <si>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</si>
  <si>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</si>
  <si>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</si>
  <si>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</si>
  <si>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</si>
  <si>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</si>
  <si>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</si>
  <si>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</si>
  <si>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</si>
  <si>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</si>
  <si>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</si>
  <si>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</si>
  <si>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</si>
  <si>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</si>
  <si>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</si>
  <si>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</si>
  <si>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</si>
  <si>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</si>
  <si>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</si>
  <si>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</si>
  <si>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</si>
  <si>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</si>
  <si>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</si>
  <si>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</si>
  <si>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</si>
  <si>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</si>
  <si>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</si>
  <si>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</si>
  <si>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</si>
  <si>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</si>
  <si>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</si>
  <si>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</si>
  <si>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</si>
  <si>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</si>
  <si>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</si>
  <si>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</si>
  <si>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</si>
  <si>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</si>
  <si>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</si>
  <si>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</si>
  <si>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</si>
  <si>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</si>
  <si>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</si>
  <si>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</si>
  <si>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</si>
  <si>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</si>
  <si>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</si>
  <si>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</si>
  <si>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</si>
  <si>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</si>
  <si>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</si>
  <si>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</si>
  <si>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</si>
  <si>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</si>
  <si>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</si>
  <si>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</si>
  <si>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</si>
  <si>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</si>
  <si>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</si>
  <si>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</si>
  <si>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</si>
  <si>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</si>
  <si>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</si>
  <si>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</si>
  <si>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</si>
  <si>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</si>
  <si>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</si>
  <si>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</si>
  <si>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</si>
  <si>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</si>
  <si>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</si>
  <si>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</si>
  <si>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</si>
  <si>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</si>
  <si>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</si>
  <si>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</si>
  <si>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</si>
  <si>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</si>
  <si>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</si>
  <si>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</si>
  <si>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</si>
  <si>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</si>
  <si>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</si>
  <si>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</si>
  <si>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</si>
  <si>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</si>
  <si>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</si>
  <si>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</si>
  <si>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</si>
  <si>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</si>
  <si>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</si>
  <si>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</si>
  <si>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</si>
  <si>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</si>
  <si>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</si>
  <si>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</si>
  <si>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</si>
  <si>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</si>
  <si>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</si>
  <si>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</si>
  <si>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</si>
  <si>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</si>
  <si>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</si>
  <si>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</si>
  <si>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</si>
  <si>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</si>
  <si>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</si>
  <si>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</si>
  <si>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</si>
  <si>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</si>
  <si>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</si>
  <si>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</si>
  <si>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</si>
  <si>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</si>
  <si>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</si>
  <si>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</si>
  <si>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</si>
  <si>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</si>
  <si>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</si>
  <si>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</si>
  <si>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</si>
  <si>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</si>
  <si>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</si>
  <si>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</si>
  <si>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</si>
  <si>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</si>
  <si>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</si>
  <si>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</si>
  <si>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</si>
  <si>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</si>
  <si>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</si>
  <si>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</si>
  <si>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</si>
  <si>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</si>
  <si>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</si>
  <si>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</si>
  <si>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</si>
  <si>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</si>
  <si>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</si>
  <si>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</si>
  <si>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</si>
  <si>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</si>
  <si>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</si>
  <si>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</si>
  <si>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</si>
  <si>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</si>
  <si>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</si>
  <si>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</si>
  <si>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</si>
  <si>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</si>
  <si>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</si>
  <si>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</si>
  <si>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</si>
  <si>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</si>
  <si>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</si>
  <si>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</si>
  <si>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</si>
  <si>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</si>
  <si>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</si>
  <si>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</si>
  <si>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</si>
  <si>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</si>
  <si>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</si>
  <si>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</si>
  <si>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</si>
  <si>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</si>
  <si>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</si>
  <si>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</si>
  <si>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</si>
  <si>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</si>
  <si>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</si>
  <si>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</si>
  <si>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</si>
  <si>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</si>
  <si>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</si>
  <si>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</si>
  <si>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</si>
  <si>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</si>
  <si>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</si>
  <si>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</si>
  <si>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</si>
  <si>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</si>
  <si>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</si>
  <si>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</si>
  <si>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</si>
  <si>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</si>
  <si>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</si>
  <si>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</si>
  <si>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</si>
  <si>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</si>
  <si>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</si>
  <si>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</si>
  <si>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</si>
  <si>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</si>
  <si>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</si>
  <si>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</si>
  <si>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</si>
  <si>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</si>
  <si>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</si>
  <si>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</si>
  <si>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</si>
  <si>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</si>
  <si>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</si>
  <si>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</si>
  <si>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</si>
  <si>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</si>
  <si>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</si>
  <si>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</si>
  <si>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</si>
  <si>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</si>
  <si>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</si>
  <si>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</si>
  <si>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</si>
  <si>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</si>
  <si>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</si>
  <si>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</si>
  <si>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</si>
  <si>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</si>
  <si>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</si>
  <si>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</si>
  <si>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</si>
  <si>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</si>
  <si>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</si>
  <si>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</si>
  <si>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</si>
  <si>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</si>
  <si>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</si>
  <si>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</si>
  <si>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</si>
  <si>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</si>
  <si>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</si>
  <si>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</si>
  <si>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</si>
  <si>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</si>
  <si>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</si>
  <si>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</si>
  <si>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</si>
  <si>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</si>
  <si>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</si>
  <si>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</si>
  <si>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</si>
  <si>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</si>
  <si>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</si>
  <si>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</si>
  <si>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</si>
  <si>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</si>
  <si>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</si>
  <si>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</si>
  <si>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</si>
  <si>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</si>
  <si>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</si>
  <si>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</si>
  <si>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</si>
  <si>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</si>
  <si>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</si>
  <si>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</si>
  <si>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</si>
  <si>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</si>
  <si>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</si>
  <si>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</si>
  <si>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</si>
  <si>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</si>
  <si>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</si>
  <si>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</si>
  <si>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</si>
  <si>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</si>
  <si>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</si>
  <si>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</si>
  <si>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</si>
  <si>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</si>
  <si>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</si>
  <si>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</si>
  <si>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</si>
  <si>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</si>
  <si>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</si>
  <si>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</si>
  <si>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</si>
  <si>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</si>
  <si>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</si>
  <si>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</si>
  <si>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</si>
  <si>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</si>
  <si>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</si>
  <si>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</si>
  <si>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</si>
  <si>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</si>
  <si>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</si>
  <si>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</si>
  <si>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</si>
  <si>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</si>
  <si>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</si>
  <si>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</si>
  <si>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</si>
  <si>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</si>
  <si>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</si>
  <si>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</si>
  <si>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</si>
  <si>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</si>
  <si>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</si>
  <si>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</si>
  <si>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</si>
  <si>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</si>
  <si>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</si>
  <si>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</si>
  <si>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</si>
  <si>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</si>
  <si>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</si>
  <si>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</si>
  <si>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</si>
  <si>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</si>
  <si>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</si>
  <si>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</si>
  <si>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</si>
  <si>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</si>
  <si>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</si>
  <si>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</si>
  <si>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</si>
  <si>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</si>
  <si>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</si>
  <si>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</si>
  <si>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</si>
  <si>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</si>
  <si>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</si>
  <si>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</si>
  <si>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</si>
  <si>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</si>
  <si>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</si>
  <si>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</si>
  <si>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</si>
  <si>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</si>
  <si>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</si>
  <si>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</si>
  <si>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</si>
  <si>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</si>
  <si>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</si>
  <si>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</si>
  <si>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</si>
  <si>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</si>
  <si>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</si>
  <si>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</si>
  <si>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</si>
  <si>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</si>
  <si>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</si>
  <si>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</si>
  <si>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</si>
  <si>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</si>
  <si>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</si>
  <si>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</si>
  <si>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</si>
  <si>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</si>
  <si>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</si>
  <si>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</si>
  <si>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</si>
  <si>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</si>
  <si>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</si>
  <si>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</si>
  <si>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</si>
  <si>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</si>
  <si>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</si>
  <si>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</si>
  <si>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</si>
  <si>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</si>
  <si>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</si>
  <si>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</si>
  <si>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</si>
  <si>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</si>
  <si>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</si>
  <si>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</si>
  <si>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</si>
  <si>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</si>
  <si>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</si>
  <si>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</si>
  <si>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</si>
  <si>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</si>
  <si>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</si>
  <si>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</si>
  <si>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</si>
  <si>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</si>
  <si>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</si>
  <si>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</si>
  <si>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</si>
  <si>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</si>
  <si>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</si>
  <si>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</si>
  <si>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</si>
  <si>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</si>
  <si>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</si>
  <si>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</si>
  <si>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</si>
  <si>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</si>
  <si>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</si>
  <si>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</si>
  <si>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</si>
  <si>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</si>
  <si>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</si>
  <si>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</si>
  <si>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</si>
  <si>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</si>
  <si>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</si>
  <si>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</si>
  <si>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</si>
  <si>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</si>
  <si>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</si>
  <si>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</si>
  <si>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</si>
  <si>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</si>
  <si>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</si>
  <si>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</si>
  <si>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</si>
  <si>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</si>
  <si>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</si>
  <si>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</si>
  <si>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</si>
  <si>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</si>
  <si>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</si>
  <si>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</si>
  <si>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</si>
  <si>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</si>
  <si>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</si>
  <si>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</si>
  <si>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</si>
  <si>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</si>
  <si>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</si>
  <si>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</si>
  <si>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</si>
  <si>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</si>
  <si>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</si>
  <si>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</si>
  <si>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</si>
  <si>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</si>
  <si>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</si>
  <si>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</si>
  <si>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</si>
  <si>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</si>
  <si>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</si>
  <si>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</si>
  <si>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</si>
  <si>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</si>
  <si>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</si>
  <si>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</si>
  <si>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</si>
  <si>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</si>
  <si>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</si>
  <si>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</si>
  <si>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</si>
  <si>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</si>
  <si>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</si>
  <si>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</si>
  <si>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</si>
  <si>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</si>
  <si>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</si>
  <si>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</si>
  <si>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</si>
  <si>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</si>
  <si>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</si>
  <si>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</si>
  <si>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</si>
  <si>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</si>
  <si>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</si>
  <si>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</si>
  <si>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</si>
  <si>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</si>
  <si>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</si>
  <si>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</si>
  <si>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</si>
  <si>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</si>
  <si>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</si>
  <si>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</si>
  <si>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</si>
  <si>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</si>
  <si>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</si>
  <si>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</si>
  <si>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</si>
  <si>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</si>
  <si>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</si>
  <si>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</si>
  <si>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</si>
  <si>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</si>
  <si>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</si>
  <si>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</si>
  <si>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</si>
  <si>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</si>
  <si>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</si>
  <si>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</si>
  <si>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</si>
  <si>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</si>
  <si>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</si>
  <si>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</si>
  <si>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</si>
  <si>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</si>
  <si>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</si>
  <si>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</si>
  <si>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</si>
  <si>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</si>
  <si>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</si>
  <si>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</si>
  <si>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</si>
  <si>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</si>
  <si>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</si>
  <si>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</si>
  <si>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</si>
  <si>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</si>
  <si>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</si>
  <si>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</si>
  <si>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</si>
  <si>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</si>
  <si>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</si>
  <si>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</si>
  <si>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</si>
  <si>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</si>
  <si>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</si>
  <si>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</si>
  <si>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</si>
  <si>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</si>
  <si>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</si>
  <si>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</si>
  <si>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</si>
  <si>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</si>
  <si>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</si>
  <si>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</si>
  <si>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</si>
  <si>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</si>
  <si>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</si>
  <si>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</si>
  <si>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</si>
  <si>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</si>
  <si>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</si>
  <si>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</si>
  <si>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</si>
  <si>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</si>
  <si>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</si>
  <si>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</si>
  <si>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</si>
  <si>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</si>
  <si>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</si>
  <si>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</si>
  <si>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</si>
  <si>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</si>
  <si>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</si>
  <si>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</si>
  <si>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</si>
  <si>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</si>
  <si>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</si>
  <si>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</si>
  <si>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</si>
  <si>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</si>
  <si>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</si>
  <si>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</si>
  <si>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</si>
  <si>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</si>
  <si>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</si>
  <si>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</si>
  <si>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</si>
  <si>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</si>
  <si>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</si>
  <si>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</si>
  <si>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</si>
  <si>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</si>
  <si>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</si>
  <si>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</si>
  <si>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</si>
  <si>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</si>
  <si>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</si>
  <si>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</si>
  <si>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</si>
  <si>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</si>
  <si>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</si>
  <si>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</si>
  <si>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</si>
  <si>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</si>
  <si>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</si>
  <si>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</si>
  <si>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</si>
  <si>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</si>
  <si>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</si>
  <si>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</si>
  <si>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</si>
  <si>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</si>
  <si>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</si>
  <si>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</si>
  <si>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</si>
  <si>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</si>
  <si>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</si>
  <si>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</si>
  <si>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</si>
  <si>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</si>
  <si>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</si>
  <si>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</si>
  <si>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</si>
  <si>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</si>
  <si>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</si>
  <si>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</si>
  <si>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</si>
  <si>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</si>
  <si>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</si>
  <si>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</si>
  <si>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</si>
  <si>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</si>
  <si>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</si>
  <si>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</si>
  <si>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</si>
  <si>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</si>
  <si>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</si>
  <si>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</si>
  <si>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</si>
  <si>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</si>
  <si>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</si>
  <si>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</si>
  <si>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</si>
  <si>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</si>
  <si>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</si>
  <si>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</si>
  <si>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</si>
  <si>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</si>
  <si>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</si>
  <si>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</si>
  <si>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</si>
  <si>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</si>
  <si>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</si>
  <si>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</si>
  <si>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</si>
  <si>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</si>
  <si>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</si>
  <si>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</si>
  <si>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</si>
  <si>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</si>
  <si>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</si>
  <si>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</si>
  <si>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</si>
  <si>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</si>
  <si>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</si>
  <si>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</si>
  <si>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</si>
  <si>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</si>
  <si>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</si>
  <si>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</si>
  <si>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</si>
  <si>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</si>
  <si>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</si>
  <si>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</si>
  <si>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</si>
  <si>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</si>
  <si>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</si>
  <si>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</si>
  <si>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</si>
  <si>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</si>
  <si>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</si>
  <si>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</si>
  <si>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</si>
  <si>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</si>
  <si>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</si>
  <si>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</si>
  <si>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</si>
  <si>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</si>
  <si>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</si>
  <si>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</si>
  <si>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</si>
  <si>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</si>
  <si>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</si>
  <si>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</si>
  <si>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</si>
  <si>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</si>
  <si>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</si>
  <si>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</si>
  <si>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</si>
  <si>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</si>
  <si>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</si>
  <si>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</si>
  <si>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</si>
  <si>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</si>
  <si>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</si>
  <si>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</si>
  <si>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</si>
  <si>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</si>
  <si>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</si>
  <si>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</si>
  <si>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</si>
  <si>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</si>
  <si>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</si>
  <si>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</si>
  <si>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</si>
  <si>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</si>
  <si>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</si>
  <si>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</si>
  <si>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</si>
  <si>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</si>
  <si>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</si>
  <si>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</si>
  <si>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</si>
  <si>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</si>
  <si>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</si>
  <si>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</si>
  <si>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</si>
  <si>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</si>
  <si>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</si>
  <si>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</si>
  <si>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</si>
  <si>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</si>
  <si>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</si>
  <si>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</si>
  <si>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</si>
  <si>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</si>
  <si>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</si>
  <si>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</si>
  <si>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</si>
  <si>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</si>
  <si>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</si>
  <si>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</si>
  <si>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</si>
  <si>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</si>
  <si>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</si>
  <si>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</si>
  <si>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</si>
  <si>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</si>
  <si>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</si>
  <si>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</si>
  <si>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</si>
  <si>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</si>
  <si>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</si>
  <si>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</si>
  <si>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</si>
  <si>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</si>
  <si>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</si>
  <si>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</si>
  <si>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</si>
  <si>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</si>
  <si>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</si>
  <si>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</si>
  <si>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</si>
  <si>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</si>
  <si>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</si>
  <si>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</si>
  <si>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</si>
  <si>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</si>
  <si>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</si>
  <si>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</si>
  <si>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</si>
  <si>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</si>
  <si>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</si>
  <si>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</si>
  <si>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</si>
  <si>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</si>
  <si>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</si>
  <si>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</si>
  <si>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</si>
  <si>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</si>
  <si>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</si>
  <si>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</si>
  <si>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</si>
  <si>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</si>
  <si>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</si>
  <si>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</si>
  <si>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</si>
  <si>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</si>
  <si>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</si>
  <si>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</si>
  <si>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</si>
  <si>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</si>
  <si>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</si>
  <si>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</si>
  <si>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</si>
  <si>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</si>
  <si>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</si>
  <si>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</si>
  <si>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</si>
  <si>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</si>
  <si>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</si>
  <si>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</si>
  <si>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</si>
  <si>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</si>
  <si>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</si>
  <si>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</si>
  <si>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</si>
  <si>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</si>
  <si>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</si>
  <si>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</si>
  <si>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</si>
  <si>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</si>
  <si>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</si>
  <si>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</si>
  <si>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</si>
  <si>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</si>
  <si>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</si>
  <si>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</si>
  <si>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</si>
  <si>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</si>
  <si>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</si>
  <si>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</si>
  <si>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</si>
  <si>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</si>
  <si>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</si>
  <si>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</si>
  <si>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</si>
  <si>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</si>
  <si>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</si>
  <si>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</si>
  <si>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</si>
  <si>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</si>
  <si>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</si>
  <si>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</si>
  <si>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</si>
  <si>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</si>
  <si>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</si>
  <si>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</si>
  <si>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</si>
  <si>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</si>
  <si>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</si>
  <si>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</si>
  <si>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</si>
  <si>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</si>
  <si>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</si>
  <si>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</si>
  <si>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</si>
  <si>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</si>
  <si>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</si>
  <si>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</si>
  <si>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</si>
  <si>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</si>
  <si>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</si>
  <si>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</si>
  <si>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</si>
  <si>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</si>
  <si>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</si>
  <si>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</si>
  <si>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</si>
  <si>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</si>
  <si>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</si>
  <si>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</si>
  <si>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</si>
  <si>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</si>
  <si>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</si>
  <si>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</si>
  <si>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</si>
  <si>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</si>
  <si>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</si>
  <si>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</si>
  <si>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</si>
  <si>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</si>
  <si>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</si>
  <si>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</si>
  <si>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</si>
  <si>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</si>
  <si>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</si>
  <si>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</si>
  <si>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</si>
  <si>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</si>
  <si>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</si>
  <si>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</si>
  <si>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</si>
  <si>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</si>
  <si>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</si>
  <si>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</si>
  <si>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</si>
  <si>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</si>
  <si>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</si>
  <si>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</si>
  <si>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</si>
  <si>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</si>
  <si>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</si>
  <si>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</si>
  <si>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</si>
  <si>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</si>
  <si>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</si>
  <si>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</si>
  <si>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</si>
  <si>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</si>
  <si>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</si>
  <si>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</si>
  <si>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</si>
  <si>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</si>
  <si>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</si>
  <si>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</si>
  <si>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</si>
  <si>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</si>
  <si>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</si>
  <si>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</si>
  <si>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</si>
  <si>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</si>
  <si>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</si>
  <si>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</si>
  <si>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</si>
  <si>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</si>
  <si>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</si>
  <si>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</si>
  <si>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</si>
  <si>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</si>
  <si>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</si>
  <si>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</si>
  <si>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</si>
  <si>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</si>
  <si>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</si>
  <si>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</si>
  <si>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</si>
  <si>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</si>
  <si>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</si>
  <si>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</si>
  <si>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</si>
  <si>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</si>
  <si>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</si>
  <si>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</si>
  <si>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</si>
  <si>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</si>
  <si>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</si>
  <si>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</si>
  <si>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</si>
  <si>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</si>
  <si>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</si>
  <si>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</si>
  <si>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</si>
  <si>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</si>
  <si>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</si>
  <si>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</si>
  <si>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</si>
  <si>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</si>
  <si>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</si>
  <si>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</si>
  <si>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</si>
  <si>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</si>
  <si>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</si>
  <si>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</si>
  <si>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</si>
  <si>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</si>
  <si>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</si>
  <si>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</si>
  <si>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</si>
  <si>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</si>
  <si>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</si>
  <si>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</si>
  <si>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</si>
  <si>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</si>
  <si>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</si>
  <si>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</si>
  <si>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</si>
  <si>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</si>
  <si>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</si>
  <si>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</si>
  <si>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</si>
  <si>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</si>
  <si>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</si>
  <si>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</si>
  <si>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</si>
  <si>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</si>
  <si>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</si>
  <si>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</si>
  <si>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</si>
  <si>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</si>
  <si>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</si>
  <si>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</si>
  <si>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</si>
  <si>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</si>
  <si>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</si>
  <si>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</si>
  <si>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</si>
  <si>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</si>
  <si>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</si>
  <si>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</si>
  <si>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</si>
  <si>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</si>
  <si>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</si>
  <si>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</si>
  <si>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</si>
  <si>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</si>
  <si>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</si>
  <si>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</si>
  <si>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</si>
  <si>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</si>
  <si>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</si>
  <si>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</si>
  <si>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</si>
  <si>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</si>
  <si>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</si>
  <si>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</si>
  <si>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</si>
  <si>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</si>
  <si>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</si>
  <si>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</si>
  <si>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</si>
  <si>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</si>
  <si>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</si>
  <si>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</si>
  <si>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</si>
  <si>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</si>
  <si>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</si>
  <si>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</si>
  <si>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</si>
  <si>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</si>
  <si>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</si>
  <si>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</si>
  <si>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</si>
  <si>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</si>
  <si>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</si>
  <si>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</si>
  <si>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</si>
  <si>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</si>
  <si>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</si>
  <si>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</si>
  <si>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</si>
  <si>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</si>
  <si>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</si>
  <si>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</si>
  <si>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</si>
  <si>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</si>
  <si>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</si>
  <si>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</si>
  <si>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</si>
  <si>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</si>
  <si>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</si>
  <si>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</si>
  <si>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</si>
  <si>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</si>
  <si>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</si>
  <si>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</si>
  <si>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</si>
  <si>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</si>
  <si>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</si>
  <si>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</si>
  <si>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</si>
  <si>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</si>
  <si>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</si>
  <si>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</si>
  <si>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</si>
  <si>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</si>
  <si>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</si>
  <si>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</si>
  <si>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</si>
  <si>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</si>
  <si>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</si>
  <si>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</si>
  <si>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</si>
  <si>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</si>
  <si>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</si>
  <si>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</si>
  <si>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</si>
  <si>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</si>
  <si>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</si>
  <si>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</si>
  <si>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</si>
  <si>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</si>
  <si>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</si>
  <si>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</si>
  <si>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</si>
  <si>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</si>
  <si>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</si>
  <si>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</si>
  <si>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</si>
  <si>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</si>
  <si>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</si>
  <si>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</si>
  <si>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</si>
  <si>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</si>
  <si>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</si>
  <si>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</si>
  <si>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</si>
  <si>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</si>
  <si>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</si>
  <si>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</si>
  <si>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</si>
  <si>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</si>
  <si>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</si>
  <si>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</si>
  <si>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</si>
  <si>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</si>
  <si>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</si>
  <si>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</si>
  <si>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</si>
  <si>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</si>
  <si>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</si>
  <si>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</si>
  <si>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</si>
  <si>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</si>
  <si>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</si>
  <si>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</si>
  <si>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</si>
  <si>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</si>
  <si>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</si>
  <si>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</si>
  <si>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</si>
  <si>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</si>
  <si>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</si>
  <si>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</si>
  <si>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</si>
  <si>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</si>
  <si>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</si>
  <si>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</si>
  <si>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</si>
  <si>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</si>
  <si>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</si>
  <si>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</si>
  <si>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</si>
  <si>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</si>
  <si>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</si>
  <si>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</si>
  <si>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</si>
  <si>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</si>
  <si>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</si>
  <si>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</si>
  <si>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</si>
  <si>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</si>
  <si>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</si>
  <si>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</si>
  <si>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</si>
  <si>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</si>
  <si>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</si>
  <si>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</si>
  <si>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</si>
  <si>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</si>
  <si>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</si>
  <si>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</si>
  <si>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</si>
  <si>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</si>
  <si>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</si>
  <si>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</si>
  <si>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</si>
  <si>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</si>
  <si>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</si>
  <si>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</si>
  <si>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</si>
  <si>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</si>
  <si>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</si>
  <si>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</si>
  <si>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</si>
  <si>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</si>
  <si>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</si>
  <si>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</si>
  <si>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</si>
  <si>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</si>
  <si>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</si>
  <si>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</si>
  <si>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</si>
  <si>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</si>
  <si>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</si>
  <si>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</si>
  <si>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</si>
  <si>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</si>
  <si>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</si>
  <si>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</si>
  <si>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</si>
  <si>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</si>
  <si>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</si>
  <si>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</si>
  <si>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</si>
  <si>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</si>
  <si>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</si>
  <si>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</si>
  <si>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</si>
  <si>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</si>
  <si>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</si>
  <si>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</si>
  <si>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</si>
  <si>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</si>
  <si>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</si>
  <si>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</si>
  <si>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</si>
  <si>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</si>
  <si>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</si>
  <si>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</si>
  <si>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</si>
  <si>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</si>
  <si>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</si>
  <si>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</si>
  <si>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</si>
  <si>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</si>
  <si>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</si>
  <si>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</si>
  <si>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</si>
  <si>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</si>
  <si>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</si>
  <si>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</si>
  <si>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</si>
  <si>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</si>
  <si>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</si>
  <si>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</si>
  <si>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</si>
  <si>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</si>
  <si>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</si>
  <si>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</si>
  <si>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</si>
  <si>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</si>
  <si>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</si>
  <si>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</si>
  <si>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</si>
  <si>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</si>
  <si>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</si>
  <si>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</si>
  <si>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</si>
  <si>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</si>
  <si>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</si>
  <si>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</si>
  <si>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</si>
  <si>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</si>
  <si>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</si>
  <si>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</si>
  <si>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</si>
  <si>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</si>
  <si>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</si>
  <si>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</si>
  <si>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</si>
  <si>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</si>
  <si>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</si>
  <si>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</si>
  <si>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</si>
  <si>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</si>
  <si>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</si>
  <si>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</si>
  <si>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</si>
  <si>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</si>
  <si>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</si>
  <si>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</si>
  <si>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</si>
  <si>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</si>
  <si>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</si>
  <si>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</si>
  <si>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</si>
  <si>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</si>
  <si>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</si>
  <si>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</si>
  <si>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</si>
  <si>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</si>
  <si>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</si>
  <si>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</si>
  <si>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</si>
  <si>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</si>
  <si>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</si>
  <si>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</si>
  <si>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</si>
  <si>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</si>
  <si>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</si>
  <si>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</si>
  <si>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</si>
  <si>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</si>
  <si>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</si>
  <si>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</si>
  <si>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</si>
  <si>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</si>
  <si>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</si>
  <si>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</si>
  <si>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</si>
  <si>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</si>
  <si>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</si>
  <si>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</si>
  <si>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</si>
  <si>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</si>
  <si>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</si>
  <si>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</si>
  <si>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</si>
  <si>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</si>
  <si>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</si>
  <si>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</si>
  <si>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</si>
  <si>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</si>
  <si>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</si>
  <si>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</si>
  <si>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</si>
  <si>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</si>
  <si>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</si>
  <si>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</si>
  <si>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</si>
  <si>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</si>
  <si>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</si>
  <si>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</si>
  <si>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</si>
  <si>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</si>
  <si>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</si>
  <si>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</si>
  <si>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</si>
  <si>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</si>
  <si>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</si>
  <si>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</si>
  <si>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</si>
  <si>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</si>
  <si>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</si>
  <si>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</si>
  <si>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</si>
  <si>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</si>
  <si>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</si>
  <si>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</si>
  <si>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</si>
  <si>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</si>
  <si>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</si>
  <si>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</si>
  <si>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</si>
  <si>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</si>
  <si>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</si>
  <si>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</si>
  <si>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</si>
  <si>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</si>
  <si>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</si>
  <si>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</si>
  <si>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</si>
  <si>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</si>
  <si>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</si>
  <si>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</si>
  <si>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</si>
  <si>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</si>
  <si>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</si>
  <si>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</si>
  <si>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</si>
  <si>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</si>
  <si>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</si>
  <si>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</si>
  <si>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</si>
  <si>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</si>
  <si>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</si>
  <si>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</si>
  <si>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</si>
  <si>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</si>
  <si>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</si>
  <si>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</si>
  <si>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</si>
  <si>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</si>
  <si>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</si>
  <si>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</si>
  <si>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</si>
  <si>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</si>
  <si>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</si>
  <si>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</si>
  <si>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</si>
  <si>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</si>
  <si>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</si>
  <si>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</si>
  <si>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</si>
  <si>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</si>
  <si>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</si>
  <si>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</si>
  <si>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</si>
  <si>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</si>
  <si>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</si>
  <si>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</si>
  <si>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</si>
  <si>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</si>
  <si>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</si>
  <si>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</si>
  <si>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</si>
  <si>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</si>
  <si>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</si>
  <si>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</si>
  <si>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</si>
  <si>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</si>
  <si>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</si>
  <si>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</si>
  <si>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</si>
  <si>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</si>
  <si>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</si>
  <si>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</si>
  <si>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</si>
  <si>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</si>
  <si>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</si>
  <si>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</si>
  <si>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</si>
  <si>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</si>
  <si>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</si>
  <si>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</si>
  <si>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</si>
  <si>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</si>
  <si>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</si>
  <si>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</si>
  <si>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</si>
  <si>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</si>
  <si>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</si>
  <si>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</si>
  <si>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</si>
  <si>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</si>
  <si>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</si>
  <si>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</si>
  <si>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</si>
  <si>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</si>
  <si>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</si>
  <si>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</si>
  <si>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</si>
  <si>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</si>
  <si>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</si>
  <si>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</si>
  <si>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</si>
  <si>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</si>
  <si>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</si>
  <si>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</si>
  <si>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</si>
  <si>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</si>
  <si>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</si>
  <si>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</si>
  <si>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</si>
  <si>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</si>
  <si>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</si>
  <si>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</si>
  <si>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</si>
  <si>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</si>
  <si>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</si>
  <si>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</si>
  <si>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</si>
  <si>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</si>
  <si>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</si>
  <si>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</si>
  <si>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</si>
  <si>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</si>
  <si>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</si>
  <si>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</si>
  <si>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</si>
  <si>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</si>
  <si>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</si>
  <si>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</si>
  <si>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</si>
  <si>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</si>
  <si>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</si>
  <si>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</si>
  <si>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</si>
  <si>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</si>
  <si>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</si>
  <si>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</si>
  <si>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</si>
  <si>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</si>
  <si>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</si>
  <si>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</si>
  <si>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</si>
  <si>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</si>
  <si>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</si>
  <si>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</si>
  <si>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</si>
  <si>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</si>
  <si>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</si>
  <si>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</si>
  <si>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</si>
  <si>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</si>
  <si>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</si>
  <si>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</si>
  <si>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</si>
  <si>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</si>
  <si>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</si>
  <si>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</si>
  <si>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</si>
  <si>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</si>
  <si>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</si>
  <si>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</si>
  <si>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</si>
  <si>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</si>
  <si>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</si>
  <si>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</si>
  <si>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</si>
  <si>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</si>
  <si>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</si>
  <si>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</si>
  <si>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</si>
  <si>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</si>
  <si>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</si>
  <si>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</si>
  <si>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</si>
  <si>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</si>
  <si>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</si>
  <si>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</si>
  <si>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</si>
  <si>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</si>
  <si>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</si>
  <si>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</si>
  <si>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</si>
  <si>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</si>
  <si>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</si>
  <si>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</si>
  <si>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</si>
  <si>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</si>
  <si>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</si>
  <si>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</si>
  <si>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</si>
  <si>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</si>
  <si>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</si>
  <si>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</si>
  <si>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</si>
  <si>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</si>
  <si>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</si>
  <si>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</si>
  <si>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</si>
  <si>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</si>
  <si>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</si>
  <si>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</si>
  <si>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</si>
  <si>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</si>
  <si>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</si>
  <si>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</si>
  <si>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</si>
  <si>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</si>
  <si>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</si>
  <si>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</si>
  <si>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</si>
  <si>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</si>
  <si>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</si>
  <si>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</si>
  <si>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</si>
  <si>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</si>
  <si>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</si>
  <si>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</si>
  <si>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</si>
  <si>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</si>
  <si>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</si>
  <si>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</si>
  <si>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</si>
  <si>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</si>
  <si>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</si>
  <si>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</si>
  <si>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</si>
  <si>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</si>
  <si>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</si>
  <si>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</si>
  <si>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</si>
  <si>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</si>
  <si>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</si>
  <si>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</si>
  <si>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</si>
  <si>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</si>
  <si>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</si>
  <si>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</si>
  <si>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</si>
  <si>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</si>
  <si>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</si>
  <si>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</si>
  <si>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</si>
  <si>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</si>
  <si>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</si>
  <si>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</si>
  <si>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</si>
  <si>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</si>
  <si>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</si>
  <si>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</si>
  <si>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</si>
  <si>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</si>
  <si>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</si>
  <si>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</si>
  <si>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</si>
  <si>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</si>
  <si>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</si>
  <si>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</si>
  <si>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</si>
  <si>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</si>
  <si>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</si>
  <si>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</si>
  <si>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</si>
  <si>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</si>
  <si>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</si>
  <si>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</si>
  <si>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</si>
  <si>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</si>
  <si>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</si>
  <si>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</si>
  <si>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</si>
  <si>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</si>
  <si>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</si>
  <si>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</si>
  <si>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</si>
  <si>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</si>
  <si>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</si>
  <si>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</si>
  <si>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</si>
  <si>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</si>
  <si>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</si>
  <si>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</si>
  <si>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</si>
  <si>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</si>
  <si>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</si>
  <si>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</si>
  <si>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</si>
  <si>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</si>
  <si>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</si>
  <si>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</si>
  <si>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</si>
  <si>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</si>
  <si>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</si>
  <si>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</si>
  <si>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</si>
  <si>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</si>
  <si>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</si>
  <si>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</si>
  <si>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</si>
  <si>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</si>
  <si>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</si>
  <si>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</si>
  <si>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</si>
  <si>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</si>
  <si>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</si>
  <si>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</si>
  <si>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</si>
  <si>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</si>
  <si>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</si>
  <si>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</si>
  <si>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</si>
  <si>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</si>
  <si>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</si>
  <si>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</si>
  <si>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</si>
  <si>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</si>
  <si>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</si>
  <si>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</si>
  <si>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</si>
  <si>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</si>
  <si>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</si>
  <si>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</si>
  <si>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</si>
  <si>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</si>
  <si>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</si>
  <si>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</si>
  <si>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</si>
  <si>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</si>
  <si>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</si>
  <si>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</si>
  <si>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</si>
  <si>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</si>
  <si>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</si>
  <si>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</si>
  <si>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</si>
  <si>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</si>
  <si>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</si>
  <si>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</si>
  <si>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</si>
  <si>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</si>
  <si>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</si>
  <si>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</si>
  <si>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</si>
  <si>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</si>
  <si>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</si>
  <si>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</si>
  <si>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</si>
  <si>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</si>
  <si>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</si>
  <si>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</si>
  <si>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</si>
  <si>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</si>
  <si>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</si>
  <si>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</si>
  <si>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</si>
  <si>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</si>
  <si>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</si>
  <si>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</si>
  <si>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</si>
  <si>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</si>
  <si>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</si>
  <si>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</si>
  <si>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</si>
  <si>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</si>
  <si>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</si>
  <si>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</si>
  <si>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</si>
  <si>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</si>
  <si>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</si>
  <si>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</si>
  <si>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</si>
  <si>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</si>
  <si>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</si>
  <si>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</si>
  <si>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</si>
  <si>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</si>
  <si>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</si>
  <si>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</si>
  <si>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</si>
  <si>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</si>
  <si>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</si>
  <si>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</si>
  <si>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</si>
  <si>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</si>
  <si>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</si>
  <si>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</si>
  <si>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</si>
  <si>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</si>
  <si>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</si>
  <si>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</si>
  <si>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</si>
  <si>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</si>
  <si>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</si>
  <si>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</si>
  <si>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</si>
  <si>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</si>
  <si>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</si>
  <si>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</si>
  <si>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</si>
  <si>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</si>
  <si>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</si>
  <si>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</si>
  <si>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</si>
  <si>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</si>
  <si>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</si>
  <si>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</si>
  <si>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</si>
  <si>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</si>
  <si>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</si>
  <si>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</si>
  <si>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</si>
  <si>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</si>
  <si>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</si>
  <si>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</si>
  <si>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</si>
  <si>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</si>
  <si>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</si>
  <si>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</si>
  <si>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</si>
  <si>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</si>
  <si>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</si>
  <si>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</si>
  <si>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</si>
  <si>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</si>
  <si>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</si>
  <si>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</si>
  <si>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</si>
  <si>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</si>
  <si>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</si>
  <si>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</si>
  <si>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</si>
  <si>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</si>
  <si>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</si>
  <si>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</si>
  <si>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</si>
  <si>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</si>
  <si>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</si>
  <si>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</si>
  <si>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</si>
  <si>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</si>
  <si>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</si>
  <si>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</si>
  <si>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</si>
  <si>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</si>
  <si>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</si>
  <si>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</si>
  <si>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</si>
  <si>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</si>
  <si>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</si>
  <si>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</si>
  <si>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</si>
  <si>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</si>
  <si>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</si>
  <si>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</si>
  <si>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</si>
  <si>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</si>
  <si>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</si>
  <si>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</si>
  <si>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</si>
  <si>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</si>
  <si>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</si>
  <si>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</si>
  <si>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</si>
  <si>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</si>
  <si>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</si>
  <si>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</si>
  <si>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</si>
  <si>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</si>
  <si>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</si>
  <si>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</si>
  <si>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</si>
  <si>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</si>
  <si>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</si>
  <si>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</si>
  <si>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</si>
  <si>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</si>
  <si>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</si>
  <si>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</si>
  <si>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</si>
  <si>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</si>
  <si>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</si>
  <si>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</si>
  <si>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</si>
  <si>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</si>
  <si>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</si>
  <si>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</si>
  <si>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</si>
  <si>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</si>
  <si>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</si>
  <si>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</si>
  <si>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</si>
  <si>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</si>
  <si>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</si>
  <si>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</si>
  <si>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</si>
  <si>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</si>
  <si>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</si>
  <si>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</si>
  <si>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</si>
  <si>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</si>
  <si>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</si>
  <si>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</si>
  <si>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</si>
  <si>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</si>
  <si>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</si>
  <si>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</si>
  <si>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</si>
  <si>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</si>
  <si>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</si>
  <si>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</si>
  <si>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</si>
  <si>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</si>
  <si>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</si>
  <si>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</si>
  <si>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</si>
  <si>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</si>
  <si>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</si>
  <si>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</si>
  <si>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</si>
  <si>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</si>
  <si>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</si>
  <si>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</si>
  <si>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</si>
  <si>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</si>
  <si>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</si>
  <si>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</si>
  <si>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</si>
  <si>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</si>
  <si>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</si>
  <si>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</si>
  <si>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</si>
  <si>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</si>
  <si>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</si>
  <si>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</si>
  <si>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</si>
  <si>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</si>
  <si>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</si>
  <si>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</si>
  <si>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</si>
  <si>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</si>
  <si>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</si>
  <si>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</si>
  <si>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</si>
  <si>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</si>
  <si>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</si>
  <si>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</si>
  <si>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</si>
  <si>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</si>
  <si>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</si>
  <si>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</si>
  <si>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</si>
  <si>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</si>
  <si>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</si>
  <si>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</si>
  <si>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</si>
  <si>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</si>
  <si>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</si>
  <si>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</si>
  <si>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</si>
  <si>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</si>
  <si>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</si>
  <si>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</si>
  <si>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</si>
  <si>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</si>
  <si>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</si>
  <si>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</si>
  <si>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</si>
  <si>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</si>
  <si>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</si>
  <si>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</si>
  <si>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</si>
  <si>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</si>
  <si>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</si>
  <si>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</si>
  <si>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</si>
  <si>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</si>
  <si>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</si>
  <si>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</si>
  <si>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</si>
  <si>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</si>
  <si>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</si>
  <si>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</si>
  <si>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</si>
  <si>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</si>
  <si>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</si>
  <si>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</si>
  <si>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</si>
  <si>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</si>
  <si>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</si>
  <si>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</si>
  <si>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</si>
  <si>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</si>
  <si>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</si>
  <si>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</si>
  <si>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</si>
  <si>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</si>
  <si>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</si>
  <si>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</si>
  <si>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</si>
  <si>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</si>
  <si>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</si>
  <si>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</si>
  <si>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</si>
  <si>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</si>
  <si>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</si>
  <si>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</si>
  <si>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</si>
  <si>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</si>
  <si>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</si>
  <si>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</si>
  <si>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</si>
  <si>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</si>
  <si>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</si>
  <si>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</si>
  <si>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</si>
  <si>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</si>
  <si>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</si>
  <si>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</si>
  <si>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</si>
  <si>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</si>
  <si>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</si>
  <si>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</si>
  <si>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</si>
  <si>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</si>
  <si>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</si>
  <si>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</si>
  <si>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</si>
  <si>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</si>
  <si>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</si>
  <si>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</si>
  <si>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</si>
  <si>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</si>
  <si>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</si>
  <si>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</si>
  <si>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</si>
  <si>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</si>
  <si>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</si>
  <si>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</si>
  <si>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</si>
  <si>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</si>
  <si>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</si>
  <si>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</si>
  <si>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</si>
  <si>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</si>
  <si>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</si>
  <si>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</si>
  <si>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</si>
  <si>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</si>
  <si>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</si>
  <si>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</si>
  <si>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</si>
  <si>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</si>
  <si>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</si>
  <si>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</si>
  <si>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</si>
  <si>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</si>
  <si>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</si>
  <si>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</si>
  <si>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</si>
  <si>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</si>
  <si>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</si>
  <si>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</si>
  <si>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</si>
  <si>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</si>
  <si>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</si>
  <si>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</si>
  <si>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</si>
  <si>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</si>
  <si>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</si>
  <si>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</si>
  <si>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</si>
  <si>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</si>
  <si>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</si>
  <si>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</si>
  <si>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</si>
  <si>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</si>
  <si>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</si>
  <si>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</si>
  <si>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</si>
  <si>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</si>
  <si>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</si>
  <si>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</si>
  <si>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</si>
  <si>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</si>
  <si>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</si>
  <si>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</si>
  <si>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</si>
  <si>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</si>
  <si>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</si>
  <si>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</si>
  <si>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</si>
  <si>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</si>
  <si>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</si>
  <si>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</si>
  <si>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</si>
  <si>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</si>
  <si>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</si>
  <si>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</si>
  <si>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</si>
  <si>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</si>
  <si>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</si>
  <si>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</si>
  <si>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</si>
  <si>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</si>
  <si>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</si>
  <si>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</si>
  <si>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</si>
  <si>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</si>
  <si>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</si>
  <si>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</si>
  <si>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</si>
  <si>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</si>
  <si>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</si>
  <si>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</si>
  <si>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</si>
  <si>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</si>
  <si>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</si>
  <si>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</si>
  <si>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</si>
  <si>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</si>
  <si>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</si>
  <si>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</si>
  <si>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</si>
  <si>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</si>
  <si>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</si>
  <si>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</si>
  <si>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</si>
  <si>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</si>
  <si>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</si>
  <si>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</si>
  <si>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</si>
  <si>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</si>
  <si>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</si>
  <si>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</si>
  <si>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</si>
  <si>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</si>
  <si>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</si>
  <si>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</si>
  <si>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</si>
  <si>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</si>
  <si>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</si>
  <si>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</si>
  <si>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</si>
  <si>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</si>
  <si>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</si>
  <si>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</si>
  <si>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</si>
  <si>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</si>
  <si>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</si>
  <si>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</si>
  <si>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</si>
  <si>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</si>
  <si>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</si>
  <si>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</si>
  <si>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</si>
  <si>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</si>
  <si>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</si>
  <si>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</si>
  <si>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</si>
  <si>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</si>
  <si>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</si>
  <si>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</si>
  <si>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</si>
  <si>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</si>
  <si>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</si>
  <si>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</si>
  <si>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</si>
  <si>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</si>
  <si>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</si>
  <si>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</si>
  <si>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</si>
  <si>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</si>
  <si>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</si>
  <si>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</si>
  <si>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</si>
  <si>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</si>
  <si>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</si>
  <si>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</si>
  <si>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</si>
  <si>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</si>
  <si>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</si>
  <si>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</si>
  <si>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</si>
  <si>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</si>
  <si>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</si>
  <si>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</si>
  <si>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</si>
  <si>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</si>
  <si>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</si>
  <si>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</si>
  <si>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</si>
  <si>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</si>
  <si>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</si>
  <si>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</si>
  <si>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</si>
  <si>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</si>
  <si>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</si>
  <si>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</si>
  <si>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</si>
  <si>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</si>
  <si>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</si>
  <si>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</si>
  <si>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</si>
  <si>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</si>
  <si>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</si>
  <si>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</si>
  <si>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</si>
  <si>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</si>
  <si>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</si>
  <si>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</si>
  <si>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</si>
  <si>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</si>
  <si>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</si>
  <si>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</si>
  <si>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</si>
  <si>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</si>
  <si>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</si>
  <si>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</si>
  <si>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</si>
  <si>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</si>
  <si>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</si>
  <si>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</si>
  <si>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</si>
  <si>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</si>
  <si>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</si>
  <si>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</si>
  <si>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</si>
  <si>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</si>
  <si>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</si>
  <si>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</si>
  <si>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</si>
  <si>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</si>
  <si>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</si>
  <si>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</si>
  <si>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</si>
  <si>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</si>
  <si>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</si>
  <si>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</si>
  <si>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</si>
  <si>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</si>
  <si>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</si>
  <si>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</si>
  <si>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</si>
  <si>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</si>
  <si>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</si>
  <si>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</si>
  <si>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</si>
  <si>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</si>
  <si>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</si>
  <si>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</si>
  <si>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</si>
  <si>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</si>
  <si>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</si>
  <si>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</si>
  <si>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</si>
  <si>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</si>
  <si>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</si>
  <si>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</si>
  <si>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</si>
  <si>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</si>
  <si>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</si>
  <si>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</si>
  <si>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</si>
  <si>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</si>
  <si>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</si>
  <si>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</si>
  <si>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</si>
  <si>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</si>
  <si>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</si>
  <si>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</si>
  <si>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</si>
  <si>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</si>
  <si>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</si>
  <si>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</si>
  <si>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</si>
  <si>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</si>
  <si>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</si>
  <si>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</si>
  <si>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</si>
  <si>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</si>
  <si>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</si>
  <si>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</si>
  <si>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</si>
  <si>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</si>
  <si>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</si>
  <si>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</si>
  <si>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</si>
  <si>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</si>
  <si>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</si>
  <si>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</si>
  <si>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</si>
  <si>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</si>
  <si>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</si>
  <si>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</si>
  <si>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</si>
  <si>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</si>
  <si>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</si>
  <si>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</si>
  <si>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</si>
  <si>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</si>
  <si>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</si>
  <si>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</si>
  <si>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</si>
  <si>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</si>
  <si>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</si>
  <si>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</si>
  <si>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</si>
  <si>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</si>
  <si>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</si>
  <si>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</si>
  <si>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</si>
  <si>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</si>
  <si>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</si>
  <si>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</si>
  <si>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</si>
  <si>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</si>
  <si>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</si>
  <si>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</si>
  <si>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</si>
  <si>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</si>
  <si>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</si>
  <si>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</si>
  <si>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</si>
  <si>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</si>
  <si>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</si>
  <si>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</si>
  <si>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</si>
  <si>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</si>
  <si>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</si>
  <si>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</si>
  <si>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</si>
  <si>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</si>
  <si>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</si>
  <si>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</si>
  <si>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</si>
  <si>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</si>
  <si>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</si>
  <si>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</si>
  <si>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</si>
  <si>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</si>
  <si>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</si>
  <si>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</si>
  <si>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</si>
  <si>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</si>
  <si>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</si>
  <si>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</si>
  <si>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</si>
  <si>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</si>
  <si>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</si>
  <si>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</si>
  <si>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</si>
  <si>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</si>
  <si>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</si>
  <si>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</si>
  <si>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</si>
  <si>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</si>
  <si>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</si>
  <si>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</si>
  <si>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</si>
  <si>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</si>
  <si>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</si>
  <si>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</si>
  <si>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</si>
  <si>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</si>
  <si>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</si>
  <si>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</si>
  <si>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</si>
  <si>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</si>
  <si>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</si>
  <si>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</si>
  <si>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</si>
  <si>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</si>
  <si>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</si>
  <si>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</si>
  <si>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</si>
  <si>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</si>
  <si>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</si>
  <si>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</si>
  <si>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</si>
  <si>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</si>
  <si>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</si>
  <si>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</si>
  <si>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</si>
  <si>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</si>
  <si>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</si>
  <si>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</si>
  <si>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</si>
  <si>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</si>
  <si>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</si>
  <si>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</si>
  <si>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</si>
  <si>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</si>
  <si>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</si>
  <si>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</si>
  <si>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</si>
  <si>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</si>
  <si>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</si>
  <si>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</si>
  <si>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</si>
  <si>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</si>
  <si>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</si>
  <si>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</si>
  <si>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</si>
  <si>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</si>
  <si>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</si>
  <si>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</si>
  <si>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</si>
  <si>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</si>
  <si>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</si>
  <si>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</si>
  <si>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</si>
  <si>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</si>
  <si>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</si>
  <si>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</si>
  <si>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</si>
  <si>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</si>
  <si>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</si>
  <si>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</si>
  <si>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</si>
  <si>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</si>
  <si>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</si>
  <si>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</si>
  <si>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</si>
  <si>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</si>
  <si>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</si>
  <si>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</si>
  <si>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</si>
  <si>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</si>
  <si>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</si>
  <si>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</si>
  <si>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</si>
  <si>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</si>
  <si>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</si>
  <si>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</si>
  <si>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</si>
  <si>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</si>
  <si>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</si>
  <si>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</si>
  <si>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</si>
  <si>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</si>
  <si>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</si>
  <si>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</si>
  <si>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</si>
  <si>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</si>
  <si>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</si>
  <si>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</si>
  <si>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</si>
  <si>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</si>
  <si>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</si>
  <si>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</si>
  <si>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</si>
  <si>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</si>
  <si>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</si>
  <si>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</si>
  <si>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</si>
  <si>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</si>
  <si>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</si>
  <si>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</si>
  <si>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</si>
  <si>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</si>
  <si>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</si>
  <si>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</si>
  <si>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</si>
  <si>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</si>
  <si>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</si>
  <si>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</si>
  <si>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</si>
  <si>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</si>
  <si>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</si>
  <si>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</si>
  <si>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</si>
  <si>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</si>
  <si>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</si>
  <si>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</si>
  <si>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</si>
  <si>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</si>
  <si>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</si>
  <si>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</si>
  <si>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</si>
  <si>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</si>
  <si>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</si>
  <si>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</si>
  <si>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</si>
  <si>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</si>
  <si>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</si>
  <si>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</si>
  <si>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</si>
  <si>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</si>
  <si>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</si>
  <si>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</si>
  <si>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</si>
  <si>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</si>
  <si>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</si>
  <si>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</si>
  <si>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</si>
  <si>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</si>
  <si>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</si>
  <si>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</si>
  <si>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</si>
  <si>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</si>
  <si>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</si>
  <si>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</si>
  <si>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</si>
  <si>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</si>
  <si>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</si>
  <si>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</si>
  <si>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</si>
  <si>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</si>
  <si>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</si>
  <si>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</si>
  <si>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</si>
  <si>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</si>
  <si>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</si>
  <si>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</si>
  <si>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</si>
  <si>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</si>
  <si>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</si>
  <si>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</si>
  <si>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</si>
  <si>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</si>
  <si>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</si>
  <si>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</si>
  <si>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</si>
  <si>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</si>
  <si>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</si>
  <si>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</si>
  <si>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</si>
  <si>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</si>
  <si>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</si>
  <si>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</si>
  <si>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</si>
  <si>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</si>
  <si>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</si>
  <si>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</si>
  <si>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</si>
  <si>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</si>
  <si>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</si>
  <si>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</si>
  <si>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</si>
  <si>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</si>
  <si>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</si>
  <si>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</si>
  <si>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</si>
  <si>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</si>
  <si>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</si>
  <si>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</si>
  <si>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</si>
  <si>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</si>
  <si>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</si>
  <si>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</si>
  <si>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</si>
  <si>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</si>
  <si>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</si>
  <si>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</si>
  <si>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</si>
  <si>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</si>
  <si>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</si>
  <si>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</si>
  <si>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</si>
  <si>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</si>
  <si>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</si>
  <si>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</si>
  <si>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</si>
  <si>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</si>
  <si>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</si>
  <si>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</si>
  <si>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</si>
  <si>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</si>
  <si>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</si>
  <si>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</si>
  <si>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</si>
  <si>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</si>
  <si>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</si>
  <si>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</si>
  <si>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</si>
  <si>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</si>
  <si>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</si>
  <si>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</si>
  <si>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</si>
  <si>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</si>
  <si>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</si>
  <si>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</si>
  <si>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</si>
  <si>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</si>
  <si>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</si>
  <si>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</si>
  <si>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</si>
  <si>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</si>
  <si>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</si>
  <si>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</si>
  <si>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</si>
  <si>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</si>
  <si>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</si>
  <si>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</si>
  <si>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</si>
  <si>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</si>
  <si>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</si>
  <si>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</si>
  <si>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</si>
  <si>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</si>
  <si>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</si>
  <si>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</si>
  <si>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</si>
  <si>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</si>
  <si>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</si>
  <si>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</si>
  <si>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</si>
  <si>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</si>
  <si>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</si>
  <si>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</si>
  <si>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</si>
  <si>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</si>
  <si>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</si>
  <si>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</si>
  <si>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</si>
  <si>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</si>
  <si>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</si>
  <si>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</si>
  <si>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</si>
  <si>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</si>
  <si>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</si>
  <si>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</si>
  <si>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</si>
  <si>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</si>
  <si>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</si>
  <si>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</si>
  <si>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</si>
  <si>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</si>
  <si>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</si>
  <si>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</si>
  <si>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</si>
  <si>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</si>
  <si>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</si>
  <si>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</si>
  <si>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</si>
  <si>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</si>
  <si>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</si>
  <si>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</si>
  <si>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</si>
  <si>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</si>
  <si>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</si>
  <si>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</si>
  <si>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</si>
  <si>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</si>
  <si>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</si>
  <si>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</si>
  <si>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</si>
  <si>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</si>
  <si>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</si>
  <si>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</si>
  <si>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</si>
  <si>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</si>
  <si>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</si>
  <si>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</si>
  <si>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</si>
  <si>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</si>
  <si>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</si>
  <si>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</si>
  <si>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</si>
  <si>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</si>
  <si>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</si>
  <si>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</si>
  <si>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</si>
  <si>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</si>
  <si>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</si>
  <si>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</si>
  <si>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</si>
  <si>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</si>
  <si>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</si>
  <si>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</si>
  <si>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</si>
  <si>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</si>
  <si>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</si>
  <si>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</si>
  <si>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</si>
  <si>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</si>
  <si>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</si>
  <si>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</si>
  <si>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</si>
  <si>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</si>
  <si>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</si>
  <si>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</si>
  <si>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</si>
  <si>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</si>
  <si>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</si>
  <si>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</si>
  <si>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</si>
  <si>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</si>
  <si>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</si>
  <si>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</si>
  <si>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</si>
  <si>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</si>
  <si>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</si>
  <si>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</si>
  <si>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</si>
  <si>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</si>
  <si>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</si>
  <si>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</si>
  <si>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</si>
  <si>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</si>
  <si>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</si>
  <si>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</si>
  <si>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</si>
  <si>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</si>
  <si>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</si>
  <si>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</si>
  <si>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</si>
  <si>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</si>
  <si>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</si>
  <si>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</si>
  <si>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</si>
  <si>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</si>
  <si>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</si>
  <si>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</si>
  <si>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</si>
  <si>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</si>
  <si>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</si>
  <si>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</si>
  <si>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</si>
  <si>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</si>
  <si>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</si>
  <si>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</si>
  <si>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</si>
  <si>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</si>
  <si>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</si>
  <si>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</si>
  <si>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</si>
  <si>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</si>
  <si>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</si>
  <si>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</si>
  <si>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</si>
  <si>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</si>
  <si>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</si>
  <si>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</si>
  <si>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</si>
  <si>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</si>
  <si>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</si>
  <si>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</si>
  <si>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</si>
  <si>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</si>
  <si>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</si>
  <si>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</si>
  <si>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</si>
  <si>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</si>
  <si>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</si>
  <si>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</si>
  <si>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</si>
  <si>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</si>
  <si>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</si>
  <si>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</si>
  <si>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</si>
  <si>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</si>
  <si>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</si>
  <si>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</si>
  <si>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</si>
  <si>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</si>
  <si>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</si>
  <si>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</si>
  <si>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</si>
  <si>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</si>
  <si>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</si>
  <si>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</si>
  <si>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</si>
  <si>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</si>
  <si>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</si>
  <si>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</si>
  <si>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</si>
  <si>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</si>
  <si>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</si>
  <si>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</si>
  <si>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</si>
  <si>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</si>
  <si>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</si>
  <si>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</si>
  <si>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</si>
  <si>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</si>
  <si>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</si>
  <si>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</si>
  <si>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</si>
  <si>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</si>
  <si>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</si>
  <si>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</si>
  <si>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</si>
  <si>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</si>
  <si>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</si>
  <si>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</si>
  <si>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</si>
  <si>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</si>
  <si>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</si>
  <si>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</si>
  <si>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</si>
  <si>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</si>
  <si>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</si>
  <si>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</si>
  <si>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</si>
  <si>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</si>
  <si>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</si>
  <si>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</si>
  <si>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</si>
  <si>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</si>
  <si>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</si>
  <si>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</si>
  <si>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</si>
  <si>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</si>
  <si>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</si>
  <si>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</si>
  <si>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</si>
  <si>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</si>
  <si>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</si>
  <si>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</si>
  <si>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</si>
  <si>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</si>
  <si>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</si>
  <si>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</si>
  <si>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</si>
  <si>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</si>
  <si>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</si>
  <si>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</si>
  <si>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</si>
  <si>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</si>
  <si>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</si>
  <si>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</si>
  <si>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</si>
  <si>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</si>
  <si>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</si>
  <si>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</si>
  <si>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</si>
  <si>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</si>
  <si>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</si>
  <si>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</si>
  <si>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</si>
  <si>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</si>
  <si>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</si>
  <si>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</si>
  <si>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</si>
  <si>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</si>
  <si>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</si>
  <si>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</si>
  <si>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</si>
  <si>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</si>
  <si>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</si>
  <si>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</si>
  <si>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</si>
  <si>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</si>
  <si>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</si>
  <si>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</si>
  <si>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</si>
  <si>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</si>
  <si>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</si>
  <si>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</si>
  <si>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</si>
  <si>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</si>
  <si>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</si>
  <si>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</si>
  <si>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</si>
  <si>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</si>
  <si>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</si>
  <si>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</si>
  <si>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</si>
  <si>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</si>
  <si>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</si>
  <si>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</si>
  <si>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</si>
  <si>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</si>
  <si>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</si>
  <si>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</si>
  <si>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</si>
  <si>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</si>
  <si>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</si>
  <si>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</si>
  <si>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</si>
  <si>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</si>
  <si>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</si>
  <si>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</si>
  <si>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</si>
  <si>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</si>
  <si>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</si>
  <si>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</si>
  <si>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</si>
  <si>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</si>
  <si>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</si>
  <si>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</si>
  <si>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</si>
  <si>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</si>
  <si>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</si>
  <si>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</si>
  <si>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</si>
  <si>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</si>
  <si>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</si>
  <si>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</si>
  <si>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</si>
  <si>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</si>
  <si>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</si>
  <si>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</si>
  <si>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</si>
  <si>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</si>
  <si>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</si>
  <si>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</si>
  <si>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</si>
  <si>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</si>
  <si>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</si>
  <si>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</si>
  <si>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</si>
  <si>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</si>
  <si>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</si>
  <si>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</si>
  <si>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</si>
  <si>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</si>
  <si>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</si>
  <si>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</si>
  <si>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</si>
  <si>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</si>
  <si>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</si>
  <si>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</si>
  <si>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</si>
  <si>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</si>
  <si>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</si>
  <si>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</si>
  <si>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</si>
  <si>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</si>
  <si>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</si>
  <si>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</si>
  <si>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</si>
  <si>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</si>
  <si>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</si>
  <si>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</si>
  <si>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</si>
  <si>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</si>
  <si>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</si>
  <si>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</si>
  <si>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</si>
  <si>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</si>
  <si>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</si>
  <si>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</si>
  <si>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</si>
  <si>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</si>
  <si>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</si>
  <si>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</si>
  <si>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</si>
  <si>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</si>
  <si>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</si>
  <si>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</si>
  <si>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</si>
  <si>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</si>
  <si>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</si>
  <si>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</si>
  <si>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</si>
  <si>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</si>
  <si>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</si>
  <si>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</si>
  <si>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</si>
  <si>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</si>
  <si>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</si>
  <si>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</si>
  <si>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</si>
  <si>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</si>
  <si>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</si>
  <si>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</si>
  <si>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</si>
  <si>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</si>
  <si>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</si>
  <si>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</si>
  <si>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</si>
  <si>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</si>
  <si>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</si>
  <si>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</si>
  <si>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</si>
  <si>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</si>
  <si>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</si>
  <si>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</si>
  <si>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</si>
  <si>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</si>
  <si>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</si>
  <si>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</si>
  <si>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</si>
  <si>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</si>
  <si>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</si>
  <si>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</si>
  <si>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</si>
  <si>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</si>
  <si>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</si>
  <si>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</si>
  <si>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</si>
  <si>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</si>
  <si>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</si>
  <si>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</si>
  <si>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</si>
  <si>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</si>
  <si>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</si>
  <si>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</si>
  <si>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</si>
  <si>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</si>
  <si>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</si>
  <si>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</si>
  <si>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</si>
  <si>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</si>
  <si>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</si>
  <si>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</si>
  <si>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</si>
  <si>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</si>
  <si>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</si>
  <si>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</si>
  <si>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</si>
  <si>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</si>
  <si>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</si>
  <si>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</si>
  <si>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</si>
  <si>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</si>
  <si>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</si>
  <si>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</si>
  <si>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</si>
  <si>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</si>
  <si>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</si>
  <si>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</si>
  <si>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</si>
  <si>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</si>
  <si>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</si>
  <si>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</si>
  <si>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</si>
  <si>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</si>
  <si>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</si>
  <si>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</si>
  <si>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</si>
  <si>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</si>
  <si>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</si>
  <si>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</si>
  <si>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</si>
  <si>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</si>
  <si>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</si>
  <si>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</si>
  <si>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</si>
  <si>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</si>
  <si>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</si>
  <si>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</si>
  <si>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</si>
  <si>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</si>
  <si>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</si>
  <si>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</si>
  <si>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</si>
  <si>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</si>
  <si>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</si>
  <si>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</si>
  <si>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</si>
  <si>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</si>
  <si>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</si>
  <si>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</si>
  <si>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</si>
  <si>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</si>
  <si>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</si>
  <si>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</si>
  <si>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</si>
  <si>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</si>
  <si>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</si>
  <si>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</si>
  <si>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</si>
  <si>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</si>
  <si>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</si>
  <si>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</si>
  <si>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</si>
  <si>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</si>
  <si>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</si>
  <si>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</si>
  <si>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</si>
  <si>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</si>
  <si>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</si>
  <si>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</si>
  <si>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</si>
  <si>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</si>
  <si>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</si>
  <si>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</si>
  <si>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</si>
  <si>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</si>
  <si>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</si>
  <si>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</si>
  <si>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</si>
  <si>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</si>
  <si>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</si>
  <si>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</si>
  <si>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</si>
  <si>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</si>
  <si>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</si>
  <si>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</si>
  <si>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</si>
  <si>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</si>
  <si>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</si>
  <si>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</si>
  <si>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</si>
  <si>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</si>
  <si>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</si>
  <si>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</si>
  <si>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</si>
  <si>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</si>
  <si>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</si>
  <si>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</si>
  <si>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</si>
  <si>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</si>
  <si>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</si>
  <si>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</si>
  <si>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</si>
  <si>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</si>
  <si>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</si>
  <si>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</si>
  <si>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</si>
  <si>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</si>
  <si>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</si>
  <si>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</si>
  <si>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</si>
  <si>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</si>
  <si>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</si>
  <si>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</si>
  <si>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</si>
  <si>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</si>
  <si>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</si>
  <si>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</si>
  <si>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</si>
  <si>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</si>
  <si>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</si>
  <si>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</si>
  <si>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</si>
  <si>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</si>
  <si>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</si>
  <si>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</si>
  <si>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</si>
  <si>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</si>
  <si>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</si>
  <si>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</si>
  <si>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</si>
  <si>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</si>
  <si>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</si>
  <si>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</si>
  <si>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</si>
  <si>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</si>
  <si>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</si>
  <si>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</si>
  <si>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</si>
  <si>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</si>
  <si>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</si>
  <si>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</si>
  <si>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</si>
  <si>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</si>
  <si>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</si>
  <si>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</si>
  <si>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</si>
  <si>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</si>
  <si>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</si>
  <si>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</si>
  <si>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</si>
  <si>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</si>
  <si>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</si>
  <si>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</si>
  <si>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</si>
  <si>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</si>
  <si>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</si>
  <si>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</si>
  <si>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</si>
  <si>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</si>
  <si>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</si>
  <si>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</si>
  <si>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</si>
  <si>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</si>
  <si>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</si>
  <si>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</si>
  <si>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</si>
  <si>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</si>
  <si>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</si>
  <si>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</si>
  <si>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</si>
  <si>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</si>
  <si>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</si>
  <si>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</si>
  <si>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</si>
  <si>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</si>
  <si>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</si>
  <si>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</si>
  <si>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</si>
  <si>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</si>
  <si>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</si>
  <si>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</si>
  <si>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</si>
  <si>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</si>
  <si>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</si>
  <si>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</si>
  <si>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</si>
  <si>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</si>
  <si>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</si>
  <si>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</si>
  <si>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</si>
  <si>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</si>
  <si>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</si>
  <si>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</si>
  <si>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</si>
  <si>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</si>
  <si>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</si>
  <si>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</si>
  <si>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</si>
  <si>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</si>
  <si>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</si>
  <si>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</si>
  <si>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</si>
  <si>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</si>
  <si>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</si>
  <si>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</si>
  <si>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</si>
  <si>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</si>
  <si>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</si>
  <si>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</si>
  <si>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</si>
  <si>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</si>
  <si>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</si>
  <si>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</si>
  <si>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</si>
  <si>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</si>
  <si>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</si>
  <si>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</si>
  <si>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</si>
  <si>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</si>
  <si>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</si>
  <si>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</si>
  <si>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</si>
  <si>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</si>
  <si>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</si>
  <si>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</si>
  <si>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</si>
  <si>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</si>
  <si>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</si>
  <si>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</si>
  <si>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</si>
  <si>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</si>
  <si>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</si>
  <si>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</si>
  <si>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</si>
  <si>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</si>
  <si>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</si>
  <si>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</si>
  <si>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</si>
  <si>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</si>
  <si>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</si>
  <si>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</si>
  <si>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</si>
  <si>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</si>
  <si>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</si>
  <si>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</si>
  <si>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</si>
  <si>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</si>
  <si>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</si>
  <si>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</si>
  <si>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</si>
  <si>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</si>
  <si>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</si>
  <si>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</si>
  <si>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</si>
  <si>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</si>
  <si>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</si>
  <si>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</si>
  <si>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</si>
  <si>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</si>
  <si>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</si>
  <si>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</si>
  <si>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</si>
  <si>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</si>
  <si>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</si>
  <si>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</si>
  <si>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</si>
  <si>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</si>
  <si>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</si>
  <si>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</si>
  <si>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</si>
  <si>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</si>
  <si>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</si>
  <si>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</si>
  <si>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</si>
  <si>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</si>
  <si>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</si>
  <si>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</si>
  <si>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</si>
  <si>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</si>
  <si>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</si>
  <si>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</si>
  <si>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</si>
  <si>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</si>
  <si>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</si>
  <si>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</si>
  <si>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</si>
  <si>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</si>
  <si>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</si>
  <si>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</si>
  <si>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</si>
  <si>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</si>
  <si>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</si>
  <si>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</si>
  <si>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</si>
  <si>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</si>
  <si>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</si>
  <si>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</si>
  <si>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</si>
  <si>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</si>
  <si>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</si>
  <si>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</si>
  <si>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</si>
  <si>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</si>
  <si>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</si>
  <si>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</si>
  <si>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</si>
  <si>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</si>
  <si>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</si>
  <si>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</si>
  <si>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</si>
  <si>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</si>
  <si>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</si>
  <si>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</si>
  <si>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</si>
  <si>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</si>
  <si>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</si>
  <si>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</si>
  <si>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</si>
  <si>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</si>
  <si>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</si>
  <si>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</si>
  <si>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</si>
  <si>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</si>
  <si>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</si>
  <si>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</si>
  <si>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</si>
  <si>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</si>
  <si>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</si>
  <si>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</si>
  <si>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</si>
  <si>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</si>
  <si>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</si>
  <si>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</si>
  <si>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</si>
  <si>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</si>
  <si>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</si>
  <si>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</si>
  <si>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</si>
  <si>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</si>
  <si>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</si>
  <si>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</si>
  <si>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</si>
  <si>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</si>
  <si>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</si>
  <si>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</si>
  <si>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</si>
  <si>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</si>
  <si>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</si>
  <si>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</si>
  <si>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</si>
  <si>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</si>
  <si>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</si>
  <si>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</si>
  <si>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</si>
  <si>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</si>
  <si>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</si>
  <si>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</si>
  <si>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</si>
  <si>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</si>
  <si>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</si>
  <si>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</si>
  <si>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</si>
  <si>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</si>
  <si>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</si>
  <si>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</si>
  <si>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</si>
  <si>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</si>
  <si>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</si>
  <si>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</si>
  <si>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</si>
  <si>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</si>
  <si>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</si>
  <si>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</si>
  <si>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</si>
  <si>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</si>
  <si>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</si>
  <si>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</si>
  <si>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</si>
  <si>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</si>
  <si>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</si>
  <si>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</si>
  <si>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</si>
  <si>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</si>
  <si>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</si>
  <si>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</si>
  <si>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</si>
  <si>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</si>
  <si>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</si>
  <si>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</si>
  <si>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</si>
  <si>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</si>
  <si>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</si>
  <si>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</si>
  <si>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</si>
  <si>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</si>
  <si>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</si>
  <si>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</si>
  <si>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</si>
  <si>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</si>
  <si>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</si>
  <si>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</si>
  <si>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</si>
  <si>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</si>
  <si>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</si>
  <si>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</si>
  <si>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</si>
  <si>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</si>
  <si>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</si>
  <si>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</si>
  <si>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</si>
  <si>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</si>
  <si>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</si>
  <si>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</si>
  <si>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</si>
  <si>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</si>
  <si>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</si>
  <si>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</si>
  <si>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</si>
  <si>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</si>
  <si>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</si>
  <si>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</si>
  <si>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</si>
  <si>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</si>
  <si>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</si>
  <si>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</si>
  <si>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</si>
  <si>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</si>
  <si>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</si>
  <si>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</si>
  <si>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</si>
  <si>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</si>
  <si>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</si>
  <si>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</si>
  <si>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</si>
  <si>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</si>
  <si>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</si>
  <si>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</si>
  <si>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</si>
  <si>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</si>
  <si>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</si>
  <si>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</si>
  <si>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</si>
  <si>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</si>
  <si>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</si>
  <si>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</si>
  <si>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</si>
  <si>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</si>
  <si>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</si>
  <si>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</si>
  <si>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</si>
  <si>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</si>
  <si>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</si>
  <si>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</si>
  <si>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</si>
  <si>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</si>
  <si>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</si>
  <si>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</si>
  <si>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</si>
  <si>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</si>
  <si>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</si>
  <si>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</si>
  <si>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</si>
  <si>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</si>
  <si>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</si>
  <si>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</si>
  <si>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</si>
  <si>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</si>
  <si>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</si>
  <si>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</si>
  <si>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</si>
  <si>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</si>
  <si>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</si>
  <si>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</si>
  <si>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</si>
  <si>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</si>
  <si>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</si>
  <si>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</si>
  <si>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</si>
  <si>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</si>
  <si>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</si>
  <si>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</si>
  <si>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</si>
  <si>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</si>
  <si>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</si>
  <si>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</si>
  <si>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</si>
  <si>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</si>
  <si>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</si>
  <si>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</si>
  <si>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</si>
  <si>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</si>
  <si>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</si>
  <si>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</si>
  <si>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</si>
  <si>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</si>
  <si>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</si>
  <si>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</si>
  <si>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</si>
  <si>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</si>
  <si>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</si>
  <si>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</si>
  <si>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</si>
  <si>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</si>
  <si>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</si>
  <si>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</si>
  <si>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</si>
  <si>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</si>
  <si>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</si>
  <si>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</si>
  <si>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</si>
  <si>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</si>
  <si>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</si>
  <si>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</si>
  <si>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</si>
  <si>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</si>
  <si>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</si>
  <si>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</si>
  <si>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</si>
  <si>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</si>
  <si>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</si>
  <si>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</si>
  <si>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</si>
  <si>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</si>
  <si>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</si>
  <si>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</si>
  <si>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</si>
  <si>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</si>
  <si>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</si>
  <si>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</si>
  <si>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</si>
  <si>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</si>
  <si>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</si>
  <si>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</si>
  <si>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</si>
  <si>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</si>
  <si>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</si>
  <si>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</si>
  <si>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</si>
  <si>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</si>
  <si>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</si>
  <si>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</si>
  <si>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</si>
  <si>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</si>
  <si>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</si>
  <si>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</si>
  <si>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</si>
  <si>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</si>
  <si>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</si>
  <si>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</si>
  <si>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</si>
  <si>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</si>
  <si>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</si>
  <si>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</si>
  <si>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</si>
  <si>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</si>
  <si>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</si>
  <si>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</si>
  <si>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</si>
  <si>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</si>
  <si>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</si>
  <si>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</si>
  <si>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</si>
  <si>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</si>
  <si>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</si>
  <si>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</si>
  <si>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</si>
  <si>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</si>
  <si>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</si>
  <si>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</si>
  <si>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</si>
  <si>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</si>
  <si>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</si>
  <si>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</si>
  <si>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</si>
  <si>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</si>
  <si>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</si>
  <si>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</si>
  <si>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</si>
  <si>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</si>
  <si>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</si>
  <si>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</si>
  <si>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</si>
  <si>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</si>
  <si>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</si>
  <si>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</si>
  <si>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</si>
  <si>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</si>
  <si>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</si>
  <si>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</si>
  <si>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</si>
  <si>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</si>
  <si>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</si>
  <si>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</si>
  <si>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</si>
  <si>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</si>
  <si>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</si>
  <si>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</si>
  <si>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</si>
  <si>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</si>
  <si>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</si>
  <si>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</si>
  <si>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</si>
  <si>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</si>
  <si>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</si>
  <si>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</si>
  <si>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</si>
  <si>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</si>
  <si>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</si>
  <si>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</si>
  <si>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</si>
  <si>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</si>
  <si>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</si>
  <si>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</si>
  <si>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</si>
  <si>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</si>
  <si>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</si>
  <si>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</si>
  <si>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</si>
  <si>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</si>
  <si>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</si>
  <si>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</si>
  <si>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</si>
  <si>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</si>
  <si>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</si>
  <si>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</si>
  <si>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</si>
  <si>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</si>
  <si>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</si>
  <si>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</si>
  <si>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</si>
  <si>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</si>
  <si>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</si>
  <si>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</si>
  <si>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</si>
  <si>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</si>
  <si>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</si>
  <si>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</si>
  <si>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</si>
  <si>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</si>
  <si>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</si>
  <si>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</si>
  <si>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</si>
  <si>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</si>
  <si>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</si>
  <si>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</si>
  <si>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</si>
  <si>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</si>
  <si>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</si>
  <si>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</si>
  <si>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</si>
  <si>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</si>
  <si>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</si>
  <si>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</si>
  <si>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</si>
  <si>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</si>
  <si>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</si>
  <si>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</si>
  <si>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</si>
  <si>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</si>
  <si>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</si>
  <si>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</si>
  <si>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</si>
  <si>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</si>
  <si>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</si>
  <si>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</si>
  <si>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</si>
  <si>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</si>
  <si>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</si>
  <si>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</si>
  <si>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</si>
  <si>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</si>
  <si>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</si>
  <si>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</si>
  <si>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</si>
  <si>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</si>
  <si>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</si>
  <si>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</si>
  <si>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</si>
  <si>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</si>
  <si>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</si>
  <si>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</si>
  <si>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</si>
  <si>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</si>
  <si>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</si>
  <si>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</si>
  <si>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</si>
  <si>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</si>
  <si>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</si>
  <si>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</si>
  <si>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</si>
  <si>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</si>
  <si>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</si>
  <si>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</si>
  <si>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</si>
  <si>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</si>
  <si>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</si>
  <si>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</si>
  <si>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</si>
  <si>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</si>
  <si>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</si>
  <si>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</si>
  <si>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</si>
  <si>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</si>
  <si>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</si>
  <si>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</si>
  <si>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</si>
  <si>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</si>
  <si>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</si>
  <si>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</si>
  <si>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</si>
  <si>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</si>
  <si>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</si>
  <si>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</si>
  <si>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</si>
  <si>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</si>
  <si>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</si>
  <si>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</si>
  <si>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</si>
  <si>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</si>
  <si>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</si>
  <si>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</si>
  <si>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</si>
  <si>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</si>
  <si>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</si>
  <si>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</si>
  <si>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</si>
  <si>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</si>
  <si>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</si>
  <si>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</si>
  <si>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</si>
  <si>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</si>
  <si>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</si>
  <si>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</si>
  <si>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</si>
  <si>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</si>
  <si>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</si>
  <si>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</si>
  <si>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</si>
  <si>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</si>
  <si>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</si>
  <si>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</si>
  <si>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</si>
  <si>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</si>
  <si>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</si>
  <si>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</si>
  <si>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</si>
  <si>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</si>
  <si>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</si>
  <si>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</si>
  <si>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</si>
  <si>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</si>
  <si>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</si>
  <si>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</si>
  <si>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</si>
  <si>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</si>
  <si>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</si>
  <si>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</si>
  <si>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</si>
  <si>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</si>
  <si>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</si>
  <si>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</si>
  <si>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</si>
  <si>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</si>
  <si>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</si>
  <si>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</si>
  <si>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</si>
  <si>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</si>
  <si>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</si>
  <si>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</si>
  <si>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</si>
  <si>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</si>
  <si>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</si>
  <si>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</si>
  <si>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</si>
  <si>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</si>
  <si>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</si>
  <si>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</si>
  <si>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</si>
  <si>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</si>
  <si>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</si>
  <si>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</si>
  <si>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</si>
  <si>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</si>
  <si>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</si>
  <si>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</si>
  <si>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</si>
  <si>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</si>
  <si>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</si>
  <si>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</si>
  <si>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</si>
  <si>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</si>
  <si>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</si>
  <si>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</si>
  <si>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</si>
  <si>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</si>
  <si>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</si>
  <si>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</si>
  <si>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</si>
  <si>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</si>
  <si>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</si>
  <si>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</si>
  <si>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</si>
  <si>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</si>
  <si>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</si>
  <si>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</si>
  <si>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</si>
  <si>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</si>
  <si>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</si>
  <si>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</si>
  <si>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</si>
  <si>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</si>
  <si>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</si>
  <si>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</si>
  <si>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</si>
  <si>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</si>
  <si>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</si>
  <si>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</si>
  <si>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</si>
  <si>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</si>
  <si>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</si>
  <si>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</si>
  <si>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</si>
  <si>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</si>
  <si>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</si>
  <si>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</si>
  <si>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</si>
  <si>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</si>
  <si>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</si>
  <si>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</si>
  <si>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</si>
  <si>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</si>
  <si>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</si>
  <si>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</si>
  <si>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</si>
  <si>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</si>
  <si>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</si>
  <si>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</si>
  <si>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</si>
  <si>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</si>
  <si>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</si>
  <si>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</si>
  <si>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</si>
  <si>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</si>
  <si>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</si>
  <si>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</si>
  <si>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</si>
  <si>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</si>
  <si>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</si>
  <si>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</si>
  <si>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</si>
  <si>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</si>
  <si>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</si>
  <si>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</si>
  <si>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</si>
  <si>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</si>
  <si>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</si>
  <si>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</si>
  <si>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</si>
  <si>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</si>
  <si>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</si>
  <si>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</si>
  <si>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</si>
  <si>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</si>
  <si>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</si>
  <si>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</si>
  <si>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</si>
  <si>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</si>
  <si>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</si>
  <si>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</si>
  <si>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</si>
  <si>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</si>
  <si>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</si>
  <si>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</si>
  <si>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</si>
  <si>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</si>
  <si>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</si>
  <si>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</si>
  <si>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</si>
  <si>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</si>
  <si>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</si>
  <si>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</si>
  <si>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</si>
  <si>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</si>
  <si>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</si>
  <si>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</si>
  <si>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</si>
  <si>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</si>
  <si>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</si>
  <si>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</si>
  <si>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</si>
  <si>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</si>
  <si>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</si>
  <si>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</si>
  <si>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</si>
  <si>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</si>
  <si>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</si>
  <si>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</si>
  <si>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</si>
  <si>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</si>
  <si>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</si>
  <si>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</si>
  <si>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</si>
  <si>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</si>
  <si>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</si>
  <si>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</si>
  <si>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</si>
  <si>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</si>
  <si>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</si>
  <si>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</si>
  <si>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</si>
  <si>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</si>
  <si>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</si>
  <si>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</si>
  <si>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</si>
  <si>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</si>
  <si>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</si>
  <si>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</si>
  <si>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</si>
  <si>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</si>
  <si>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</si>
  <si>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</si>
  <si>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</si>
  <si>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</si>
  <si>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</si>
  <si>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</si>
  <si>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</si>
  <si>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</si>
  <si>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</si>
  <si>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</si>
  <si>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</si>
  <si>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</si>
  <si>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</si>
  <si>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</si>
  <si>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</si>
  <si>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</si>
  <si>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</si>
  <si>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</si>
  <si>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</si>
  <si>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</si>
  <si>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</si>
  <si>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</si>
  <si>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</si>
  <si>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</si>
  <si>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</si>
  <si>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</si>
  <si>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</si>
  <si>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</si>
  <si>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</si>
  <si>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</si>
  <si>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</si>
  <si>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</si>
  <si>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</si>
  <si>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</si>
  <si>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</si>
  <si>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</si>
  <si>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</si>
  <si>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</si>
  <si>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</si>
  <si>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</si>
  <si>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</si>
  <si>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</si>
  <si>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</si>
  <si>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</si>
  <si>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</si>
  <si>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</si>
  <si>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</si>
  <si>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</si>
  <si>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</si>
  <si>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</si>
  <si>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</si>
  <si>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</si>
  <si>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</si>
  <si>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</si>
  <si>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</si>
  <si>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</si>
  <si>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</si>
  <si>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</si>
  <si>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</si>
  <si>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</si>
  <si>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</si>
  <si>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</si>
  <si>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</si>
  <si>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</si>
  <si>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</si>
  <si>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</si>
  <si>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</si>
  <si>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</si>
  <si>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</si>
  <si>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</si>
  <si>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</si>
  <si>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</si>
  <si>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</si>
  <si>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</si>
  <si>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</si>
  <si>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</si>
  <si>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</si>
  <si>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</si>
  <si>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</si>
  <si>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</si>
  <si>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</si>
  <si>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</si>
  <si>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</si>
  <si>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</si>
  <si>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</si>
  <si>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</si>
  <si>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</si>
  <si>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</si>
  <si>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</si>
  <si>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</si>
  <si>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</si>
  <si>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</si>
  <si>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</si>
  <si>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</si>
  <si>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</si>
  <si>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</si>
  <si>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</si>
  <si>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</si>
  <si>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</si>
  <si>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</si>
  <si>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</si>
  <si>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</si>
  <si>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</si>
  <si>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</si>
  <si>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</si>
  <si>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</si>
  <si>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</si>
  <si>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</si>
  <si>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</si>
  <si>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</si>
  <si>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</si>
  <si>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</si>
  <si>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</si>
  <si>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</si>
  <si>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</si>
  <si>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</si>
  <si>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</si>
  <si>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</si>
  <si>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</si>
  <si>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</si>
  <si>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</si>
  <si>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</si>
  <si>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</si>
  <si>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</si>
  <si>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</si>
  <si>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</si>
  <si>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</si>
  <si>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</si>
  <si>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</si>
  <si>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</si>
  <si>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</si>
  <si>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</si>
  <si>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</si>
  <si>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</si>
  <si>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</si>
  <si>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</si>
  <si>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</si>
  <si>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</si>
  <si>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</si>
  <si>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</si>
  <si>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</si>
  <si>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</si>
  <si>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</si>
  <si>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</si>
  <si>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</si>
  <si>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</si>
  <si>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</si>
  <si>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</si>
  <si>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</si>
  <si>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</si>
  <si>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</si>
  <si>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</si>
  <si>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</si>
  <si>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</si>
  <si>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</si>
  <si>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</si>
  <si>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</si>
  <si>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</si>
  <si>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</si>
  <si>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</si>
  <si>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</si>
  <si>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</si>
  <si>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</si>
  <si>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</si>
  <si>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</si>
  <si>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</si>
  <si>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</si>
  <si>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</si>
  <si>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</si>
  <si>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</si>
  <si>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</si>
  <si>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</si>
  <si>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</si>
  <si>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</si>
  <si>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</si>
  <si>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</si>
  <si>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</si>
  <si>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</si>
  <si>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</si>
  <si>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</si>
  <si>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</si>
  <si>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</si>
  <si>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</si>
  <si>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</si>
  <si>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</si>
  <si>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</si>
  <si>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</si>
  <si>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</si>
  <si>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</si>
  <si>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</si>
  <si>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</si>
  <si>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</si>
  <si>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</si>
  <si>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</si>
  <si>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</si>
  <si>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</si>
  <si>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</si>
  <si>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</si>
  <si>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</si>
  <si>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</si>
  <si>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</si>
  <si>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</si>
  <si>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</si>
  <si>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</si>
  <si>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</si>
  <si>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</si>
  <si>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</si>
  <si>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</si>
  <si>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</si>
  <si>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</si>
  <si>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</si>
  <si>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</si>
  <si>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</si>
  <si>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</si>
  <si>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</si>
  <si>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</si>
  <si>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</si>
  <si>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</si>
  <si>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</si>
  <si>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</si>
  <si>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</si>
  <si>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</si>
  <si>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</si>
  <si>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</si>
  <si>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</si>
  <si>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</si>
  <si>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</si>
  <si>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</si>
  <si>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</si>
  <si>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</si>
  <si>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</si>
  <si>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</si>
  <si>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</si>
  <si>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</si>
  <si>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</si>
  <si>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</si>
  <si>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</si>
  <si>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</si>
  <si>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</si>
  <si>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</si>
  <si>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</si>
  <si>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</si>
  <si>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</si>
  <si>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</si>
  <si>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</si>
  <si>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</si>
  <si>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</si>
  <si>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</si>
  <si>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</si>
  <si>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</si>
  <si>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</si>
  <si>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</si>
  <si>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</si>
  <si>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</si>
  <si>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</si>
  <si>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</si>
  <si>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</si>
  <si>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</si>
  <si>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</si>
  <si>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</si>
  <si>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</si>
  <si>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</si>
  <si>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</si>
  <si>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</si>
  <si>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</si>
  <si>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</si>
  <si>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</si>
  <si>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</si>
  <si>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</si>
  <si>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</si>
  <si>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</si>
  <si>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</si>
  <si>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</si>
  <si>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</si>
  <si>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</si>
  <si>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</si>
  <si>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</si>
  <si>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</si>
  <si>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</si>
  <si>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</si>
  <si>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</si>
  <si>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</si>
  <si>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</si>
  <si>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</si>
  <si>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</si>
  <si>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</si>
  <si>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</si>
  <si>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</si>
  <si>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</si>
  <si>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</si>
  <si>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</si>
  <si>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</si>
  <si>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</si>
  <si>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</si>
  <si>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</si>
  <si>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</si>
  <si>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</si>
  <si>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</si>
  <si>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</si>
  <si>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</si>
  <si>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</si>
  <si>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</si>
  <si>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</si>
  <si>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</si>
  <si>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</si>
  <si>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</si>
  <si>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</si>
  <si>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</si>
  <si>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</si>
  <si>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</si>
  <si>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</si>
  <si>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</si>
  <si>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</si>
  <si>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</si>
  <si>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</si>
  <si>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</si>
  <si>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</si>
  <si>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</si>
  <si>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</si>
  <si>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</si>
  <si>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</si>
  <si>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</si>
  <si>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</si>
  <si>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</si>
  <si>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</si>
  <si>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</si>
  <si>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</si>
  <si>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</si>
  <si>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</si>
  <si>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</si>
  <si>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</si>
  <si>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</si>
  <si>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</si>
  <si>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</si>
  <si>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</si>
  <si>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</si>
  <si>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</si>
  <si>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</si>
  <si>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</si>
  <si>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</si>
  <si>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</si>
  <si>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</si>
  <si>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</si>
  <si>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</si>
  <si>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</si>
  <si>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</si>
  <si>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</si>
  <si>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</si>
  <si>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</si>
  <si>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</si>
  <si>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</si>
  <si>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</si>
  <si>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</si>
  <si>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</si>
  <si>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</si>
  <si>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</si>
  <si>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</si>
  <si>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</si>
  <si>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</si>
  <si>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</si>
  <si>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</si>
  <si>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</si>
  <si>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</si>
  <si>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</si>
  <si>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</si>
  <si>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</si>
  <si>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</si>
  <si>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</si>
  <si>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</si>
  <si>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</si>
  <si>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</si>
  <si>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</si>
  <si>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</si>
  <si>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</si>
  <si>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</si>
  <si>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</si>
  <si>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</si>
  <si>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</si>
  <si>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</si>
  <si>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</si>
  <si>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</si>
  <si>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</si>
  <si>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</si>
  <si>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</si>
  <si>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</si>
  <si>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</si>
  <si>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</si>
  <si>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</si>
  <si>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</si>
  <si>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</si>
  <si>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</si>
  <si>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</si>
  <si>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</si>
  <si>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</si>
  <si>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</si>
  <si>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</si>
  <si>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</si>
  <si>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</si>
  <si>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</si>
  <si>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</si>
  <si>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</si>
  <si>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</si>
  <si>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</si>
  <si>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</si>
  <si>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</si>
  <si>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</si>
  <si>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</si>
  <si>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</si>
  <si>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</si>
  <si>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</si>
  <si>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</si>
  <si>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</si>
  <si>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</si>
  <si>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</si>
  <si>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</si>
  <si>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</si>
  <si>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</si>
  <si>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</si>
  <si>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</si>
  <si>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</si>
  <si>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</si>
  <si>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</si>
  <si>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</si>
  <si>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</si>
  <si>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</si>
  <si>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</si>
  <si>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</si>
  <si>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</si>
  <si>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</si>
  <si>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</si>
  <si>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</si>
  <si>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</si>
  <si>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</si>
  <si>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</si>
  <si>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</si>
  <si>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</si>
  <si>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</si>
  <si>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</si>
  <si>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</si>
  <si>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</si>
  <si>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</si>
  <si>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</si>
  <si>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</si>
  <si>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</si>
  <si>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</si>
  <si>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</si>
  <si>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</si>
  <si>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</si>
  <si>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</si>
  <si>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</si>
  <si>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</si>
  <si>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</si>
  <si>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</si>
  <si>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</si>
  <si>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</si>
  <si>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</si>
  <si>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</si>
  <si>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</si>
  <si>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</si>
  <si>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</si>
  <si>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</si>
  <si>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</si>
  <si>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</si>
  <si>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</si>
  <si>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</si>
  <si>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</si>
  <si>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</si>
  <si>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</si>
  <si>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</si>
  <si>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</si>
  <si>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</si>
  <si>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</si>
  <si>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</si>
  <si>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</si>
  <si>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</si>
  <si>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</si>
  <si>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</si>
  <si>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</si>
  <si>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</si>
  <si>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</si>
  <si>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</si>
  <si>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</si>
  <si>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</si>
  <si>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</si>
  <si>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</si>
  <si>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</si>
  <si>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</si>
  <si>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</si>
  <si>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</si>
  <si>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</si>
  <si>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</si>
  <si>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</si>
  <si>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</si>
  <si>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</si>
  <si>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</si>
  <si>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</si>
  <si>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</si>
  <si>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</si>
  <si>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</si>
  <si>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</si>
  <si>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</si>
  <si>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</si>
  <si>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</si>
  <si>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</si>
  <si>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</si>
  <si>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</si>
  <si>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</si>
  <si>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</si>
  <si>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</si>
  <si>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</si>
  <si>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</si>
  <si>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</si>
  <si>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</si>
  <si>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</si>
  <si>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</si>
  <si>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</si>
  <si>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</si>
  <si>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</si>
  <si>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</si>
  <si>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</si>
  <si>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</si>
  <si>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</si>
  <si>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</si>
  <si>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</si>
  <si>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</si>
  <si>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</si>
  <si>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</si>
  <si>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</si>
  <si>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</si>
  <si>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</si>
  <si>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</si>
  <si>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</si>
  <si>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</si>
  <si>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</si>
  <si>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</si>
  <si>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</si>
  <si>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</si>
  <si>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</si>
  <si>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</si>
  <si>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</si>
  <si>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</si>
  <si>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</si>
  <si>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</si>
  <si>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</si>
  <si>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</si>
  <si>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</si>
  <si>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</si>
  <si>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</si>
  <si>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</si>
  <si>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</si>
  <si>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</si>
  <si>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</si>
  <si>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</si>
  <si>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</si>
  <si>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</si>
  <si>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</si>
  <si>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</si>
  <si>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</si>
  <si>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</si>
  <si>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</si>
  <si>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</si>
  <si>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</si>
  <si>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</si>
  <si>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</si>
  <si>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</si>
  <si>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</si>
  <si>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</si>
  <si>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</si>
  <si>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</si>
  <si>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</si>
  <si>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</si>
  <si>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</si>
  <si>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</si>
  <si>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</si>
  <si>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</si>
  <si>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</si>
  <si>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</si>
  <si>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</si>
  <si>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</si>
  <si>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</si>
  <si>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</si>
  <si>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</si>
  <si>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</si>
  <si>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</si>
  <si>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</si>
  <si>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</si>
  <si>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</si>
  <si>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</si>
  <si>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</si>
  <si>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</si>
  <si>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</si>
  <si>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</si>
  <si>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</si>
  <si>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</si>
  <si>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</si>
  <si>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</si>
  <si>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</si>
  <si>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</si>
  <si>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</si>
  <si>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</si>
  <si>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</si>
  <si>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</si>
  <si>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</si>
  <si>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</si>
  <si>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</si>
  <si>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</si>
  <si>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</si>
  <si>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</si>
  <si>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</si>
  <si>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</si>
  <si>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</si>
  <si>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</si>
  <si>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</si>
  <si>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</si>
  <si>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</si>
  <si>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</si>
  <si>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</si>
  <si>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</si>
  <si>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</si>
  <si>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</si>
  <si>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</si>
  <si>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</si>
  <si>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</si>
  <si>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</si>
  <si>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</si>
  <si>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</si>
  <si>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</si>
  <si>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</si>
  <si>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</si>
  <si>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</si>
  <si>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</si>
  <si>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</si>
  <si>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</si>
  <si>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</si>
  <si>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</si>
  <si>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</si>
  <si>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</si>
  <si>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</si>
  <si>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</si>
  <si>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</si>
  <si>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</si>
  <si>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</si>
  <si>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</si>
  <si>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</si>
  <si>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</si>
  <si>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</si>
  <si>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</si>
  <si>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</si>
  <si>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</si>
  <si>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</si>
  <si>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</si>
  <si>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</si>
  <si>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</si>
  <si>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</si>
  <si>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</si>
  <si>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</si>
  <si>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</si>
  <si>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</si>
  <si>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</si>
  <si>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</si>
  <si>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</si>
  <si>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</si>
  <si>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</si>
  <si>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</si>
  <si>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</si>
  <si>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</si>
  <si>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</si>
  <si>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</si>
  <si>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</si>
  <si>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</si>
  <si>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</si>
  <si>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</si>
  <si>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</si>
  <si>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</si>
  <si>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</si>
  <si>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</si>
  <si>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</si>
  <si>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</si>
  <si>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</si>
  <si>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</si>
  <si>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</si>
  <si>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</si>
  <si>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</si>
  <si>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</si>
  <si>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PEPSSI_MAC_RUN  1010 MACRO=EXEC</t>
  </si>
  <si>
    <t>PEPSSI_MAC_RUN  110  MACRO=EXEC</t>
  </si>
  <si>
    <t>009 - ?</t>
  </si>
  <si>
    <t>010 - Add pep_ssf Worksheet to calculate bits per acquisition second DLDVs from MET and PB data type lookups</t>
  </si>
  <si>
    <t>011 - More samples and improved formatting in  pep_ssf Worksheet</t>
  </si>
  <si>
    <t>Right-Click to Validate</t>
  </si>
  <si>
    <t>←MET Range</t>
  </si>
  <si>
    <t>B14:B82</t>
  </si>
  <si>
    <t>←PB data types</t>
  </si>
  <si>
    <t>AB13:BF13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</si>
</sst>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73">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s>
  <fills count="75">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s>
  <borders count="3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516">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0" fillId="0" borderId="0" xfId="0" applyNumberFormat="1" applyFont="1" applyAlignment="1">
      <alignment horizontal="right"/>
    </xf>
    <xf numFmtId="0" fontId="70" fillId="0" borderId="0" xfId="0" applyFont="1"/>
    <xf numFmtId="0" fontId="3" fillId="0" borderId="0" xfId="0" applyFont="1" applyAlignment="1">
      <alignment horizontal="center" wrapText="1"/>
    </xf>
    <xf numFmtId="1" fontId="3" fillId="0" borderId="0" xfId="0" applyNumberFormat="1" applyFont="1" applyAlignment="1">
      <alignment horizontal="center" wrapText="1"/>
    </xf>
    <xf numFmtId="0" fontId="3" fillId="65" borderId="0" xfId="0" applyFont="1" applyFill="1" applyAlignment="1">
      <alignment horizontal="center" wrapText="1"/>
    </xf>
    <xf numFmtId="0" fontId="3" fillId="0" borderId="0" xfId="0" applyFont="1" applyAlignment="1">
      <alignment horizontal="right" wrapText="1"/>
    </xf>
    <xf numFmtId="0" fontId="3" fillId="65" borderId="0" xfId="0" applyFont="1" applyFill="1" applyAlignment="1">
      <alignment horizontal="right" wrapText="1"/>
    </xf>
    <xf numFmtId="170" fontId="3" fillId="57" borderId="0" xfId="0" applyNumberFormat="1" applyFont="1" applyFill="1" applyAlignment="1">
      <alignment horizontal="center" wrapText="1"/>
    </xf>
    <xf numFmtId="0" fontId="3" fillId="57" borderId="0" xfId="0" applyFont="1" applyFill="1" applyAlignment="1">
      <alignment horizontal="center" wrapText="1"/>
    </xf>
    <xf numFmtId="0" fontId="3"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1" fillId="0" borderId="26" xfId="0" applyFont="1" applyBorder="1" applyAlignment="1">
      <alignment horizontal="center" wrapText="1"/>
    </xf>
    <xf numFmtId="0" fontId="71" fillId="0" borderId="1" xfId="0" applyFont="1" applyBorder="1" applyAlignment="1">
      <alignment horizontal="center" wrapText="1"/>
    </xf>
    <xf numFmtId="0" fontId="71"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3" fillId="0" borderId="0" xfId="0" applyNumberFormat="1" applyFont="1" applyAlignment="1">
      <alignment horizontal="right" wrapText="1"/>
    </xf>
    <xf numFmtId="1" fontId="72" fillId="74" borderId="0" xfId="3" applyNumberFormat="1" applyFont="1" applyFill="1"/>
    <xf numFmtId="1" fontId="72" fillId="74" borderId="0" xfId="0" applyNumberFormat="1" applyFont="1" applyFill="1"/>
    <xf numFmtId="1" fontId="72" fillId="46" borderId="0" xfId="0" applyNumberFormat="1" applyFont="1" applyFill="1"/>
    <xf numFmtId="0" fontId="54" fillId="46" borderId="0" xfId="3" applyFont="1" applyFill="1" applyAlignment="1">
      <alignment horizontal="center"/>
    </xf>
    <xf numFmtId="0" fontId="54" fillId="46" borderId="0" xfId="0" applyFont="1" applyFill="1" applyAlignment="1">
      <alignment horizontal="center"/>
    </xf>
    <xf numFmtId="175" fontId="0" fillId="0" borderId="0" xfId="0" applyNumberFormat="1"/>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8">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6"/>
  <sheetViews>
    <sheetView topLeftCell="A19" workbookViewId="0">
      <selection activeCell="B35" sqref="B35"/>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8445</v>
      </c>
    </row>
    <row r="32" spans="2:3">
      <c r="B32" t="s">
        <v>8446</v>
      </c>
    </row>
    <row r="34" spans="1:3">
      <c r="B34" t="s">
        <v>8447</v>
      </c>
    </row>
    <row r="37" spans="1:3" s="459" customFormat="1">
      <c r="A37" s="458" t="s">
        <v>4397</v>
      </c>
    </row>
    <row r="38" spans="1:3">
      <c r="A38" s="455"/>
    </row>
    <row r="39" spans="1:3">
      <c r="B39" t="s">
        <v>4398</v>
      </c>
    </row>
    <row r="40" spans="1:3">
      <c r="B40" s="17" t="s">
        <v>4386</v>
      </c>
      <c r="C40" t="s">
        <v>4399</v>
      </c>
    </row>
    <row r="41" spans="1:3">
      <c r="B41" s="17"/>
    </row>
    <row r="42" spans="1:3">
      <c r="B42" t="s">
        <v>4414</v>
      </c>
    </row>
    <row r="43" spans="1:3">
      <c r="B43" s="17" t="s">
        <v>4386</v>
      </c>
      <c r="C43" t="s">
        <v>4400</v>
      </c>
    </row>
    <row r="44" spans="1:3">
      <c r="B44" s="17" t="s">
        <v>4386</v>
      </c>
      <c r="C44" t="s">
        <v>4412</v>
      </c>
    </row>
    <row r="45" spans="1:3">
      <c r="B45" s="17" t="s">
        <v>4386</v>
      </c>
      <c r="C45" t="s">
        <v>4413</v>
      </c>
    </row>
    <row r="46" spans="1:3">
      <c r="B46" s="17"/>
    </row>
    <row r="47" spans="1:3">
      <c r="B47" s="93" t="s">
        <v>4401</v>
      </c>
    </row>
    <row r="48" spans="1:3">
      <c r="B48" s="17" t="s">
        <v>4386</v>
      </c>
      <c r="C48" t="s">
        <v>4408</v>
      </c>
    </row>
    <row r="49" spans="1:4">
      <c r="C49" s="17" t="s">
        <v>4386</v>
      </c>
      <c r="D49" t="s">
        <v>4403</v>
      </c>
    </row>
    <row r="50" spans="1:4">
      <c r="C50" s="17" t="s">
        <v>4386</v>
      </c>
      <c r="D50" t="s">
        <v>4404</v>
      </c>
    </row>
    <row r="51" spans="1:4">
      <c r="C51" s="17" t="s">
        <v>4386</v>
      </c>
      <c r="D51" t="s">
        <v>4405</v>
      </c>
    </row>
    <row r="52" spans="1:4">
      <c r="C52" s="17" t="s">
        <v>4386</v>
      </c>
      <c r="D52" t="s">
        <v>4406</v>
      </c>
    </row>
    <row r="53" spans="1:4">
      <c r="C53" s="17" t="s">
        <v>4386</v>
      </c>
      <c r="D53" t="s">
        <v>4407</v>
      </c>
    </row>
    <row r="54" spans="1:4">
      <c r="B54" s="17" t="s">
        <v>4386</v>
      </c>
      <c r="C54" t="s">
        <v>4402</v>
      </c>
    </row>
    <row r="56" spans="1:4">
      <c r="B56" t="s">
        <v>4409</v>
      </c>
    </row>
    <row r="57" spans="1:4">
      <c r="B57" s="17" t="s">
        <v>4386</v>
      </c>
      <c r="C57" t="s">
        <v>4410</v>
      </c>
    </row>
    <row r="59" spans="1:4">
      <c r="B59" t="s">
        <v>4411</v>
      </c>
    </row>
    <row r="60" spans="1:4">
      <c r="B60" s="17" t="s">
        <v>4386</v>
      </c>
      <c r="C60" t="s">
        <v>4415</v>
      </c>
    </row>
    <row r="61" spans="1:4">
      <c r="B61" s="17"/>
    </row>
    <row r="63" spans="1:4" s="459" customFormat="1">
      <c r="A63" s="458" t="s">
        <v>4396</v>
      </c>
    </row>
    <row r="64" spans="1:4">
      <c r="A64" s="455"/>
    </row>
    <row r="65" spans="2:2">
      <c r="B65" t="s">
        <v>4417</v>
      </c>
    </row>
    <row r="66" spans="2:2">
      <c r="B6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tabSelected="1" zoomScaleNormal="100" workbookViewId="0">
      <pane xSplit="5" ySplit="13" topLeftCell="F14" activePane="bottomRight" state="frozen"/>
      <selection pane="topRight" activeCell="F1" sqref="F1"/>
      <selection pane="bottomLeft" activeCell="A14" sqref="A14"/>
      <selection pane="bottomRight" activeCell="B1" sqref="B1"/>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8448</v>
      </c>
      <c r="E1" s="472"/>
      <c r="F1" s="187"/>
      <c r="G1" s="493"/>
      <c r="H1" s="493"/>
      <c r="I1" s="187"/>
      <c r="J1" s="187"/>
      <c r="K1" s="474"/>
      <c r="P1" s="4"/>
      <c r="R1" s="187"/>
      <c r="S1" s="474" t="s">
        <v>8438</v>
      </c>
      <c r="T1" s="466">
        <v>526</v>
      </c>
      <c r="U1" s="466">
        <v>2087</v>
      </c>
      <c r="V1" s="18">
        <v>512</v>
      </c>
      <c r="W1" s="18">
        <v>1988</v>
      </c>
      <c r="X1" s="18">
        <v>1266</v>
      </c>
      <c r="Y1" s="18">
        <v>1266</v>
      </c>
      <c r="Z1" s="18">
        <v>18176</v>
      </c>
      <c r="AA1" s="474"/>
    </row>
    <row r="2" spans="1:59">
      <c r="A2" s="3" t="s">
        <v>8450</v>
      </c>
      <c r="B2" s="5" t="s">
        <v>8449</v>
      </c>
      <c r="AB2"/>
      <c r="AC2"/>
      <c r="AD2"/>
      <c r="AE2"/>
      <c r="AF2"/>
      <c r="AG2"/>
      <c r="AH2"/>
      <c r="AI2"/>
      <c r="AJ2"/>
      <c r="AK2"/>
      <c r="AL2"/>
      <c r="AM2"/>
      <c r="AN2"/>
      <c r="AO2"/>
      <c r="AP2"/>
      <c r="AQ2"/>
      <c r="AR2"/>
      <c r="AS2"/>
      <c r="AT2"/>
      <c r="AU2"/>
      <c r="AV2"/>
      <c r="AW2"/>
      <c r="AX2"/>
      <c r="AY2"/>
      <c r="AZ2"/>
      <c r="BA2"/>
      <c r="BB2"/>
      <c r="BC2"/>
      <c r="BD2"/>
      <c r="BE2"/>
      <c r="BF2"/>
    </row>
    <row r="3" spans="1:59">
      <c r="A3" s="3" t="s">
        <v>8452</v>
      </c>
      <c r="B3" s="5" t="s">
        <v>8451</v>
      </c>
      <c r="Z3" s="17" t="s">
        <v>766</v>
      </c>
      <c r="AA3" s="475" t="s">
        <v>8439</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8439</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8439</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8439</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8439</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8440</v>
      </c>
      <c r="AA8" s="475" t="s">
        <v>8439</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8421</v>
      </c>
      <c r="U11" s="468" t="s">
        <v>8422</v>
      </c>
      <c r="V11" s="3" t="s">
        <v>8423</v>
      </c>
      <c r="W11" s="3" t="s">
        <v>8424</v>
      </c>
      <c r="X11" s="3"/>
      <c r="Y11" s="3" t="s">
        <v>8425</v>
      </c>
      <c r="Z11" s="3" t="s">
        <v>8426</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8442</v>
      </c>
      <c r="R12" s="3" t="s">
        <v>8420</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8441</v>
      </c>
      <c r="G13" s="494" t="s">
        <v>8436</v>
      </c>
      <c r="H13" s="479" t="s">
        <v>8417</v>
      </c>
      <c r="I13" s="478" t="s">
        <v>8427</v>
      </c>
      <c r="J13" s="478" t="s">
        <v>8419</v>
      </c>
      <c r="K13" s="482"/>
      <c r="L13" s="478" t="s">
        <v>12</v>
      </c>
      <c r="M13" s="478" t="s">
        <v>776</v>
      </c>
      <c r="N13" s="478" t="s">
        <v>773</v>
      </c>
      <c r="O13" s="478" t="s">
        <v>8411</v>
      </c>
      <c r="P13" s="478" t="s">
        <v>8437</v>
      </c>
      <c r="Q13" s="478" t="s">
        <v>8434</v>
      </c>
      <c r="R13" s="478" t="s">
        <v>8435</v>
      </c>
      <c r="S13" s="482"/>
      <c r="T13" s="483" t="s">
        <v>8433</v>
      </c>
      <c r="U13" s="483" t="s">
        <v>8428</v>
      </c>
      <c r="V13" s="484" t="s">
        <v>8429</v>
      </c>
      <c r="W13" s="484" t="s">
        <v>8430</v>
      </c>
      <c r="X13" s="485" t="s">
        <v>8431</v>
      </c>
      <c r="Y13" s="484" t="s">
        <v>8431</v>
      </c>
      <c r="Z13" s="484" t="s">
        <v>8432</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8" t="s">
        <v>866</v>
      </c>
      <c r="B14" s="495">
        <v>644923315</v>
      </c>
      <c r="C14" s="492" t="s">
        <v>1148</v>
      </c>
      <c r="D14" s="467"/>
      <c r="F14" s="17" t="str">
        <f>_xlfn.TEXTJOIN("+",TRUE,$C14:$D14)</f>
        <v>ON</v>
      </c>
      <c r="G14" s="493">
        <f>IF($C14="ON",$B14,G13)</f>
        <v>644923315</v>
      </c>
      <c r="H14" s="493">
        <f>IF($C14="OFF",$B14,H15)</f>
        <v>646885325</v>
      </c>
      <c r="I14" s="17">
        <f>IF($C14="ON",0,I13+1)</f>
        <v>0</v>
      </c>
      <c r="J14" s="17">
        <f t="shared" ref="J14:J77" si="5">IF($C14="OFF",0,J15+1)</f>
        <v>9</v>
      </c>
      <c r="L14" t="str">
        <f>IF($C14="ON","",IF($C14="N1",$D14,L13))</f>
        <v/>
      </c>
      <c r="M14" t="str">
        <f>IF($C14="ON","",IF($C14="N2",$D14,IF($F14="MAC+103",3,IF($F14="MAC+104",2,M13))))</f>
        <v/>
      </c>
      <c r="N14" t="str">
        <f t="shared" ref="N14:N16" si="6">IF($C14="ON","",IF($C14="N3",$D14,N13))</f>
        <v/>
      </c>
      <c r="O14" t="str">
        <f>IF($C14="ON","",IF($C14="STAT",$D14,O13))</f>
        <v/>
      </c>
      <c r="P14" s="3" t="str">
        <f>IF($C14="ON","",IF(AND($C14="MAC",105&lt;=$D14,$D14&lt;=110),"",IF(AND($C14="MAC",103&lt;=$D14,$D14&lt;=104),"disabled",P13)))</f>
        <v/>
      </c>
      <c r="Q14" t="str">
        <f>IF(F14="ON","",IF($F14="MAC+105",300,IF($F14="MAC+106",600,IF($F14="MAC+107",840,IF($F14="MAC+108",1200,IF($F14="MAC+109",1800,IF($F14="MAC+110",43200,Q13)))))))</f>
        <v/>
      </c>
      <c r="R14" s="17" t="str">
        <f>IF($C14="ON","",IF($F14="MAC+102","102",R13))</f>
        <v/>
      </c>
      <c r="T14" s="469">
        <f>IF($M14="",0,T$1/64/$M14)</f>
        <v>0</v>
      </c>
      <c r="U14" s="469">
        <f>IF($M14="",0,U$1/64/$M14)</f>
        <v>0</v>
      </c>
      <c r="V14" s="469">
        <f>IF($O14="",0,V$1/$O14)</f>
        <v>0</v>
      </c>
      <c r="W14" s="469">
        <f>IF($L14="",0,W$1/$L14)</f>
        <v>0</v>
      </c>
      <c r="X14" s="469">
        <f>IF(OR($M14="",$P14&lt;&gt;""),0,X$1/$M14)</f>
        <v>0</v>
      </c>
      <c r="Y14" s="469">
        <f>IF($M14="",0,IF($Q14="",1,Q14/43200)*X14)</f>
        <v>0</v>
      </c>
      <c r="Z14" s="469">
        <f t="shared" ref="Z14:Z77" si="7">IF($N14="",0,Z$1/$N14)</f>
        <v>0</v>
      </c>
      <c r="AB14" s="476">
        <f>IF(AB$3&lt;&gt;"",$V14,0)+IF(AB$4&lt;&gt;"",$T14,0)+IF(AB$5&lt;&gt;"",$Y14+IF($R14&lt;&gt;"102",$U14,0),0)+IF(AB$6&lt;&gt;"",$Z14+IF($R14="102",$U14,0),0)+IF(AB$7&lt;&gt;"",$W14,0)</f>
        <v>0</v>
      </c>
      <c r="AC14" s="476">
        <f t="shared" ref="AC14:AR29" si="8">IF(AC$3&lt;&gt;"",$V14,0)+IF(AC$4&lt;&gt;"",$T14,0)+IF(AC$5&lt;&gt;"",$Y14+IF($R14&lt;&gt;"102",$U14,0),0)+IF(AC$6&lt;&gt;"",$Z14+IF($R14="102",$U14,0),0)+IF(AC$7&lt;&gt;"",$W14,0)</f>
        <v>0</v>
      </c>
      <c r="AD14" s="476">
        <f t="shared" si="8"/>
        <v>0</v>
      </c>
      <c r="AE14" s="476">
        <f t="shared" si="8"/>
        <v>0</v>
      </c>
      <c r="AF14" s="476">
        <f t="shared" si="8"/>
        <v>0</v>
      </c>
      <c r="AG14" s="476">
        <f t="shared" si="8"/>
        <v>0</v>
      </c>
      <c r="AH14" s="476">
        <f t="shared" si="8"/>
        <v>0</v>
      </c>
      <c r="AI14" s="476">
        <f t="shared" si="8"/>
        <v>0</v>
      </c>
      <c r="AJ14" s="476">
        <f t="shared" si="8"/>
        <v>0</v>
      </c>
      <c r="AK14" s="476">
        <f t="shared" si="8"/>
        <v>0</v>
      </c>
      <c r="AL14" s="476">
        <f t="shared" si="8"/>
        <v>0</v>
      </c>
      <c r="AM14" s="476">
        <f t="shared" si="8"/>
        <v>0</v>
      </c>
      <c r="AN14" s="476">
        <f t="shared" si="8"/>
        <v>0</v>
      </c>
      <c r="AO14" s="476">
        <f t="shared" si="8"/>
        <v>0</v>
      </c>
      <c r="AP14" s="476">
        <f t="shared" si="8"/>
        <v>0</v>
      </c>
      <c r="AQ14" s="476">
        <f t="shared" si="8"/>
        <v>0</v>
      </c>
      <c r="AR14" s="476">
        <f t="shared" si="8"/>
        <v>0</v>
      </c>
      <c r="AS14" s="476">
        <f t="shared" ref="AS14:BF29" si="9">IF(AS$3&lt;&gt;"",$V14,0)+IF(AS$4&lt;&gt;"",$T14,0)+IF(AS$5&lt;&gt;"",$Y14+IF($R14&lt;&gt;"102",$U14,0),0)+IF(AS$6&lt;&gt;"",$Z14+IF($R14="102",$U14,0),0)+IF(AS$7&lt;&gt;"",$W14,0)</f>
        <v>0</v>
      </c>
      <c r="AT14" s="476">
        <f t="shared" si="9"/>
        <v>0</v>
      </c>
      <c r="AU14" s="476">
        <f t="shared" si="9"/>
        <v>0</v>
      </c>
      <c r="AV14" s="476">
        <f t="shared" si="9"/>
        <v>0</v>
      </c>
      <c r="AW14" s="476">
        <f t="shared" si="9"/>
        <v>0</v>
      </c>
      <c r="AX14" s="476">
        <f t="shared" si="9"/>
        <v>0</v>
      </c>
      <c r="AY14" s="476">
        <f t="shared" si="9"/>
        <v>0</v>
      </c>
      <c r="AZ14" s="476">
        <f t="shared" si="9"/>
        <v>0</v>
      </c>
      <c r="BA14" s="476">
        <f t="shared" si="9"/>
        <v>0</v>
      </c>
      <c r="BB14" s="476">
        <f t="shared" si="9"/>
        <v>0</v>
      </c>
      <c r="BC14" s="476">
        <f t="shared" si="9"/>
        <v>0</v>
      </c>
      <c r="BD14" s="476">
        <f t="shared" si="9"/>
        <v>0</v>
      </c>
      <c r="BE14" s="476">
        <f t="shared" si="9"/>
        <v>0</v>
      </c>
      <c r="BF14" s="476">
        <f t="shared" si="9"/>
        <v>0</v>
      </c>
    </row>
    <row r="15" spans="1:59">
      <c r="A15" s="499" t="s">
        <v>1288</v>
      </c>
      <c r="B15" s="496">
        <v>646883515</v>
      </c>
      <c r="C15" s="492" t="s">
        <v>8412</v>
      </c>
      <c r="D15" s="467">
        <v>111</v>
      </c>
      <c r="F15" s="17" t="str">
        <f t="shared" ref="F15:F22" si="10">_xlfn.TEXTJOIN("+",TRUE,$C15:$D15)</f>
        <v>MAC+111</v>
      </c>
      <c r="G15" s="493">
        <f t="shared" ref="G15:G78" si="11">IF($C15="ON",$B15,G14)</f>
        <v>644923315</v>
      </c>
      <c r="H15" s="493">
        <f t="shared" ref="H15:H78" si="12">IF($C15="OFF",$B15,H16)</f>
        <v>646885325</v>
      </c>
      <c r="I15" s="17">
        <f t="shared" ref="I15:I78" si="13">IF($C15="ON",0,I14+1)</f>
        <v>1</v>
      </c>
      <c r="J15" s="17">
        <f t="shared" si="5"/>
        <v>8</v>
      </c>
      <c r="L15" t="str">
        <f t="shared" ref="L15:L21" si="14">IF($C15="ON","",IF($C15="N1",$D15,L14))</f>
        <v/>
      </c>
      <c r="M15" t="str">
        <f t="shared" ref="M15:M21" si="15">IF($C15="ON","",IF($C15="N2",$D15,IF($F15="MAC+103",3,IF($F15="MAC+104",2,M14))))</f>
        <v/>
      </c>
      <c r="N15" t="str">
        <f t="shared" si="6"/>
        <v/>
      </c>
      <c r="O15" t="str">
        <f t="shared" ref="O15:O21" si="16">IF($C15="ON","",IF($C15="STAT",$D15,O14))</f>
        <v/>
      </c>
      <c r="P15" s="3" t="str">
        <f t="shared" ref="P15:P78" si="17">IF($C15="ON","",IF(AND($C15="MAC",105&lt;=$D15,$D15&lt;=110),"",IF(AND($C15="MAC",103&lt;=$D15,$D15&lt;=104),"disabled",P14)))</f>
        <v/>
      </c>
      <c r="Q15" t="str">
        <f t="shared" ref="Q15:Q21" si="18">IF(F15="ON","",IF($F15="MAC+105",300,IF($F15="MAC+106",600,IF($F15="MAC+107",840,IF($F15="MAC+108",1200,IF($F15="MAC+109",1800,IF($F15="MAC+110",43200,Q14)))))))</f>
        <v/>
      </c>
      <c r="R15" s="17" t="str">
        <f t="shared" ref="R15:R22" si="19">IF($C15="ON","",IF($F15="MAC+102","102",R14))</f>
        <v/>
      </c>
      <c r="T15" s="469">
        <f t="shared" ref="T15:U22" si="20">IF($M15="",0,T$1/64/$M15)</f>
        <v>0</v>
      </c>
      <c r="U15" s="469">
        <f t="shared" si="20"/>
        <v>0</v>
      </c>
      <c r="V15" s="469">
        <f t="shared" ref="V15:V22" si="21">IF($O15="",0,V$1/$O15)</f>
        <v>0</v>
      </c>
      <c r="W15" s="469">
        <f t="shared" ref="W15:W22" si="22">IF($L15="",0,W$1/$L15)</f>
        <v>0</v>
      </c>
      <c r="X15" s="469">
        <f t="shared" ref="X15:X78" si="23">IF(OR($M15="",$P15&lt;&gt;""),0,X$1/$M15)</f>
        <v>0</v>
      </c>
      <c r="Y15" s="469">
        <f t="shared" ref="Y15:Y21" si="24">IF($M15="",0,IF($Q15="",1,Q15/43200)*X15)</f>
        <v>0</v>
      </c>
      <c r="Z15" s="469">
        <f t="shared" si="7"/>
        <v>0</v>
      </c>
      <c r="AB15" s="476">
        <f t="shared" ref="AB15:AQ30" si="25">IF(AB$3&lt;&gt;"",$V15,0)+IF(AB$4&lt;&gt;"",$T15,0)+IF(AB$5&lt;&gt;"",$Y15+IF($R15&lt;&gt;"102",$U15,0),0)+IF(AB$6&lt;&gt;"",$Z15+IF($R15="102",$U15,0),0)+IF(AB$7&lt;&gt;"",$W15,0)</f>
        <v>0</v>
      </c>
      <c r="AC15" s="476">
        <f t="shared" si="8"/>
        <v>0</v>
      </c>
      <c r="AD15" s="476">
        <f t="shared" si="8"/>
        <v>0</v>
      </c>
      <c r="AE15" s="476">
        <f t="shared" si="8"/>
        <v>0</v>
      </c>
      <c r="AF15" s="476">
        <f t="shared" si="8"/>
        <v>0</v>
      </c>
      <c r="AG15" s="476">
        <f t="shared" si="8"/>
        <v>0</v>
      </c>
      <c r="AH15" s="476">
        <f t="shared" si="8"/>
        <v>0</v>
      </c>
      <c r="AI15" s="476">
        <f t="shared" si="8"/>
        <v>0</v>
      </c>
      <c r="AJ15" s="476">
        <f t="shared" si="8"/>
        <v>0</v>
      </c>
      <c r="AK15" s="476">
        <f t="shared" si="8"/>
        <v>0</v>
      </c>
      <c r="AL15" s="476">
        <f t="shared" si="8"/>
        <v>0</v>
      </c>
      <c r="AM15" s="476">
        <f t="shared" si="8"/>
        <v>0</v>
      </c>
      <c r="AN15" s="476">
        <f t="shared" si="8"/>
        <v>0</v>
      </c>
      <c r="AO15" s="476">
        <f t="shared" si="8"/>
        <v>0</v>
      </c>
      <c r="AP15" s="476">
        <f t="shared" si="8"/>
        <v>0</v>
      </c>
      <c r="AQ15" s="476">
        <f t="shared" si="8"/>
        <v>0</v>
      </c>
      <c r="AR15" s="476">
        <f t="shared" si="8"/>
        <v>0</v>
      </c>
      <c r="AS15" s="476">
        <f t="shared" si="9"/>
        <v>0</v>
      </c>
      <c r="AT15" s="476">
        <f t="shared" si="9"/>
        <v>0</v>
      </c>
      <c r="AU15" s="476">
        <f t="shared" si="9"/>
        <v>0</v>
      </c>
      <c r="AV15" s="476">
        <f t="shared" si="9"/>
        <v>0</v>
      </c>
      <c r="AW15" s="476">
        <f t="shared" si="9"/>
        <v>0</v>
      </c>
      <c r="AX15" s="476">
        <f t="shared" si="9"/>
        <v>0</v>
      </c>
      <c r="AY15" s="476">
        <f t="shared" si="9"/>
        <v>0</v>
      </c>
      <c r="AZ15" s="476">
        <f t="shared" si="9"/>
        <v>0</v>
      </c>
      <c r="BA15" s="476">
        <f t="shared" si="9"/>
        <v>0</v>
      </c>
      <c r="BB15" s="476">
        <f t="shared" si="9"/>
        <v>0</v>
      </c>
      <c r="BC15" s="476">
        <f t="shared" si="9"/>
        <v>0</v>
      </c>
      <c r="BD15" s="476">
        <f t="shared" si="9"/>
        <v>0</v>
      </c>
      <c r="BE15" s="476">
        <f t="shared" si="9"/>
        <v>0</v>
      </c>
      <c r="BF15" s="476">
        <f t="shared" si="9"/>
        <v>0</v>
      </c>
    </row>
    <row r="16" spans="1:59">
      <c r="A16" s="499" t="s">
        <v>1517</v>
      </c>
      <c r="B16" s="497">
        <v>646884115</v>
      </c>
      <c r="C16" s="492" t="s">
        <v>776</v>
      </c>
      <c r="D16" s="467">
        <v>360</v>
      </c>
      <c r="F16" s="17" t="str">
        <f t="shared" si="10"/>
        <v>N2+360</v>
      </c>
      <c r="G16" s="493">
        <f t="shared" si="11"/>
        <v>644923315</v>
      </c>
      <c r="H16" s="493">
        <f t="shared" si="12"/>
        <v>646885325</v>
      </c>
      <c r="I16" s="17">
        <f t="shared" si="13"/>
        <v>2</v>
      </c>
      <c r="J16" s="17">
        <f t="shared" si="5"/>
        <v>7</v>
      </c>
      <c r="L16" t="str">
        <f t="shared" si="14"/>
        <v/>
      </c>
      <c r="M16">
        <f t="shared" si="15"/>
        <v>360</v>
      </c>
      <c r="N16" t="str">
        <f t="shared" si="6"/>
        <v/>
      </c>
      <c r="O16" t="str">
        <f t="shared" si="16"/>
        <v/>
      </c>
      <c r="P16" s="3" t="str">
        <f t="shared" si="17"/>
        <v/>
      </c>
      <c r="Q16" t="str">
        <f t="shared" si="18"/>
        <v/>
      </c>
      <c r="R16" s="17" t="str">
        <f t="shared" si="19"/>
        <v/>
      </c>
      <c r="T16" s="469">
        <f t="shared" si="20"/>
        <v>2.282986111111111E-2</v>
      </c>
      <c r="U16" s="469">
        <f t="shared" si="20"/>
        <v>9.0581597222222227E-2</v>
      </c>
      <c r="V16" s="469">
        <f t="shared" si="21"/>
        <v>0</v>
      </c>
      <c r="W16" s="469">
        <f t="shared" si="22"/>
        <v>0</v>
      </c>
      <c r="X16" s="469">
        <f t="shared" si="23"/>
        <v>3.5166666666666666</v>
      </c>
      <c r="Y16" s="469">
        <f t="shared" si="24"/>
        <v>3.5166666666666666</v>
      </c>
      <c r="Z16" s="469">
        <f t="shared" si="7"/>
        <v>0</v>
      </c>
      <c r="AB16" s="476">
        <f t="shared" si="25"/>
        <v>0</v>
      </c>
      <c r="AC16" s="476">
        <f t="shared" si="8"/>
        <v>0</v>
      </c>
      <c r="AD16" s="476">
        <f t="shared" si="8"/>
        <v>0</v>
      </c>
      <c r="AE16" s="476">
        <f t="shared" si="8"/>
        <v>3.6072482638888888</v>
      </c>
      <c r="AF16" s="476">
        <f t="shared" si="8"/>
        <v>3.6072482638888888</v>
      </c>
      <c r="AG16" s="476">
        <f t="shared" si="8"/>
        <v>3.6072482638888888</v>
      </c>
      <c r="AH16" s="476">
        <f t="shared" si="8"/>
        <v>3.6072482638888888</v>
      </c>
      <c r="AI16" s="476">
        <f t="shared" si="8"/>
        <v>2.282986111111111E-2</v>
      </c>
      <c r="AJ16" s="476">
        <f t="shared" si="8"/>
        <v>2.282986111111111E-2</v>
      </c>
      <c r="AK16" s="476">
        <f t="shared" si="8"/>
        <v>2.282986111111111E-2</v>
      </c>
      <c r="AL16" s="476">
        <f t="shared" si="8"/>
        <v>2.282986111111111E-2</v>
      </c>
      <c r="AM16" s="476">
        <f t="shared" si="8"/>
        <v>3.6300781249999998</v>
      </c>
      <c r="AN16" s="476">
        <f t="shared" si="8"/>
        <v>3.6300781249999998</v>
      </c>
      <c r="AO16" s="476">
        <f t="shared" si="8"/>
        <v>3.6300781249999998</v>
      </c>
      <c r="AP16" s="476">
        <f t="shared" si="8"/>
        <v>3.6300781249999998</v>
      </c>
      <c r="AQ16" s="476">
        <f t="shared" si="8"/>
        <v>0</v>
      </c>
      <c r="AR16" s="476">
        <f t="shared" si="8"/>
        <v>0</v>
      </c>
      <c r="AS16" s="476">
        <f t="shared" si="9"/>
        <v>0</v>
      </c>
      <c r="AT16" s="476">
        <f t="shared" si="9"/>
        <v>0</v>
      </c>
      <c r="AU16" s="476">
        <f t="shared" si="9"/>
        <v>3.6072482638888888</v>
      </c>
      <c r="AV16" s="476">
        <f t="shared" si="9"/>
        <v>3.6072482638888888</v>
      </c>
      <c r="AW16" s="476">
        <f t="shared" si="9"/>
        <v>3.6072482638888888</v>
      </c>
      <c r="AX16" s="476">
        <f t="shared" si="9"/>
        <v>3.6072482638888888</v>
      </c>
      <c r="AY16" s="476">
        <f t="shared" si="9"/>
        <v>2.282986111111111E-2</v>
      </c>
      <c r="AZ16" s="476">
        <f t="shared" si="9"/>
        <v>2.282986111111111E-2</v>
      </c>
      <c r="BA16" s="476">
        <f t="shared" si="9"/>
        <v>2.282986111111111E-2</v>
      </c>
      <c r="BB16" s="476">
        <f t="shared" si="9"/>
        <v>2.282986111111111E-2</v>
      </c>
      <c r="BC16" s="476">
        <f t="shared" si="9"/>
        <v>3.6300781249999998</v>
      </c>
      <c r="BD16" s="476">
        <f t="shared" si="9"/>
        <v>3.6300781249999998</v>
      </c>
      <c r="BE16" s="476">
        <f t="shared" si="9"/>
        <v>3.6300781249999998</v>
      </c>
      <c r="BF16" s="476">
        <f t="shared" si="9"/>
        <v>3.6300781249999998</v>
      </c>
    </row>
    <row r="17" spans="1:58">
      <c r="A17" s="499" t="s">
        <v>1523</v>
      </c>
      <c r="B17" s="497">
        <v>646884118</v>
      </c>
      <c r="C17" s="492" t="s">
        <v>12</v>
      </c>
      <c r="D17" s="467">
        <v>360</v>
      </c>
      <c r="F17" s="17" t="str">
        <f t="shared" si="10"/>
        <v>N1+360</v>
      </c>
      <c r="G17" s="493">
        <f t="shared" si="11"/>
        <v>644923315</v>
      </c>
      <c r="H17" s="493">
        <f t="shared" si="12"/>
        <v>646885325</v>
      </c>
      <c r="I17" s="17">
        <f t="shared" si="13"/>
        <v>3</v>
      </c>
      <c r="J17" s="17">
        <f t="shared" si="5"/>
        <v>6</v>
      </c>
      <c r="L17">
        <v>180</v>
      </c>
      <c r="M17">
        <f t="shared" si="15"/>
        <v>360</v>
      </c>
      <c r="N17" t="str">
        <f>IF($C17="ON","",IF($C17="N3",$D17,N16))</f>
        <v/>
      </c>
      <c r="O17" t="str">
        <f t="shared" si="16"/>
        <v/>
      </c>
      <c r="P17" s="3" t="str">
        <f t="shared" si="17"/>
        <v/>
      </c>
      <c r="Q17" t="str">
        <f t="shared" si="18"/>
        <v/>
      </c>
      <c r="R17" s="17" t="str">
        <f t="shared" si="19"/>
        <v/>
      </c>
      <c r="T17" s="469">
        <f t="shared" si="20"/>
        <v>2.282986111111111E-2</v>
      </c>
      <c r="U17" s="469">
        <f t="shared" si="20"/>
        <v>9.0581597222222227E-2</v>
      </c>
      <c r="V17" s="469">
        <f t="shared" si="21"/>
        <v>0</v>
      </c>
      <c r="W17" s="469">
        <f t="shared" si="22"/>
        <v>11.044444444444444</v>
      </c>
      <c r="X17" s="469">
        <f t="shared" si="23"/>
        <v>3.5166666666666666</v>
      </c>
      <c r="Y17" s="469">
        <f t="shared" si="24"/>
        <v>3.5166666666666666</v>
      </c>
      <c r="Z17" s="469">
        <f t="shared" si="7"/>
        <v>0</v>
      </c>
      <c r="AB17" s="476">
        <f t="shared" si="25"/>
        <v>11.044444444444444</v>
      </c>
      <c r="AC17" s="476">
        <f t="shared" si="8"/>
        <v>0</v>
      </c>
      <c r="AD17" s="476">
        <f t="shared" si="8"/>
        <v>11.044444444444444</v>
      </c>
      <c r="AE17" s="476">
        <f t="shared" si="8"/>
        <v>3.6072482638888888</v>
      </c>
      <c r="AF17" s="476">
        <f t="shared" si="8"/>
        <v>14.651692708333332</v>
      </c>
      <c r="AG17" s="476">
        <f t="shared" si="8"/>
        <v>3.6072482638888888</v>
      </c>
      <c r="AH17" s="476">
        <f t="shared" si="8"/>
        <v>14.651692708333332</v>
      </c>
      <c r="AI17" s="476">
        <f t="shared" si="8"/>
        <v>2.282986111111111E-2</v>
      </c>
      <c r="AJ17" s="476">
        <f t="shared" si="8"/>
        <v>11.067274305555555</v>
      </c>
      <c r="AK17" s="476">
        <f t="shared" si="8"/>
        <v>2.282986111111111E-2</v>
      </c>
      <c r="AL17" s="476">
        <f t="shared" si="8"/>
        <v>11.067274305555555</v>
      </c>
      <c r="AM17" s="476">
        <f t="shared" si="8"/>
        <v>3.6300781249999998</v>
      </c>
      <c r="AN17" s="476">
        <f t="shared" si="8"/>
        <v>14.674522569444445</v>
      </c>
      <c r="AO17" s="476">
        <f t="shared" si="8"/>
        <v>3.6300781249999998</v>
      </c>
      <c r="AP17" s="476">
        <f t="shared" si="8"/>
        <v>14.674522569444445</v>
      </c>
      <c r="AQ17" s="476">
        <f t="shared" si="8"/>
        <v>0</v>
      </c>
      <c r="AR17" s="476">
        <f t="shared" si="8"/>
        <v>11.044444444444444</v>
      </c>
      <c r="AS17" s="476">
        <f t="shared" si="9"/>
        <v>0</v>
      </c>
      <c r="AT17" s="476">
        <f t="shared" si="9"/>
        <v>11.044444444444444</v>
      </c>
      <c r="AU17" s="476">
        <f t="shared" si="9"/>
        <v>3.6072482638888888</v>
      </c>
      <c r="AV17" s="476">
        <f t="shared" si="9"/>
        <v>14.651692708333332</v>
      </c>
      <c r="AW17" s="476">
        <f t="shared" si="9"/>
        <v>3.6072482638888888</v>
      </c>
      <c r="AX17" s="476">
        <f t="shared" si="9"/>
        <v>14.651692708333332</v>
      </c>
      <c r="AY17" s="476">
        <f t="shared" si="9"/>
        <v>2.282986111111111E-2</v>
      </c>
      <c r="AZ17" s="476">
        <f t="shared" si="9"/>
        <v>11.067274305555555</v>
      </c>
      <c r="BA17" s="476">
        <f t="shared" si="9"/>
        <v>2.282986111111111E-2</v>
      </c>
      <c r="BB17" s="476">
        <f t="shared" si="9"/>
        <v>11.067274305555555</v>
      </c>
      <c r="BC17" s="476">
        <f t="shared" si="9"/>
        <v>3.6300781249999998</v>
      </c>
      <c r="BD17" s="476">
        <f t="shared" si="9"/>
        <v>14.674522569444445</v>
      </c>
      <c r="BE17" s="476">
        <f t="shared" si="9"/>
        <v>3.6300781249999998</v>
      </c>
      <c r="BF17" s="476">
        <f t="shared" si="9"/>
        <v>14.674522569444445</v>
      </c>
    </row>
    <row r="18" spans="1:58">
      <c r="A18" s="499" t="s">
        <v>1160</v>
      </c>
      <c r="B18" s="497">
        <v>646884121</v>
      </c>
      <c r="C18" s="492" t="s">
        <v>773</v>
      </c>
      <c r="D18" s="467">
        <v>7200</v>
      </c>
      <c r="F18" s="17" t="str">
        <f t="shared" si="10"/>
        <v>N3+7200</v>
      </c>
      <c r="G18" s="493">
        <f t="shared" si="11"/>
        <v>644923315</v>
      </c>
      <c r="H18" s="493">
        <f t="shared" si="12"/>
        <v>646885325</v>
      </c>
      <c r="I18" s="17">
        <f t="shared" si="13"/>
        <v>4</v>
      </c>
      <c r="J18" s="17">
        <f t="shared" si="5"/>
        <v>5</v>
      </c>
      <c r="L18">
        <f t="shared" si="14"/>
        <v>180</v>
      </c>
      <c r="M18">
        <f t="shared" si="15"/>
        <v>360</v>
      </c>
      <c r="N18">
        <f t="shared" ref="N18:N21" si="26">IF($C18="ON","",IF($C18="N3",$D18,N17))</f>
        <v>7200</v>
      </c>
      <c r="O18" t="str">
        <f t="shared" si="16"/>
        <v/>
      </c>
      <c r="P18" s="3" t="str">
        <f t="shared" si="17"/>
        <v/>
      </c>
      <c r="Q18" t="str">
        <f t="shared" si="18"/>
        <v/>
      </c>
      <c r="R18" s="17" t="str">
        <f t="shared" si="19"/>
        <v/>
      </c>
      <c r="T18" s="469">
        <f t="shared" si="20"/>
        <v>2.282986111111111E-2</v>
      </c>
      <c r="U18" s="469">
        <f t="shared" si="20"/>
        <v>9.0581597222222227E-2</v>
      </c>
      <c r="V18" s="469">
        <f t="shared" si="21"/>
        <v>0</v>
      </c>
      <c r="W18" s="469">
        <f t="shared" si="22"/>
        <v>11.044444444444444</v>
      </c>
      <c r="X18" s="469">
        <f t="shared" si="23"/>
        <v>3.5166666666666666</v>
      </c>
      <c r="Y18" s="469">
        <f t="shared" si="24"/>
        <v>3.5166666666666666</v>
      </c>
      <c r="Z18" s="469">
        <f t="shared" si="7"/>
        <v>2.5244444444444443</v>
      </c>
      <c r="AB18" s="476">
        <f t="shared" si="25"/>
        <v>11.044444444444444</v>
      </c>
      <c r="AC18" s="476">
        <f t="shared" si="8"/>
        <v>2.5244444444444443</v>
      </c>
      <c r="AD18" s="476">
        <f t="shared" si="8"/>
        <v>13.568888888888889</v>
      </c>
      <c r="AE18" s="476">
        <f t="shared" si="8"/>
        <v>3.6072482638888888</v>
      </c>
      <c r="AF18" s="476">
        <f t="shared" si="8"/>
        <v>14.651692708333332</v>
      </c>
      <c r="AG18" s="476">
        <f t="shared" si="8"/>
        <v>6.1316927083333326</v>
      </c>
      <c r="AH18" s="476">
        <f t="shared" si="8"/>
        <v>17.176137152777777</v>
      </c>
      <c r="AI18" s="476">
        <f t="shared" si="8"/>
        <v>2.282986111111111E-2</v>
      </c>
      <c r="AJ18" s="476">
        <f t="shared" si="8"/>
        <v>11.067274305555555</v>
      </c>
      <c r="AK18" s="476">
        <f t="shared" si="8"/>
        <v>2.5472743055555553</v>
      </c>
      <c r="AL18" s="476">
        <f t="shared" si="8"/>
        <v>13.59171875</v>
      </c>
      <c r="AM18" s="476">
        <f t="shared" si="8"/>
        <v>3.6300781249999998</v>
      </c>
      <c r="AN18" s="476">
        <f t="shared" si="8"/>
        <v>14.674522569444445</v>
      </c>
      <c r="AO18" s="476">
        <f t="shared" si="8"/>
        <v>6.1545225694444436</v>
      </c>
      <c r="AP18" s="476">
        <f t="shared" si="8"/>
        <v>17.19896701388889</v>
      </c>
      <c r="AQ18" s="476">
        <f t="shared" si="8"/>
        <v>0</v>
      </c>
      <c r="AR18" s="476">
        <f t="shared" si="8"/>
        <v>11.044444444444444</v>
      </c>
      <c r="AS18" s="476">
        <f t="shared" si="9"/>
        <v>2.5244444444444443</v>
      </c>
      <c r="AT18" s="476">
        <f t="shared" si="9"/>
        <v>13.568888888888889</v>
      </c>
      <c r="AU18" s="476">
        <f t="shared" si="9"/>
        <v>3.6072482638888888</v>
      </c>
      <c r="AV18" s="476">
        <f t="shared" si="9"/>
        <v>14.651692708333332</v>
      </c>
      <c r="AW18" s="476">
        <f t="shared" si="9"/>
        <v>6.1316927083333326</v>
      </c>
      <c r="AX18" s="476">
        <f t="shared" si="9"/>
        <v>17.176137152777777</v>
      </c>
      <c r="AY18" s="476">
        <f t="shared" si="9"/>
        <v>2.282986111111111E-2</v>
      </c>
      <c r="AZ18" s="476">
        <f t="shared" si="9"/>
        <v>11.067274305555555</v>
      </c>
      <c r="BA18" s="476">
        <f t="shared" si="9"/>
        <v>2.5472743055555553</v>
      </c>
      <c r="BB18" s="476">
        <f t="shared" si="9"/>
        <v>13.59171875</v>
      </c>
      <c r="BC18" s="476">
        <f t="shared" si="9"/>
        <v>3.6300781249999998</v>
      </c>
      <c r="BD18" s="476">
        <f t="shared" si="9"/>
        <v>14.674522569444445</v>
      </c>
      <c r="BE18" s="476">
        <f t="shared" si="9"/>
        <v>6.1545225694444436</v>
      </c>
      <c r="BF18" s="476">
        <f t="shared" si="9"/>
        <v>17.19896701388889</v>
      </c>
    </row>
    <row r="19" spans="1:58">
      <c r="A19" s="499" t="s">
        <v>1164</v>
      </c>
      <c r="B19" s="497">
        <v>646884124</v>
      </c>
      <c r="C19" s="492" t="s">
        <v>8411</v>
      </c>
      <c r="D19" s="467">
        <v>1800</v>
      </c>
      <c r="F19" s="17" t="str">
        <f t="shared" si="10"/>
        <v>STAT+1800</v>
      </c>
      <c r="G19" s="493">
        <f t="shared" si="11"/>
        <v>644923315</v>
      </c>
      <c r="H19" s="493">
        <f t="shared" si="12"/>
        <v>646885325</v>
      </c>
      <c r="I19" s="17">
        <f t="shared" si="13"/>
        <v>5</v>
      </c>
      <c r="J19" s="17">
        <f t="shared" si="5"/>
        <v>4</v>
      </c>
      <c r="L19">
        <f t="shared" si="14"/>
        <v>180</v>
      </c>
      <c r="M19">
        <f t="shared" si="15"/>
        <v>360</v>
      </c>
      <c r="N19">
        <f t="shared" si="26"/>
        <v>7200</v>
      </c>
      <c r="O19">
        <f t="shared" si="16"/>
        <v>1800</v>
      </c>
      <c r="P19" s="3" t="str">
        <f t="shared" si="17"/>
        <v/>
      </c>
      <c r="Q19" t="str">
        <f t="shared" si="18"/>
        <v/>
      </c>
      <c r="R19" s="17" t="str">
        <f t="shared" si="19"/>
        <v/>
      </c>
      <c r="T19" s="469">
        <f t="shared" si="20"/>
        <v>2.282986111111111E-2</v>
      </c>
      <c r="U19" s="469">
        <f t="shared" si="20"/>
        <v>9.0581597222222227E-2</v>
      </c>
      <c r="V19" s="469">
        <f t="shared" si="21"/>
        <v>0.28444444444444444</v>
      </c>
      <c r="W19" s="469">
        <f t="shared" si="22"/>
        <v>11.044444444444444</v>
      </c>
      <c r="X19" s="469">
        <f t="shared" si="23"/>
        <v>3.5166666666666666</v>
      </c>
      <c r="Y19" s="469">
        <f t="shared" si="24"/>
        <v>3.5166666666666666</v>
      </c>
      <c r="Z19" s="469">
        <f t="shared" si="7"/>
        <v>2.5244444444444443</v>
      </c>
      <c r="AB19" s="476">
        <f t="shared" si="25"/>
        <v>11.044444444444444</v>
      </c>
      <c r="AC19" s="476">
        <f t="shared" si="8"/>
        <v>2.5244444444444443</v>
      </c>
      <c r="AD19" s="476">
        <f t="shared" si="8"/>
        <v>13.568888888888889</v>
      </c>
      <c r="AE19" s="476">
        <f t="shared" si="8"/>
        <v>3.6072482638888888</v>
      </c>
      <c r="AF19" s="476">
        <f t="shared" si="8"/>
        <v>14.651692708333332</v>
      </c>
      <c r="AG19" s="476">
        <f t="shared" si="8"/>
        <v>6.1316927083333326</v>
      </c>
      <c r="AH19" s="476">
        <f t="shared" si="8"/>
        <v>17.176137152777777</v>
      </c>
      <c r="AI19" s="476">
        <f t="shared" si="8"/>
        <v>2.282986111111111E-2</v>
      </c>
      <c r="AJ19" s="476">
        <f t="shared" si="8"/>
        <v>11.067274305555555</v>
      </c>
      <c r="AK19" s="476">
        <f t="shared" si="8"/>
        <v>2.5472743055555553</v>
      </c>
      <c r="AL19" s="476">
        <f t="shared" si="8"/>
        <v>13.59171875</v>
      </c>
      <c r="AM19" s="476">
        <f t="shared" si="8"/>
        <v>3.6300781249999998</v>
      </c>
      <c r="AN19" s="476">
        <f t="shared" si="8"/>
        <v>14.674522569444445</v>
      </c>
      <c r="AO19" s="476">
        <f t="shared" si="8"/>
        <v>6.1545225694444436</v>
      </c>
      <c r="AP19" s="476">
        <f t="shared" si="8"/>
        <v>17.19896701388889</v>
      </c>
      <c r="AQ19" s="476">
        <f t="shared" si="8"/>
        <v>0.28444444444444444</v>
      </c>
      <c r="AR19" s="476">
        <f t="shared" si="8"/>
        <v>11.328888888888889</v>
      </c>
      <c r="AS19" s="476">
        <f t="shared" si="9"/>
        <v>2.8088888888888888</v>
      </c>
      <c r="AT19" s="476">
        <f t="shared" si="9"/>
        <v>13.853333333333333</v>
      </c>
      <c r="AU19" s="476">
        <f t="shared" si="9"/>
        <v>3.8916927083333333</v>
      </c>
      <c r="AV19" s="476">
        <f t="shared" si="9"/>
        <v>14.936137152777778</v>
      </c>
      <c r="AW19" s="476">
        <f t="shared" si="9"/>
        <v>6.4161371527777771</v>
      </c>
      <c r="AX19" s="476">
        <f t="shared" si="9"/>
        <v>17.460581597222223</v>
      </c>
      <c r="AY19" s="476">
        <f t="shared" si="9"/>
        <v>0.30727430555555557</v>
      </c>
      <c r="AZ19" s="476">
        <f t="shared" si="9"/>
        <v>11.35171875</v>
      </c>
      <c r="BA19" s="476">
        <f t="shared" si="9"/>
        <v>2.8317187499999998</v>
      </c>
      <c r="BB19" s="476">
        <f t="shared" si="9"/>
        <v>13.876163194444445</v>
      </c>
      <c r="BC19" s="476">
        <f t="shared" si="9"/>
        <v>3.9145225694444443</v>
      </c>
      <c r="BD19" s="476">
        <f t="shared" si="9"/>
        <v>14.958967013888888</v>
      </c>
      <c r="BE19" s="476">
        <f t="shared" si="9"/>
        <v>6.4389670138888881</v>
      </c>
      <c r="BF19" s="476">
        <f t="shared" si="9"/>
        <v>17.483411458333332</v>
      </c>
    </row>
    <row r="20" spans="1:58">
      <c r="A20" s="499" t="s">
        <v>1126</v>
      </c>
      <c r="B20" s="497">
        <v>646884715</v>
      </c>
      <c r="C20" s="492" t="s">
        <v>8412</v>
      </c>
      <c r="D20" s="467">
        <v>103</v>
      </c>
      <c r="F20" s="17" t="str">
        <f t="shared" si="10"/>
        <v>MAC+103</v>
      </c>
      <c r="G20" s="493">
        <f t="shared" si="11"/>
        <v>644923315</v>
      </c>
      <c r="H20" s="493">
        <f t="shared" si="12"/>
        <v>646885325</v>
      </c>
      <c r="I20" s="17">
        <f t="shared" si="13"/>
        <v>6</v>
      </c>
      <c r="J20" s="17">
        <f t="shared" si="5"/>
        <v>3</v>
      </c>
      <c r="L20">
        <f t="shared" si="14"/>
        <v>180</v>
      </c>
      <c r="M20">
        <f t="shared" si="15"/>
        <v>3</v>
      </c>
      <c r="N20">
        <f t="shared" si="26"/>
        <v>7200</v>
      </c>
      <c r="O20">
        <f t="shared" si="16"/>
        <v>1800</v>
      </c>
      <c r="P20" s="3" t="str">
        <f t="shared" si="17"/>
        <v>disabled</v>
      </c>
      <c r="Q20" t="str">
        <f t="shared" si="18"/>
        <v/>
      </c>
      <c r="R20" s="17" t="str">
        <f t="shared" si="19"/>
        <v/>
      </c>
      <c r="T20" s="469">
        <f t="shared" si="20"/>
        <v>2.7395833333333335</v>
      </c>
      <c r="U20" s="469">
        <f t="shared" si="20"/>
        <v>10.869791666666666</v>
      </c>
      <c r="V20" s="469">
        <f t="shared" si="21"/>
        <v>0.28444444444444444</v>
      </c>
      <c r="W20" s="469">
        <f t="shared" si="22"/>
        <v>11.044444444444444</v>
      </c>
      <c r="X20" s="469">
        <f t="shared" si="23"/>
        <v>0</v>
      </c>
      <c r="Y20" s="469">
        <f t="shared" si="24"/>
        <v>0</v>
      </c>
      <c r="Z20" s="469">
        <f t="shared" si="7"/>
        <v>2.5244444444444443</v>
      </c>
      <c r="AB20" s="476">
        <f t="shared" si="25"/>
        <v>11.044444444444444</v>
      </c>
      <c r="AC20" s="476">
        <f t="shared" si="8"/>
        <v>2.5244444444444443</v>
      </c>
      <c r="AD20" s="476">
        <f t="shared" si="8"/>
        <v>13.568888888888889</v>
      </c>
      <c r="AE20" s="476">
        <f t="shared" si="8"/>
        <v>10.869791666666666</v>
      </c>
      <c r="AF20" s="476">
        <f t="shared" si="8"/>
        <v>21.914236111111109</v>
      </c>
      <c r="AG20" s="476">
        <f t="shared" si="8"/>
        <v>13.394236111111111</v>
      </c>
      <c r="AH20" s="476">
        <f t="shared" si="8"/>
        <v>24.438680555555557</v>
      </c>
      <c r="AI20" s="476">
        <f t="shared" si="8"/>
        <v>2.7395833333333335</v>
      </c>
      <c r="AJ20" s="476">
        <f t="shared" si="8"/>
        <v>13.784027777777778</v>
      </c>
      <c r="AK20" s="476">
        <f t="shared" si="8"/>
        <v>5.2640277777777778</v>
      </c>
      <c r="AL20" s="476">
        <f t="shared" si="8"/>
        <v>16.308472222222221</v>
      </c>
      <c r="AM20" s="476">
        <f t="shared" si="8"/>
        <v>13.609375</v>
      </c>
      <c r="AN20" s="476">
        <f t="shared" si="8"/>
        <v>24.653819444444444</v>
      </c>
      <c r="AO20" s="476">
        <f t="shared" si="8"/>
        <v>16.133819444444445</v>
      </c>
      <c r="AP20" s="476">
        <f t="shared" si="8"/>
        <v>27.178263888888889</v>
      </c>
      <c r="AQ20" s="476">
        <f t="shared" si="8"/>
        <v>0.28444444444444444</v>
      </c>
      <c r="AR20" s="476">
        <f t="shared" si="8"/>
        <v>11.328888888888889</v>
      </c>
      <c r="AS20" s="476">
        <f t="shared" si="9"/>
        <v>2.8088888888888888</v>
      </c>
      <c r="AT20" s="476">
        <f t="shared" si="9"/>
        <v>13.853333333333333</v>
      </c>
      <c r="AU20" s="476">
        <f t="shared" si="9"/>
        <v>11.154236111111111</v>
      </c>
      <c r="AV20" s="476">
        <f t="shared" si="9"/>
        <v>22.198680555555555</v>
      </c>
      <c r="AW20" s="476">
        <f t="shared" si="9"/>
        <v>13.678680555555555</v>
      </c>
      <c r="AX20" s="476">
        <f t="shared" si="9"/>
        <v>24.723125</v>
      </c>
      <c r="AY20" s="476">
        <f t="shared" si="9"/>
        <v>3.024027777777778</v>
      </c>
      <c r="AZ20" s="476">
        <f t="shared" si="9"/>
        <v>14.068472222222223</v>
      </c>
      <c r="BA20" s="476">
        <f t="shared" si="9"/>
        <v>5.5484722222222222</v>
      </c>
      <c r="BB20" s="476">
        <f t="shared" si="9"/>
        <v>16.592916666666667</v>
      </c>
      <c r="BC20" s="476">
        <f t="shared" si="9"/>
        <v>13.893819444444444</v>
      </c>
      <c r="BD20" s="476">
        <f t="shared" si="9"/>
        <v>24.938263888888891</v>
      </c>
      <c r="BE20" s="476">
        <f t="shared" si="9"/>
        <v>16.418263888888887</v>
      </c>
      <c r="BF20" s="476">
        <f t="shared" si="9"/>
        <v>27.462708333333332</v>
      </c>
    </row>
    <row r="21" spans="1:58">
      <c r="A21" s="499" t="s">
        <v>4266</v>
      </c>
      <c r="B21" s="497">
        <v>646885315</v>
      </c>
      <c r="C21" s="492" t="s">
        <v>8412</v>
      </c>
      <c r="D21" s="467">
        <v>109</v>
      </c>
      <c r="F21" s="17" t="str">
        <f t="shared" si="10"/>
        <v>MAC+109</v>
      </c>
      <c r="G21" s="493">
        <f t="shared" si="11"/>
        <v>644923315</v>
      </c>
      <c r="H21" s="493">
        <f t="shared" si="12"/>
        <v>646885325</v>
      </c>
      <c r="I21" s="17">
        <f t="shared" si="13"/>
        <v>7</v>
      </c>
      <c r="J21" s="17">
        <f t="shared" si="5"/>
        <v>2</v>
      </c>
      <c r="L21">
        <f t="shared" si="14"/>
        <v>180</v>
      </c>
      <c r="M21">
        <f t="shared" si="15"/>
        <v>3</v>
      </c>
      <c r="N21">
        <f t="shared" si="26"/>
        <v>7200</v>
      </c>
      <c r="O21">
        <f t="shared" si="16"/>
        <v>1800</v>
      </c>
      <c r="P21" s="3" t="str">
        <f t="shared" si="17"/>
        <v/>
      </c>
      <c r="Q21">
        <f t="shared" si="18"/>
        <v>1800</v>
      </c>
      <c r="R21" s="17" t="str">
        <f t="shared" si="19"/>
        <v/>
      </c>
      <c r="T21" s="469">
        <f t="shared" si="20"/>
        <v>2.7395833333333335</v>
      </c>
      <c r="U21" s="469">
        <f t="shared" si="20"/>
        <v>10.869791666666666</v>
      </c>
      <c r="V21" s="469">
        <f t="shared" si="21"/>
        <v>0.28444444444444444</v>
      </c>
      <c r="W21" s="469">
        <f t="shared" si="22"/>
        <v>11.044444444444444</v>
      </c>
      <c r="X21" s="469">
        <f t="shared" si="23"/>
        <v>422</v>
      </c>
      <c r="Y21" s="469">
        <f t="shared" si="24"/>
        <v>17.583333333333332</v>
      </c>
      <c r="Z21" s="469">
        <f t="shared" si="7"/>
        <v>2.5244444444444443</v>
      </c>
      <c r="AB21" s="476">
        <f t="shared" si="25"/>
        <v>11.044444444444444</v>
      </c>
      <c r="AC21" s="476">
        <f t="shared" si="8"/>
        <v>2.5244444444444443</v>
      </c>
      <c r="AD21" s="476">
        <f t="shared" si="8"/>
        <v>13.568888888888889</v>
      </c>
      <c r="AE21" s="476">
        <f t="shared" si="8"/>
        <v>28.453125</v>
      </c>
      <c r="AF21" s="476">
        <f t="shared" si="8"/>
        <v>39.497569444444444</v>
      </c>
      <c r="AG21" s="476">
        <f t="shared" si="8"/>
        <v>30.977569444444445</v>
      </c>
      <c r="AH21" s="476">
        <f t="shared" si="8"/>
        <v>42.022013888888893</v>
      </c>
      <c r="AI21" s="476">
        <f t="shared" si="8"/>
        <v>2.7395833333333335</v>
      </c>
      <c r="AJ21" s="476">
        <f t="shared" si="8"/>
        <v>13.784027777777778</v>
      </c>
      <c r="AK21" s="476">
        <f t="shared" si="8"/>
        <v>5.2640277777777778</v>
      </c>
      <c r="AL21" s="476">
        <f t="shared" si="8"/>
        <v>16.308472222222221</v>
      </c>
      <c r="AM21" s="476">
        <f t="shared" si="8"/>
        <v>31.192708333333332</v>
      </c>
      <c r="AN21" s="476">
        <f t="shared" si="8"/>
        <v>42.23715277777778</v>
      </c>
      <c r="AO21" s="476">
        <f t="shared" si="8"/>
        <v>33.717152777777777</v>
      </c>
      <c r="AP21" s="476">
        <f t="shared" si="8"/>
        <v>44.761597222222221</v>
      </c>
      <c r="AQ21" s="476">
        <f t="shared" si="8"/>
        <v>0.28444444444444444</v>
      </c>
      <c r="AR21" s="476">
        <f t="shared" si="8"/>
        <v>11.328888888888889</v>
      </c>
      <c r="AS21" s="476">
        <f t="shared" si="9"/>
        <v>2.8088888888888888</v>
      </c>
      <c r="AT21" s="476">
        <f t="shared" si="9"/>
        <v>13.853333333333333</v>
      </c>
      <c r="AU21" s="476">
        <f t="shared" si="9"/>
        <v>28.737569444444443</v>
      </c>
      <c r="AV21" s="476">
        <f t="shared" si="9"/>
        <v>39.782013888888883</v>
      </c>
      <c r="AW21" s="476">
        <f t="shared" si="9"/>
        <v>31.262013888888887</v>
      </c>
      <c r="AX21" s="476">
        <f t="shared" si="9"/>
        <v>42.306458333333332</v>
      </c>
      <c r="AY21" s="476">
        <f t="shared" si="9"/>
        <v>3.024027777777778</v>
      </c>
      <c r="AZ21" s="476">
        <f t="shared" si="9"/>
        <v>14.068472222222223</v>
      </c>
      <c r="BA21" s="476">
        <f t="shared" si="9"/>
        <v>5.5484722222222222</v>
      </c>
      <c r="BB21" s="476">
        <f t="shared" si="9"/>
        <v>16.592916666666667</v>
      </c>
      <c r="BC21" s="476">
        <f t="shared" si="9"/>
        <v>31.477152777777778</v>
      </c>
      <c r="BD21" s="476">
        <f t="shared" si="9"/>
        <v>42.521597222222226</v>
      </c>
      <c r="BE21" s="476">
        <f t="shared" si="9"/>
        <v>34.001597222222223</v>
      </c>
      <c r="BF21" s="476">
        <f t="shared" si="9"/>
        <v>45.046041666666667</v>
      </c>
    </row>
    <row r="22" spans="1:58">
      <c r="A22" s="499" t="s">
        <v>2584</v>
      </c>
      <c r="B22" s="497">
        <f>B21+5</f>
        <v>646885320</v>
      </c>
      <c r="C22" s="492" t="s">
        <v>8412</v>
      </c>
      <c r="D22" s="467">
        <v>102</v>
      </c>
      <c r="F22" s="17" t="str">
        <f t="shared" si="10"/>
        <v>MAC+102</v>
      </c>
      <c r="G22" s="493">
        <f t="shared" si="11"/>
        <v>644923315</v>
      </c>
      <c r="H22" s="493">
        <f t="shared" si="12"/>
        <v>646885325</v>
      </c>
      <c r="I22" s="17">
        <f t="shared" si="13"/>
        <v>8</v>
      </c>
      <c r="J22" s="17">
        <f t="shared" si="5"/>
        <v>1</v>
      </c>
      <c r="L22">
        <f t="shared" ref="L22" si="27">IF($C22="ON","",IF($C22="N1",$D22,L21))</f>
        <v>180</v>
      </c>
      <c r="M22">
        <f t="shared" ref="M22" si="28">IF($C22="ON","",IF($C22="N2",$D22,IF($F22="MAC+103",3,IF($F22="MAC+104",2,M21))))</f>
        <v>3</v>
      </c>
      <c r="N22">
        <f t="shared" ref="N22:N26" si="29">IF($C22="ON","",IF($C22="N3",$D22,N21))</f>
        <v>7200</v>
      </c>
      <c r="O22">
        <f t="shared" ref="O22" si="30">IF($C22="ON","",IF($C22="STAT",$D22,O21))</f>
        <v>1800</v>
      </c>
      <c r="P22" s="3" t="str">
        <f t="shared" si="17"/>
        <v/>
      </c>
      <c r="Q22">
        <f t="shared" ref="Q22" si="31">IF(F22="ON","",IF($F22="MAC+105",300,IF($F22="MAC+106",600,IF($F22="MAC+107",840,IF($F22="MAC+108",1200,IF($F22="MAC+109",1800,IF($F22="MAC+110",43200,Q21)))))))</f>
        <v>1800</v>
      </c>
      <c r="R22" s="17" t="str">
        <f t="shared" si="19"/>
        <v>102</v>
      </c>
      <c r="T22" s="469">
        <f t="shared" si="20"/>
        <v>2.7395833333333335</v>
      </c>
      <c r="U22" s="469">
        <f t="shared" si="20"/>
        <v>10.869791666666666</v>
      </c>
      <c r="V22" s="469">
        <f t="shared" si="21"/>
        <v>0.28444444444444444</v>
      </c>
      <c r="W22" s="469">
        <f t="shared" si="22"/>
        <v>11.044444444444444</v>
      </c>
      <c r="X22" s="469">
        <f t="shared" si="23"/>
        <v>422</v>
      </c>
      <c r="Y22" s="469">
        <f t="shared" ref="Y22" si="32">IF($M22="",0,IF($Q22="",1,Q22/43200)*X22)</f>
        <v>17.583333333333332</v>
      </c>
      <c r="Z22" s="469">
        <f t="shared" si="7"/>
        <v>2.5244444444444443</v>
      </c>
      <c r="AB22" s="476">
        <f t="shared" si="25"/>
        <v>11.044444444444444</v>
      </c>
      <c r="AC22" s="476">
        <f t="shared" si="8"/>
        <v>13.394236111111111</v>
      </c>
      <c r="AD22" s="476">
        <f t="shared" si="8"/>
        <v>24.438680555555557</v>
      </c>
      <c r="AE22" s="476">
        <f t="shared" si="8"/>
        <v>17.583333333333332</v>
      </c>
      <c r="AF22" s="476">
        <f t="shared" si="8"/>
        <v>28.627777777777776</v>
      </c>
      <c r="AG22" s="476">
        <f t="shared" si="8"/>
        <v>30.977569444444441</v>
      </c>
      <c r="AH22" s="476">
        <f t="shared" si="8"/>
        <v>42.022013888888885</v>
      </c>
      <c r="AI22" s="476">
        <f t="shared" si="8"/>
        <v>2.7395833333333335</v>
      </c>
      <c r="AJ22" s="476">
        <f t="shared" si="8"/>
        <v>13.784027777777778</v>
      </c>
      <c r="AK22" s="476">
        <f t="shared" si="8"/>
        <v>16.133819444444445</v>
      </c>
      <c r="AL22" s="476">
        <f t="shared" si="8"/>
        <v>27.178263888888889</v>
      </c>
      <c r="AM22" s="476">
        <f t="shared" si="8"/>
        <v>20.322916666666664</v>
      </c>
      <c r="AN22" s="476">
        <f t="shared" si="8"/>
        <v>31.367361111111109</v>
      </c>
      <c r="AO22" s="476">
        <f t="shared" si="8"/>
        <v>33.717152777777777</v>
      </c>
      <c r="AP22" s="476">
        <f t="shared" si="8"/>
        <v>44.761597222222221</v>
      </c>
      <c r="AQ22" s="476">
        <f t="shared" si="8"/>
        <v>0.28444444444444444</v>
      </c>
      <c r="AR22" s="476">
        <f t="shared" si="8"/>
        <v>11.328888888888889</v>
      </c>
      <c r="AS22" s="476">
        <f t="shared" si="9"/>
        <v>13.678680555555555</v>
      </c>
      <c r="AT22" s="476">
        <f t="shared" si="9"/>
        <v>24.723125</v>
      </c>
      <c r="AU22" s="476">
        <f t="shared" si="9"/>
        <v>17.867777777777775</v>
      </c>
      <c r="AV22" s="476">
        <f t="shared" si="9"/>
        <v>28.912222222222219</v>
      </c>
      <c r="AW22" s="476">
        <f t="shared" si="9"/>
        <v>31.262013888888887</v>
      </c>
      <c r="AX22" s="476">
        <f t="shared" si="9"/>
        <v>42.306458333333332</v>
      </c>
      <c r="AY22" s="476">
        <f t="shared" si="9"/>
        <v>3.024027777777778</v>
      </c>
      <c r="AZ22" s="476">
        <f t="shared" si="9"/>
        <v>14.068472222222223</v>
      </c>
      <c r="BA22" s="476">
        <f t="shared" si="9"/>
        <v>16.418263888888887</v>
      </c>
      <c r="BB22" s="476">
        <f t="shared" si="9"/>
        <v>27.462708333333332</v>
      </c>
      <c r="BC22" s="476">
        <f t="shared" si="9"/>
        <v>20.607361111111111</v>
      </c>
      <c r="BD22" s="476">
        <f t="shared" si="9"/>
        <v>31.651805555555555</v>
      </c>
      <c r="BE22" s="476">
        <f t="shared" si="9"/>
        <v>34.001597222222223</v>
      </c>
      <c r="BF22" s="476">
        <f t="shared" si="9"/>
        <v>45.046041666666667</v>
      </c>
    </row>
    <row r="23" spans="1:58">
      <c r="A23" s="498" t="s">
        <v>866</v>
      </c>
      <c r="B23" s="497">
        <f>B22+5</f>
        <v>646885325</v>
      </c>
      <c r="C23" s="492" t="s">
        <v>8418</v>
      </c>
      <c r="D23" s="467"/>
      <c r="F23" s="17" t="str">
        <f>_xlfn.TEXTJOIN("+",TRUE,$C23:$D23)</f>
        <v>OFF</v>
      </c>
      <c r="G23" s="493">
        <f t="shared" si="11"/>
        <v>644923315</v>
      </c>
      <c r="H23" s="493">
        <f t="shared" si="12"/>
        <v>646885325</v>
      </c>
      <c r="I23" s="17">
        <f t="shared" si="13"/>
        <v>9</v>
      </c>
      <c r="J23" s="17">
        <f>IF($C23="OFF",0,J24+1)</f>
        <v>0</v>
      </c>
      <c r="L23">
        <f>IF($C23="ON","",IF($C23="N1",$D23,L22))</f>
        <v>180</v>
      </c>
      <c r="M23">
        <f>IF($C23="ON","",IF($C23="N2",$D23,IF($F23="MAC+103",3,IF($F23="MAC+104",2,M22))))</f>
        <v>3</v>
      </c>
      <c r="N23">
        <f t="shared" si="29"/>
        <v>7200</v>
      </c>
      <c r="O23">
        <f>IF($C23="ON","",IF($C23="STAT",$D23,O22))</f>
        <v>1800</v>
      </c>
      <c r="P23" s="3" t="str">
        <f t="shared" si="17"/>
        <v/>
      </c>
      <c r="Q23">
        <f>IF(F23="ON","",IF($F23="MAC+105",300,IF($F23="MAC+106",600,IF($F23="MAC+107",840,IF($F23="MAC+108",1200,IF($F23="MAC+109",1800,IF($F23="MAC+110",43200,Q22)))))))</f>
        <v>1800</v>
      </c>
      <c r="R23" s="17" t="str">
        <f>IF($C23="ON","",IF($F23="MAC+102","102",R22))</f>
        <v>102</v>
      </c>
      <c r="T23" s="469">
        <f>IF($M23="",0,T$1/64/$M23)</f>
        <v>2.7395833333333335</v>
      </c>
      <c r="U23" s="469">
        <f>IF($M23="",0,U$1/64/$M23)</f>
        <v>10.869791666666666</v>
      </c>
      <c r="V23" s="469">
        <f>IF($O23="",0,V$1/$O23)</f>
        <v>0.28444444444444444</v>
      </c>
      <c r="W23" s="469">
        <f>IF($L23="",0,W$1/$L23)</f>
        <v>11.044444444444444</v>
      </c>
      <c r="X23" s="469">
        <f t="shared" si="23"/>
        <v>422</v>
      </c>
      <c r="Y23" s="469">
        <f>IF($M23="",0,IF($Q23="",1,Q23/43200)*X23)</f>
        <v>17.583333333333332</v>
      </c>
      <c r="Z23" s="469">
        <f t="shared" si="7"/>
        <v>2.5244444444444443</v>
      </c>
      <c r="AB23" s="476">
        <f t="shared" si="25"/>
        <v>11.044444444444444</v>
      </c>
      <c r="AC23" s="476">
        <f t="shared" si="8"/>
        <v>13.394236111111111</v>
      </c>
      <c r="AD23" s="476">
        <f t="shared" si="8"/>
        <v>24.438680555555557</v>
      </c>
      <c r="AE23" s="476">
        <f t="shared" si="8"/>
        <v>17.583333333333332</v>
      </c>
      <c r="AF23" s="476">
        <f t="shared" si="8"/>
        <v>28.627777777777776</v>
      </c>
      <c r="AG23" s="476">
        <f t="shared" si="8"/>
        <v>30.977569444444441</v>
      </c>
      <c r="AH23" s="476">
        <f t="shared" si="8"/>
        <v>42.022013888888885</v>
      </c>
      <c r="AI23" s="476">
        <f t="shared" si="8"/>
        <v>2.7395833333333335</v>
      </c>
      <c r="AJ23" s="476">
        <f t="shared" si="8"/>
        <v>13.784027777777778</v>
      </c>
      <c r="AK23" s="476">
        <f t="shared" si="8"/>
        <v>16.133819444444445</v>
      </c>
      <c r="AL23" s="476">
        <f t="shared" si="8"/>
        <v>27.178263888888889</v>
      </c>
      <c r="AM23" s="476">
        <f t="shared" si="8"/>
        <v>20.322916666666664</v>
      </c>
      <c r="AN23" s="476">
        <f t="shared" si="8"/>
        <v>31.367361111111109</v>
      </c>
      <c r="AO23" s="476">
        <f t="shared" si="8"/>
        <v>33.717152777777777</v>
      </c>
      <c r="AP23" s="476">
        <f t="shared" si="8"/>
        <v>44.761597222222221</v>
      </c>
      <c r="AQ23" s="476">
        <f t="shared" si="8"/>
        <v>0.28444444444444444</v>
      </c>
      <c r="AR23" s="476">
        <f t="shared" si="8"/>
        <v>11.328888888888889</v>
      </c>
      <c r="AS23" s="476">
        <f t="shared" si="9"/>
        <v>13.678680555555555</v>
      </c>
      <c r="AT23" s="476">
        <f t="shared" si="9"/>
        <v>24.723125</v>
      </c>
      <c r="AU23" s="476">
        <f t="shared" si="9"/>
        <v>17.867777777777775</v>
      </c>
      <c r="AV23" s="476">
        <f t="shared" si="9"/>
        <v>28.912222222222219</v>
      </c>
      <c r="AW23" s="476">
        <f t="shared" si="9"/>
        <v>31.262013888888887</v>
      </c>
      <c r="AX23" s="476">
        <f t="shared" si="9"/>
        <v>42.306458333333332</v>
      </c>
      <c r="AY23" s="476">
        <f t="shared" si="9"/>
        <v>3.024027777777778</v>
      </c>
      <c r="AZ23" s="476">
        <f t="shared" si="9"/>
        <v>14.068472222222223</v>
      </c>
      <c r="BA23" s="476">
        <f t="shared" si="9"/>
        <v>16.418263888888887</v>
      </c>
      <c r="BB23" s="476">
        <f t="shared" si="9"/>
        <v>27.462708333333332</v>
      </c>
      <c r="BC23" s="476">
        <f t="shared" si="9"/>
        <v>20.607361111111111</v>
      </c>
      <c r="BD23" s="476">
        <f t="shared" si="9"/>
        <v>31.651805555555555</v>
      </c>
      <c r="BE23" s="476">
        <f t="shared" si="9"/>
        <v>34.001597222222223</v>
      </c>
      <c r="BF23" s="476">
        <f t="shared" si="9"/>
        <v>45.046041666666667</v>
      </c>
    </row>
    <row r="24" spans="1:58">
      <c r="A24" s="498" t="s">
        <v>866</v>
      </c>
      <c r="B24" s="495">
        <f>B14+86400+H14-G14</f>
        <v>646971725</v>
      </c>
      <c r="C24" s="492" t="s">
        <v>1148</v>
      </c>
      <c r="D24" s="467"/>
      <c r="F24" s="17" t="str">
        <f>_xlfn.TEXTJOIN("+",TRUE,$C24:$D24)</f>
        <v>ON</v>
      </c>
      <c r="G24" s="493">
        <f>IF($C24="ON",$B24,G23)</f>
        <v>646971725</v>
      </c>
      <c r="H24" s="493">
        <f>IF($C24="OFF",$B24,H25)</f>
        <v>648933735</v>
      </c>
      <c r="I24" s="17">
        <f>IF($C24="ON",0,I23+1)</f>
        <v>0</v>
      </c>
      <c r="J24" s="17">
        <f t="shared" si="5"/>
        <v>9</v>
      </c>
      <c r="L24" t="str">
        <f>IF($C24="ON","",IF($C24="N1",$D24,L23))</f>
        <v/>
      </c>
      <c r="M24" t="str">
        <f>IF($C24="ON","",IF($C24="N2",$D24,IF($F24="MAC+103",3,IF($F24="MAC+104",2,M23))))</f>
        <v/>
      </c>
      <c r="N24" t="str">
        <f t="shared" si="29"/>
        <v/>
      </c>
      <c r="O24" t="str">
        <f>IF($C24="ON","",IF($C24="STAT",$D24,O23))</f>
        <v/>
      </c>
      <c r="P24" s="3" t="str">
        <f>IF($C24="ON","",IF(AND($C24="MAC",105&lt;=$D24,$D24&lt;=110),"",IF(AND($C24="MAC",103&lt;=$D24,$D24&lt;=104),"disabled",P23)))</f>
        <v/>
      </c>
      <c r="Q24" t="str">
        <f>IF(F24="ON","",IF($F24="MAC+105",300,IF($F24="MAC+106",600,IF($F24="MAC+107",840,IF($F24="MAC+108",1200,IF($F24="MAC+109",1800,IF($F24="MAC+110",43200,Q23)))))))</f>
        <v/>
      </c>
      <c r="R24" s="17" t="str">
        <f>IF($C24="ON","",IF($F24="MAC+102","102",R23))</f>
        <v/>
      </c>
      <c r="T24" s="466">
        <f>IF($M24="",0,T$1/64/$M24)</f>
        <v>0</v>
      </c>
      <c r="U24" s="466">
        <f>IF($M24="",0,U$1/64/$M24)</f>
        <v>0</v>
      </c>
      <c r="V24">
        <f>IF($O24="",0,V$1/$O24)</f>
        <v>0</v>
      </c>
      <c r="W24">
        <f>IF($L24="",0,W$1/$L24)</f>
        <v>0</v>
      </c>
      <c r="X24" s="500">
        <f>IF(OR($M24="",$P24&lt;&gt;""),0,X$1/$M24)</f>
        <v>0</v>
      </c>
      <c r="Y24" s="500">
        <f>IF($M24="",0,IF($Q24="",1,Q24/43200)*X24)</f>
        <v>0</v>
      </c>
      <c r="Z24">
        <f t="shared" si="7"/>
        <v>0</v>
      </c>
      <c r="AB24" s="477">
        <f>IF(AB$3&lt;&gt;"",$V24,0)+IF(AB$4&lt;&gt;"",$T24,0)+IF(AB$5&lt;&gt;"",$Y24+IF($R24&lt;&gt;"102",$U24,0),0)+IF(AB$6&lt;&gt;"",$Z24+IF($R24="102",$U24,0),0)+IF(AB$7&lt;&gt;"",$W24,0)</f>
        <v>0</v>
      </c>
      <c r="AC24" s="477">
        <f t="shared" si="8"/>
        <v>0</v>
      </c>
      <c r="AD24" s="477">
        <f t="shared" si="8"/>
        <v>0</v>
      </c>
      <c r="AE24" s="477">
        <f t="shared" si="8"/>
        <v>0</v>
      </c>
      <c r="AF24" s="477">
        <f t="shared" si="8"/>
        <v>0</v>
      </c>
      <c r="AG24" s="477">
        <f t="shared" si="8"/>
        <v>0</v>
      </c>
      <c r="AH24" s="477">
        <f t="shared" si="8"/>
        <v>0</v>
      </c>
      <c r="AI24" s="477">
        <f t="shared" si="8"/>
        <v>0</v>
      </c>
      <c r="AJ24" s="477">
        <f t="shared" si="8"/>
        <v>0</v>
      </c>
      <c r="AK24" s="477">
        <f t="shared" si="8"/>
        <v>0</v>
      </c>
      <c r="AL24" s="477">
        <f t="shared" si="8"/>
        <v>0</v>
      </c>
      <c r="AM24" s="477">
        <f t="shared" si="8"/>
        <v>0</v>
      </c>
      <c r="AN24" s="477">
        <f t="shared" si="8"/>
        <v>0</v>
      </c>
      <c r="AO24" s="477">
        <f t="shared" si="8"/>
        <v>0</v>
      </c>
      <c r="AP24" s="477">
        <f t="shared" si="8"/>
        <v>0</v>
      </c>
      <c r="AQ24" s="477">
        <f t="shared" si="8"/>
        <v>0</v>
      </c>
      <c r="AR24" s="477">
        <f t="shared" si="8"/>
        <v>0</v>
      </c>
      <c r="AS24" s="477">
        <f t="shared" si="9"/>
        <v>0</v>
      </c>
      <c r="AT24" s="477">
        <f t="shared" si="9"/>
        <v>0</v>
      </c>
      <c r="AU24" s="477">
        <f t="shared" si="9"/>
        <v>0</v>
      </c>
      <c r="AV24" s="477">
        <f t="shared" si="9"/>
        <v>0</v>
      </c>
      <c r="AW24" s="477">
        <f t="shared" si="9"/>
        <v>0</v>
      </c>
      <c r="AX24" s="477">
        <f t="shared" si="9"/>
        <v>0</v>
      </c>
      <c r="AY24" s="477">
        <f t="shared" si="9"/>
        <v>0</v>
      </c>
      <c r="AZ24" s="477">
        <f t="shared" si="9"/>
        <v>0</v>
      </c>
      <c r="BA24" s="477">
        <f t="shared" si="9"/>
        <v>0</v>
      </c>
      <c r="BB24" s="477">
        <f t="shared" si="9"/>
        <v>0</v>
      </c>
      <c r="BC24" s="477">
        <f t="shared" si="9"/>
        <v>0</v>
      </c>
      <c r="BD24" s="477">
        <f t="shared" si="9"/>
        <v>0</v>
      </c>
      <c r="BE24" s="477">
        <f t="shared" si="9"/>
        <v>0</v>
      </c>
      <c r="BF24" s="477">
        <f t="shared" si="9"/>
        <v>0</v>
      </c>
    </row>
    <row r="25" spans="1:58">
      <c r="A25" s="499" t="s">
        <v>1288</v>
      </c>
      <c r="B25" s="495">
        <f t="shared" ref="B25:B33" si="33">B15+86400+H15-G15</f>
        <v>648931925</v>
      </c>
      <c r="C25" s="492" t="s">
        <v>8412</v>
      </c>
      <c r="D25" s="467">
        <v>111</v>
      </c>
      <c r="F25" s="17" t="str">
        <f t="shared" ref="F25:F42" si="34">_xlfn.TEXTJOIN("+",TRUE,$C25:$D25)</f>
        <v>MAC+111</v>
      </c>
      <c r="G25" s="493">
        <f t="shared" si="11"/>
        <v>646971725</v>
      </c>
      <c r="H25" s="493">
        <f t="shared" si="12"/>
        <v>648933735</v>
      </c>
      <c r="I25" s="17">
        <f t="shared" si="13"/>
        <v>1</v>
      </c>
      <c r="J25" s="17">
        <f t="shared" si="5"/>
        <v>8</v>
      </c>
      <c r="L25" t="str">
        <f t="shared" ref="L25:L42" si="35">IF($C25="ON","",IF($C25="N1",$D25,L24))</f>
        <v/>
      </c>
      <c r="M25" t="str">
        <f t="shared" ref="M25:M42" si="36">IF($C25="ON","",IF($C25="N2",$D25,IF($F25="MAC+103",3,IF($F25="MAC+104",2,M24))))</f>
        <v/>
      </c>
      <c r="N25" t="str">
        <f t="shared" si="29"/>
        <v/>
      </c>
      <c r="O25" t="str">
        <f t="shared" ref="O25:O42" si="37">IF($C25="ON","",IF($C25="STAT",$D25,O24))</f>
        <v/>
      </c>
      <c r="P25" s="3" t="str">
        <f t="shared" si="17"/>
        <v/>
      </c>
      <c r="Q25" t="str">
        <f t="shared" ref="Q25:Q32" si="38">IF(F25="ON","",IF($F25="MAC+105",300,IF($F25="MAC+106",600,IF($F25="MAC+107",840,IF($F25="MAC+108",1200,IF($F25="MAC+109",1800,IF($F25="MAC+110",43200,Q24)))))))</f>
        <v/>
      </c>
      <c r="R25" s="17" t="str">
        <f t="shared" ref="R25:R42" si="39">IF($C25="ON","",IF($F25="MAC+102","102",R24))</f>
        <v/>
      </c>
      <c r="T25" s="466">
        <f t="shared" ref="T25:U40" si="40">IF($M25="",0,T$1/64/$M25)</f>
        <v>0</v>
      </c>
      <c r="U25" s="466">
        <f t="shared" si="40"/>
        <v>0</v>
      </c>
      <c r="V25">
        <f t="shared" ref="V25:V42" si="41">IF($O25="",0,V$1/$O25)</f>
        <v>0</v>
      </c>
      <c r="W25">
        <f t="shared" ref="W25:W42" si="42">IF($L25="",0,W$1/$L25)</f>
        <v>0</v>
      </c>
      <c r="X25" s="500">
        <f t="shared" si="23"/>
        <v>0</v>
      </c>
      <c r="Y25" s="500">
        <f t="shared" ref="Y25:Y32" si="43">IF($M25="",0,IF($Q25="",1,Q25/43200)*X25)</f>
        <v>0</v>
      </c>
      <c r="Z25">
        <f t="shared" si="7"/>
        <v>0</v>
      </c>
      <c r="AB25" s="477">
        <f t="shared" si="25"/>
        <v>0</v>
      </c>
      <c r="AC25" s="477">
        <f t="shared" si="8"/>
        <v>0</v>
      </c>
      <c r="AD25" s="477">
        <f t="shared" si="8"/>
        <v>0</v>
      </c>
      <c r="AE25" s="477">
        <f t="shared" si="8"/>
        <v>0</v>
      </c>
      <c r="AF25" s="477">
        <f t="shared" si="8"/>
        <v>0</v>
      </c>
      <c r="AG25" s="477">
        <f t="shared" si="8"/>
        <v>0</v>
      </c>
      <c r="AH25" s="477">
        <f t="shared" si="8"/>
        <v>0</v>
      </c>
      <c r="AI25" s="477">
        <f t="shared" si="8"/>
        <v>0</v>
      </c>
      <c r="AJ25" s="477">
        <f t="shared" si="8"/>
        <v>0</v>
      </c>
      <c r="AK25" s="477">
        <f t="shared" si="8"/>
        <v>0</v>
      </c>
      <c r="AL25" s="477">
        <f t="shared" si="8"/>
        <v>0</v>
      </c>
      <c r="AM25" s="477">
        <f t="shared" si="8"/>
        <v>0</v>
      </c>
      <c r="AN25" s="477">
        <f t="shared" si="8"/>
        <v>0</v>
      </c>
      <c r="AO25" s="477">
        <f t="shared" si="8"/>
        <v>0</v>
      </c>
      <c r="AP25" s="477">
        <f t="shared" si="8"/>
        <v>0</v>
      </c>
      <c r="AQ25" s="477">
        <f t="shared" si="8"/>
        <v>0</v>
      </c>
      <c r="AR25" s="477">
        <f t="shared" si="8"/>
        <v>0</v>
      </c>
      <c r="AS25" s="477">
        <f t="shared" si="9"/>
        <v>0</v>
      </c>
      <c r="AT25" s="477">
        <f t="shared" si="9"/>
        <v>0</v>
      </c>
      <c r="AU25" s="477">
        <f t="shared" si="9"/>
        <v>0</v>
      </c>
      <c r="AV25" s="477">
        <f t="shared" si="9"/>
        <v>0</v>
      </c>
      <c r="AW25" s="477">
        <f t="shared" si="9"/>
        <v>0</v>
      </c>
      <c r="AX25" s="477">
        <f t="shared" si="9"/>
        <v>0</v>
      </c>
      <c r="AY25" s="477">
        <f t="shared" si="9"/>
        <v>0</v>
      </c>
      <c r="AZ25" s="477">
        <f t="shared" si="9"/>
        <v>0</v>
      </c>
      <c r="BA25" s="477">
        <f t="shared" si="9"/>
        <v>0</v>
      </c>
      <c r="BB25" s="477">
        <f t="shared" si="9"/>
        <v>0</v>
      </c>
      <c r="BC25" s="477">
        <f t="shared" si="9"/>
        <v>0</v>
      </c>
      <c r="BD25" s="477">
        <f t="shared" si="9"/>
        <v>0</v>
      </c>
      <c r="BE25" s="477">
        <f t="shared" si="9"/>
        <v>0</v>
      </c>
      <c r="BF25" s="477">
        <f t="shared" si="9"/>
        <v>0</v>
      </c>
    </row>
    <row r="26" spans="1:58">
      <c r="A26" s="499" t="s">
        <v>1517</v>
      </c>
      <c r="B26" s="495">
        <f t="shared" si="33"/>
        <v>648932525</v>
      </c>
      <c r="C26" s="492" t="s">
        <v>776</v>
      </c>
      <c r="D26" s="467">
        <v>360</v>
      </c>
      <c r="F26" s="17" t="str">
        <f t="shared" si="34"/>
        <v>N2+360</v>
      </c>
      <c r="G26" s="493">
        <f t="shared" si="11"/>
        <v>646971725</v>
      </c>
      <c r="H26" s="493">
        <f t="shared" si="12"/>
        <v>648933735</v>
      </c>
      <c r="I26" s="17">
        <f t="shared" si="13"/>
        <v>2</v>
      </c>
      <c r="J26" s="17">
        <f t="shared" si="5"/>
        <v>7</v>
      </c>
      <c r="L26" t="str">
        <f t="shared" si="35"/>
        <v/>
      </c>
      <c r="M26">
        <f t="shared" si="36"/>
        <v>360</v>
      </c>
      <c r="N26" t="str">
        <f t="shared" si="29"/>
        <v/>
      </c>
      <c r="O26" t="str">
        <f t="shared" si="37"/>
        <v/>
      </c>
      <c r="P26" s="3" t="str">
        <f t="shared" si="17"/>
        <v/>
      </c>
      <c r="Q26" t="str">
        <f t="shared" si="38"/>
        <v/>
      </c>
      <c r="R26" s="17" t="str">
        <f t="shared" si="39"/>
        <v/>
      </c>
      <c r="T26" s="466">
        <f t="shared" si="40"/>
        <v>2.282986111111111E-2</v>
      </c>
      <c r="U26" s="466">
        <f t="shared" si="40"/>
        <v>9.0581597222222227E-2</v>
      </c>
      <c r="V26">
        <f t="shared" si="41"/>
        <v>0</v>
      </c>
      <c r="W26">
        <f t="shared" si="42"/>
        <v>0</v>
      </c>
      <c r="X26" s="500">
        <f t="shared" si="23"/>
        <v>3.5166666666666666</v>
      </c>
      <c r="Y26" s="500">
        <f t="shared" si="43"/>
        <v>3.5166666666666666</v>
      </c>
      <c r="Z26">
        <f t="shared" si="7"/>
        <v>0</v>
      </c>
      <c r="AB26" s="477">
        <f t="shared" si="25"/>
        <v>0</v>
      </c>
      <c r="AC26" s="477">
        <f t="shared" si="8"/>
        <v>0</v>
      </c>
      <c r="AD26" s="477">
        <f t="shared" si="8"/>
        <v>0</v>
      </c>
      <c r="AE26" s="477">
        <f t="shared" si="8"/>
        <v>3.6072482638888888</v>
      </c>
      <c r="AF26" s="477">
        <f t="shared" si="8"/>
        <v>3.6072482638888888</v>
      </c>
      <c r="AG26" s="477">
        <f t="shared" si="8"/>
        <v>3.6072482638888888</v>
      </c>
      <c r="AH26" s="477">
        <f t="shared" si="8"/>
        <v>3.6072482638888888</v>
      </c>
      <c r="AI26" s="477">
        <f t="shared" si="8"/>
        <v>2.282986111111111E-2</v>
      </c>
      <c r="AJ26" s="477">
        <f t="shared" si="8"/>
        <v>2.282986111111111E-2</v>
      </c>
      <c r="AK26" s="477">
        <f t="shared" si="8"/>
        <v>2.282986111111111E-2</v>
      </c>
      <c r="AL26" s="477">
        <f t="shared" si="8"/>
        <v>2.282986111111111E-2</v>
      </c>
      <c r="AM26" s="477">
        <f t="shared" si="8"/>
        <v>3.6300781249999998</v>
      </c>
      <c r="AN26" s="477">
        <f t="shared" si="8"/>
        <v>3.6300781249999998</v>
      </c>
      <c r="AO26" s="477">
        <f t="shared" si="8"/>
        <v>3.6300781249999998</v>
      </c>
      <c r="AP26" s="477">
        <f t="shared" si="8"/>
        <v>3.6300781249999998</v>
      </c>
      <c r="AQ26" s="477">
        <f t="shared" si="8"/>
        <v>0</v>
      </c>
      <c r="AR26" s="477">
        <f t="shared" si="8"/>
        <v>0</v>
      </c>
      <c r="AS26" s="477">
        <f t="shared" si="9"/>
        <v>0</v>
      </c>
      <c r="AT26" s="477">
        <f t="shared" si="9"/>
        <v>0</v>
      </c>
      <c r="AU26" s="477">
        <f t="shared" si="9"/>
        <v>3.6072482638888888</v>
      </c>
      <c r="AV26" s="477">
        <f t="shared" si="9"/>
        <v>3.6072482638888888</v>
      </c>
      <c r="AW26" s="477">
        <f t="shared" si="9"/>
        <v>3.6072482638888888</v>
      </c>
      <c r="AX26" s="477">
        <f t="shared" si="9"/>
        <v>3.6072482638888888</v>
      </c>
      <c r="AY26" s="477">
        <f t="shared" si="9"/>
        <v>2.282986111111111E-2</v>
      </c>
      <c r="AZ26" s="477">
        <f t="shared" si="9"/>
        <v>2.282986111111111E-2</v>
      </c>
      <c r="BA26" s="477">
        <f t="shared" si="9"/>
        <v>2.282986111111111E-2</v>
      </c>
      <c r="BB26" s="477">
        <f t="shared" si="9"/>
        <v>2.282986111111111E-2</v>
      </c>
      <c r="BC26" s="477">
        <f t="shared" si="9"/>
        <v>3.6300781249999998</v>
      </c>
      <c r="BD26" s="477">
        <f t="shared" si="9"/>
        <v>3.6300781249999998</v>
      </c>
      <c r="BE26" s="477">
        <f t="shared" si="9"/>
        <v>3.6300781249999998</v>
      </c>
      <c r="BF26" s="477">
        <f t="shared" si="9"/>
        <v>3.6300781249999998</v>
      </c>
    </row>
    <row r="27" spans="1:58">
      <c r="A27" s="499" t="s">
        <v>1523</v>
      </c>
      <c r="B27" s="495">
        <f t="shared" si="33"/>
        <v>648932528</v>
      </c>
      <c r="C27" s="492" t="s">
        <v>12</v>
      </c>
      <c r="D27" s="467">
        <v>360</v>
      </c>
      <c r="F27" s="17" t="str">
        <f t="shared" si="34"/>
        <v>N1+360</v>
      </c>
      <c r="G27" s="493">
        <f t="shared" si="11"/>
        <v>646971725</v>
      </c>
      <c r="H27" s="493">
        <f t="shared" si="12"/>
        <v>648933735</v>
      </c>
      <c r="I27" s="17">
        <f t="shared" si="13"/>
        <v>3</v>
      </c>
      <c r="J27" s="17">
        <f t="shared" si="5"/>
        <v>6</v>
      </c>
      <c r="L27">
        <v>180</v>
      </c>
      <c r="M27">
        <f t="shared" si="36"/>
        <v>360</v>
      </c>
      <c r="N27" t="str">
        <f>IF($C27="ON","",IF($C27="N3",$D27,N26))</f>
        <v/>
      </c>
      <c r="O27" t="str">
        <f t="shared" si="37"/>
        <v/>
      </c>
      <c r="P27" s="3" t="str">
        <f t="shared" si="17"/>
        <v/>
      </c>
      <c r="Q27" t="str">
        <f t="shared" si="38"/>
        <v/>
      </c>
      <c r="R27" s="17" t="str">
        <f t="shared" si="39"/>
        <v/>
      </c>
      <c r="T27" s="466">
        <f t="shared" si="40"/>
        <v>2.282986111111111E-2</v>
      </c>
      <c r="U27" s="466">
        <f t="shared" si="40"/>
        <v>9.0581597222222227E-2</v>
      </c>
      <c r="V27">
        <f t="shared" si="41"/>
        <v>0</v>
      </c>
      <c r="W27">
        <f t="shared" si="42"/>
        <v>11.044444444444444</v>
      </c>
      <c r="X27" s="500">
        <f t="shared" si="23"/>
        <v>3.5166666666666666</v>
      </c>
      <c r="Y27" s="500">
        <f t="shared" si="43"/>
        <v>3.5166666666666666</v>
      </c>
      <c r="Z27">
        <f t="shared" si="7"/>
        <v>0</v>
      </c>
      <c r="AB27" s="477">
        <f t="shared" si="25"/>
        <v>11.044444444444444</v>
      </c>
      <c r="AC27" s="477">
        <f t="shared" si="8"/>
        <v>0</v>
      </c>
      <c r="AD27" s="477">
        <f t="shared" si="8"/>
        <v>11.044444444444444</v>
      </c>
      <c r="AE27" s="477">
        <f t="shared" si="8"/>
        <v>3.6072482638888888</v>
      </c>
      <c r="AF27" s="477">
        <f t="shared" si="8"/>
        <v>14.651692708333332</v>
      </c>
      <c r="AG27" s="477">
        <f t="shared" si="8"/>
        <v>3.6072482638888888</v>
      </c>
      <c r="AH27" s="477">
        <f t="shared" si="8"/>
        <v>14.651692708333332</v>
      </c>
      <c r="AI27" s="477">
        <f t="shared" si="8"/>
        <v>2.282986111111111E-2</v>
      </c>
      <c r="AJ27" s="477">
        <f t="shared" si="8"/>
        <v>11.067274305555555</v>
      </c>
      <c r="AK27" s="477">
        <f t="shared" si="8"/>
        <v>2.282986111111111E-2</v>
      </c>
      <c r="AL27" s="477">
        <f t="shared" si="8"/>
        <v>11.067274305555555</v>
      </c>
      <c r="AM27" s="477">
        <f t="shared" si="8"/>
        <v>3.6300781249999998</v>
      </c>
      <c r="AN27" s="477">
        <f t="shared" si="8"/>
        <v>14.674522569444445</v>
      </c>
      <c r="AO27" s="477">
        <f t="shared" si="8"/>
        <v>3.6300781249999998</v>
      </c>
      <c r="AP27" s="477">
        <f t="shared" si="8"/>
        <v>14.674522569444445</v>
      </c>
      <c r="AQ27" s="477">
        <f t="shared" si="8"/>
        <v>0</v>
      </c>
      <c r="AR27" s="477">
        <f t="shared" si="8"/>
        <v>11.044444444444444</v>
      </c>
      <c r="AS27" s="477">
        <f t="shared" si="9"/>
        <v>0</v>
      </c>
      <c r="AT27" s="477">
        <f t="shared" si="9"/>
        <v>11.044444444444444</v>
      </c>
      <c r="AU27" s="477">
        <f t="shared" si="9"/>
        <v>3.6072482638888888</v>
      </c>
      <c r="AV27" s="477">
        <f t="shared" si="9"/>
        <v>14.651692708333332</v>
      </c>
      <c r="AW27" s="477">
        <f t="shared" si="9"/>
        <v>3.6072482638888888</v>
      </c>
      <c r="AX27" s="477">
        <f t="shared" si="9"/>
        <v>14.651692708333332</v>
      </c>
      <c r="AY27" s="477">
        <f t="shared" si="9"/>
        <v>2.282986111111111E-2</v>
      </c>
      <c r="AZ27" s="477">
        <f t="shared" si="9"/>
        <v>11.067274305555555</v>
      </c>
      <c r="BA27" s="477">
        <f t="shared" si="9"/>
        <v>2.282986111111111E-2</v>
      </c>
      <c r="BB27" s="477">
        <f t="shared" si="9"/>
        <v>11.067274305555555</v>
      </c>
      <c r="BC27" s="477">
        <f t="shared" si="9"/>
        <v>3.6300781249999998</v>
      </c>
      <c r="BD27" s="477">
        <f t="shared" si="9"/>
        <v>14.674522569444445</v>
      </c>
      <c r="BE27" s="477">
        <f t="shared" si="9"/>
        <v>3.6300781249999998</v>
      </c>
      <c r="BF27" s="477">
        <f t="shared" si="9"/>
        <v>14.674522569444445</v>
      </c>
    </row>
    <row r="28" spans="1:58">
      <c r="A28" s="499" t="s">
        <v>1160</v>
      </c>
      <c r="B28" s="495">
        <f t="shared" si="33"/>
        <v>648932531</v>
      </c>
      <c r="C28" s="492" t="s">
        <v>773</v>
      </c>
      <c r="D28" s="467">
        <v>7200</v>
      </c>
      <c r="F28" s="17" t="str">
        <f t="shared" si="34"/>
        <v>N3+7200</v>
      </c>
      <c r="G28" s="493">
        <f t="shared" si="11"/>
        <v>646971725</v>
      </c>
      <c r="H28" s="493">
        <f t="shared" si="12"/>
        <v>648933735</v>
      </c>
      <c r="I28" s="17">
        <f t="shared" si="13"/>
        <v>4</v>
      </c>
      <c r="J28" s="17">
        <f t="shared" si="5"/>
        <v>5</v>
      </c>
      <c r="L28">
        <f t="shared" si="35"/>
        <v>180</v>
      </c>
      <c r="M28">
        <f t="shared" si="36"/>
        <v>360</v>
      </c>
      <c r="N28">
        <f t="shared" ref="N28:N82" si="44">IF($C28="ON","",IF($C28="N3",$D28,N27))</f>
        <v>7200</v>
      </c>
      <c r="O28" t="str">
        <f t="shared" si="37"/>
        <v/>
      </c>
      <c r="P28" s="3" t="str">
        <f t="shared" si="17"/>
        <v/>
      </c>
      <c r="Q28" t="str">
        <f t="shared" si="38"/>
        <v/>
      </c>
      <c r="R28" s="17" t="str">
        <f t="shared" si="39"/>
        <v/>
      </c>
      <c r="T28" s="466">
        <f t="shared" si="40"/>
        <v>2.282986111111111E-2</v>
      </c>
      <c r="U28" s="466">
        <f t="shared" si="40"/>
        <v>9.0581597222222227E-2</v>
      </c>
      <c r="V28">
        <f t="shared" si="41"/>
        <v>0</v>
      </c>
      <c r="W28">
        <f t="shared" si="42"/>
        <v>11.044444444444444</v>
      </c>
      <c r="X28" s="500">
        <f t="shared" si="23"/>
        <v>3.5166666666666666</v>
      </c>
      <c r="Y28" s="500">
        <f t="shared" si="43"/>
        <v>3.5166666666666666</v>
      </c>
      <c r="Z28">
        <f t="shared" si="7"/>
        <v>2.5244444444444443</v>
      </c>
      <c r="AB28" s="477">
        <f t="shared" si="25"/>
        <v>11.044444444444444</v>
      </c>
      <c r="AC28" s="477">
        <f t="shared" si="8"/>
        <v>2.5244444444444443</v>
      </c>
      <c r="AD28" s="477">
        <f t="shared" si="8"/>
        <v>13.568888888888889</v>
      </c>
      <c r="AE28" s="477">
        <f t="shared" si="8"/>
        <v>3.6072482638888888</v>
      </c>
      <c r="AF28" s="477">
        <f t="shared" si="8"/>
        <v>14.651692708333332</v>
      </c>
      <c r="AG28" s="477">
        <f t="shared" si="8"/>
        <v>6.1316927083333326</v>
      </c>
      <c r="AH28" s="477">
        <f t="shared" si="8"/>
        <v>17.176137152777777</v>
      </c>
      <c r="AI28" s="477">
        <f t="shared" si="8"/>
        <v>2.282986111111111E-2</v>
      </c>
      <c r="AJ28" s="477">
        <f t="shared" si="8"/>
        <v>11.067274305555555</v>
      </c>
      <c r="AK28" s="477">
        <f t="shared" si="8"/>
        <v>2.5472743055555553</v>
      </c>
      <c r="AL28" s="477">
        <f t="shared" si="8"/>
        <v>13.59171875</v>
      </c>
      <c r="AM28" s="477">
        <f t="shared" si="8"/>
        <v>3.6300781249999998</v>
      </c>
      <c r="AN28" s="477">
        <f t="shared" si="8"/>
        <v>14.674522569444445</v>
      </c>
      <c r="AO28" s="477">
        <f t="shared" si="8"/>
        <v>6.1545225694444436</v>
      </c>
      <c r="AP28" s="477">
        <f t="shared" si="8"/>
        <v>17.19896701388889</v>
      </c>
      <c r="AQ28" s="477">
        <f t="shared" si="8"/>
        <v>0</v>
      </c>
      <c r="AR28" s="477">
        <f t="shared" si="8"/>
        <v>11.044444444444444</v>
      </c>
      <c r="AS28" s="477">
        <f t="shared" si="9"/>
        <v>2.5244444444444443</v>
      </c>
      <c r="AT28" s="477">
        <f t="shared" si="9"/>
        <v>13.568888888888889</v>
      </c>
      <c r="AU28" s="477">
        <f t="shared" si="9"/>
        <v>3.6072482638888888</v>
      </c>
      <c r="AV28" s="477">
        <f t="shared" si="9"/>
        <v>14.651692708333332</v>
      </c>
      <c r="AW28" s="477">
        <f t="shared" si="9"/>
        <v>6.1316927083333326</v>
      </c>
      <c r="AX28" s="477">
        <f t="shared" si="9"/>
        <v>17.176137152777777</v>
      </c>
      <c r="AY28" s="477">
        <f t="shared" si="9"/>
        <v>2.282986111111111E-2</v>
      </c>
      <c r="AZ28" s="477">
        <f t="shared" si="9"/>
        <v>11.067274305555555</v>
      </c>
      <c r="BA28" s="477">
        <f t="shared" si="9"/>
        <v>2.5472743055555553</v>
      </c>
      <c r="BB28" s="477">
        <f t="shared" si="9"/>
        <v>13.59171875</v>
      </c>
      <c r="BC28" s="477">
        <f t="shared" si="9"/>
        <v>3.6300781249999998</v>
      </c>
      <c r="BD28" s="477">
        <f t="shared" si="9"/>
        <v>14.674522569444445</v>
      </c>
      <c r="BE28" s="477">
        <f t="shared" si="9"/>
        <v>6.1545225694444436</v>
      </c>
      <c r="BF28" s="477">
        <f t="shared" si="9"/>
        <v>17.19896701388889</v>
      </c>
    </row>
    <row r="29" spans="1:58">
      <c r="A29" s="499" t="s">
        <v>1164</v>
      </c>
      <c r="B29" s="495">
        <f t="shared" si="33"/>
        <v>648932534</v>
      </c>
      <c r="C29" s="492" t="s">
        <v>8411</v>
      </c>
      <c r="D29" s="467">
        <v>1800</v>
      </c>
      <c r="F29" s="17" t="str">
        <f t="shared" si="34"/>
        <v>STAT+1800</v>
      </c>
      <c r="G29" s="493">
        <f t="shared" si="11"/>
        <v>646971725</v>
      </c>
      <c r="H29" s="493">
        <f t="shared" si="12"/>
        <v>648933735</v>
      </c>
      <c r="I29" s="17">
        <f t="shared" si="13"/>
        <v>5</v>
      </c>
      <c r="J29" s="17">
        <f t="shared" si="5"/>
        <v>4</v>
      </c>
      <c r="L29">
        <f t="shared" si="35"/>
        <v>180</v>
      </c>
      <c r="M29">
        <f t="shared" si="36"/>
        <v>360</v>
      </c>
      <c r="N29">
        <f t="shared" si="44"/>
        <v>7200</v>
      </c>
      <c r="O29">
        <f t="shared" si="37"/>
        <v>1800</v>
      </c>
      <c r="P29" s="3" t="str">
        <f t="shared" si="17"/>
        <v/>
      </c>
      <c r="Q29" t="str">
        <f t="shared" si="38"/>
        <v/>
      </c>
      <c r="R29" s="17" t="str">
        <f t="shared" si="39"/>
        <v/>
      </c>
      <c r="T29" s="466">
        <f t="shared" si="40"/>
        <v>2.282986111111111E-2</v>
      </c>
      <c r="U29" s="466">
        <f t="shared" si="40"/>
        <v>9.0581597222222227E-2</v>
      </c>
      <c r="V29">
        <f t="shared" si="41"/>
        <v>0.28444444444444444</v>
      </c>
      <c r="W29">
        <f t="shared" si="42"/>
        <v>11.044444444444444</v>
      </c>
      <c r="X29" s="500">
        <f t="shared" si="23"/>
        <v>3.5166666666666666</v>
      </c>
      <c r="Y29" s="500">
        <f t="shared" si="43"/>
        <v>3.5166666666666666</v>
      </c>
      <c r="Z29">
        <f t="shared" si="7"/>
        <v>2.5244444444444443</v>
      </c>
      <c r="AB29" s="477">
        <f t="shared" si="25"/>
        <v>11.044444444444444</v>
      </c>
      <c r="AC29" s="477">
        <f t="shared" si="8"/>
        <v>2.5244444444444443</v>
      </c>
      <c r="AD29" s="477">
        <f t="shared" si="8"/>
        <v>13.568888888888889</v>
      </c>
      <c r="AE29" s="477">
        <f t="shared" si="8"/>
        <v>3.6072482638888888</v>
      </c>
      <c r="AF29" s="477">
        <f t="shared" si="8"/>
        <v>14.651692708333332</v>
      </c>
      <c r="AG29" s="477">
        <f t="shared" si="8"/>
        <v>6.1316927083333326</v>
      </c>
      <c r="AH29" s="477">
        <f t="shared" si="8"/>
        <v>17.176137152777777</v>
      </c>
      <c r="AI29" s="477">
        <f t="shared" si="8"/>
        <v>2.282986111111111E-2</v>
      </c>
      <c r="AJ29" s="477">
        <f t="shared" si="8"/>
        <v>11.067274305555555</v>
      </c>
      <c r="AK29" s="477">
        <f t="shared" si="8"/>
        <v>2.5472743055555553</v>
      </c>
      <c r="AL29" s="477">
        <f t="shared" si="8"/>
        <v>13.59171875</v>
      </c>
      <c r="AM29" s="477">
        <f t="shared" si="8"/>
        <v>3.6300781249999998</v>
      </c>
      <c r="AN29" s="477">
        <f t="shared" si="8"/>
        <v>14.674522569444445</v>
      </c>
      <c r="AO29" s="477">
        <f t="shared" si="8"/>
        <v>6.1545225694444436</v>
      </c>
      <c r="AP29" s="477">
        <f t="shared" si="8"/>
        <v>17.19896701388889</v>
      </c>
      <c r="AQ29" s="477">
        <f t="shared" si="8"/>
        <v>0.28444444444444444</v>
      </c>
      <c r="AR29" s="477">
        <f t="shared" ref="AR29:BF37" si="45">IF(AR$3&lt;&gt;"",$V29,0)+IF(AR$4&lt;&gt;"",$T29,0)+IF(AR$5&lt;&gt;"",$Y29+IF($R29&lt;&gt;"102",$U29,0),0)+IF(AR$6&lt;&gt;"",$Z29+IF($R29="102",$U29,0),0)+IF(AR$7&lt;&gt;"",$W29,0)</f>
        <v>11.328888888888889</v>
      </c>
      <c r="AS29" s="477">
        <f t="shared" si="9"/>
        <v>2.8088888888888888</v>
      </c>
      <c r="AT29" s="477">
        <f t="shared" si="9"/>
        <v>13.853333333333333</v>
      </c>
      <c r="AU29" s="477">
        <f t="shared" si="9"/>
        <v>3.8916927083333333</v>
      </c>
      <c r="AV29" s="477">
        <f t="shared" si="9"/>
        <v>14.936137152777778</v>
      </c>
      <c r="AW29" s="477">
        <f t="shared" si="9"/>
        <v>6.4161371527777771</v>
      </c>
      <c r="AX29" s="477">
        <f t="shared" si="9"/>
        <v>17.460581597222223</v>
      </c>
      <c r="AY29" s="477">
        <f t="shared" si="9"/>
        <v>0.30727430555555557</v>
      </c>
      <c r="AZ29" s="477">
        <f t="shared" si="9"/>
        <v>11.35171875</v>
      </c>
      <c r="BA29" s="477">
        <f t="shared" si="9"/>
        <v>2.8317187499999998</v>
      </c>
      <c r="BB29" s="477">
        <f t="shared" si="9"/>
        <v>13.876163194444445</v>
      </c>
      <c r="BC29" s="477">
        <f t="shared" si="9"/>
        <v>3.9145225694444443</v>
      </c>
      <c r="BD29" s="477">
        <f t="shared" si="9"/>
        <v>14.958967013888888</v>
      </c>
      <c r="BE29" s="477">
        <f t="shared" si="9"/>
        <v>6.4389670138888881</v>
      </c>
      <c r="BF29" s="477">
        <f t="shared" si="9"/>
        <v>17.483411458333332</v>
      </c>
    </row>
    <row r="30" spans="1:58">
      <c r="A30" s="499" t="s">
        <v>1533</v>
      </c>
      <c r="B30" s="495">
        <f t="shared" si="33"/>
        <v>648933125</v>
      </c>
      <c r="C30" s="492" t="s">
        <v>8412</v>
      </c>
      <c r="D30" s="467">
        <v>104</v>
      </c>
      <c r="F30" s="17" t="str">
        <f t="shared" si="34"/>
        <v>MAC+104</v>
      </c>
      <c r="G30" s="493">
        <f t="shared" si="11"/>
        <v>646971725</v>
      </c>
      <c r="H30" s="493">
        <f t="shared" si="12"/>
        <v>648933735</v>
      </c>
      <c r="I30" s="17">
        <f t="shared" si="13"/>
        <v>6</v>
      </c>
      <c r="J30" s="17">
        <f t="shared" si="5"/>
        <v>3</v>
      </c>
      <c r="L30">
        <f t="shared" si="35"/>
        <v>180</v>
      </c>
      <c r="M30">
        <f t="shared" si="36"/>
        <v>2</v>
      </c>
      <c r="N30">
        <f t="shared" si="44"/>
        <v>7200</v>
      </c>
      <c r="O30">
        <f t="shared" si="37"/>
        <v>1800</v>
      </c>
      <c r="P30" s="3" t="str">
        <f t="shared" si="17"/>
        <v>disabled</v>
      </c>
      <c r="Q30" t="str">
        <f t="shared" si="38"/>
        <v/>
      </c>
      <c r="R30" s="17" t="str">
        <f t="shared" si="39"/>
        <v/>
      </c>
      <c r="T30" s="466">
        <f t="shared" si="40"/>
        <v>4.109375</v>
      </c>
      <c r="U30" s="466">
        <f t="shared" si="40"/>
        <v>16.3046875</v>
      </c>
      <c r="V30">
        <f t="shared" si="41"/>
        <v>0.28444444444444444</v>
      </c>
      <c r="W30">
        <f t="shared" si="42"/>
        <v>11.044444444444444</v>
      </c>
      <c r="X30" s="500">
        <f t="shared" si="23"/>
        <v>0</v>
      </c>
      <c r="Y30" s="500">
        <f t="shared" si="43"/>
        <v>0</v>
      </c>
      <c r="Z30">
        <f t="shared" si="7"/>
        <v>2.5244444444444443</v>
      </c>
      <c r="AB30" s="477">
        <f t="shared" si="25"/>
        <v>11.044444444444444</v>
      </c>
      <c r="AC30" s="477">
        <f t="shared" si="25"/>
        <v>2.5244444444444443</v>
      </c>
      <c r="AD30" s="477">
        <f t="shared" si="25"/>
        <v>13.568888888888889</v>
      </c>
      <c r="AE30" s="477">
        <f t="shared" si="25"/>
        <v>16.3046875</v>
      </c>
      <c r="AF30" s="477">
        <f t="shared" si="25"/>
        <v>27.349131944444444</v>
      </c>
      <c r="AG30" s="477">
        <f t="shared" si="25"/>
        <v>18.829131944444445</v>
      </c>
      <c r="AH30" s="477">
        <f t="shared" si="25"/>
        <v>29.873576388888889</v>
      </c>
      <c r="AI30" s="477">
        <f t="shared" si="25"/>
        <v>4.109375</v>
      </c>
      <c r="AJ30" s="477">
        <f t="shared" si="25"/>
        <v>15.153819444444444</v>
      </c>
      <c r="AK30" s="477">
        <f t="shared" si="25"/>
        <v>6.6338194444444447</v>
      </c>
      <c r="AL30" s="477">
        <f t="shared" si="25"/>
        <v>17.678263888888889</v>
      </c>
      <c r="AM30" s="477">
        <f t="shared" si="25"/>
        <v>20.4140625</v>
      </c>
      <c r="AN30" s="477">
        <f t="shared" si="25"/>
        <v>31.458506944444444</v>
      </c>
      <c r="AO30" s="477">
        <f t="shared" si="25"/>
        <v>22.938506944444445</v>
      </c>
      <c r="AP30" s="477">
        <f t="shared" si="25"/>
        <v>33.982951388888893</v>
      </c>
      <c r="AQ30" s="477">
        <f t="shared" si="25"/>
        <v>0.28444444444444444</v>
      </c>
      <c r="AR30" s="477">
        <f t="shared" si="45"/>
        <v>11.328888888888889</v>
      </c>
      <c r="AS30" s="477">
        <f t="shared" si="45"/>
        <v>2.8088888888888888</v>
      </c>
      <c r="AT30" s="477">
        <f t="shared" si="45"/>
        <v>13.853333333333333</v>
      </c>
      <c r="AU30" s="477">
        <f t="shared" si="45"/>
        <v>16.589131944444443</v>
      </c>
      <c r="AV30" s="477">
        <f t="shared" si="45"/>
        <v>27.633576388888887</v>
      </c>
      <c r="AW30" s="477">
        <f t="shared" si="45"/>
        <v>19.113576388888887</v>
      </c>
      <c r="AX30" s="477">
        <f t="shared" si="45"/>
        <v>30.158020833333332</v>
      </c>
      <c r="AY30" s="477">
        <f t="shared" si="45"/>
        <v>4.3938194444444445</v>
      </c>
      <c r="AZ30" s="477">
        <f t="shared" si="45"/>
        <v>15.438263888888889</v>
      </c>
      <c r="BA30" s="477">
        <f t="shared" si="45"/>
        <v>6.9182638888888892</v>
      </c>
      <c r="BB30" s="477">
        <f t="shared" si="45"/>
        <v>17.962708333333332</v>
      </c>
      <c r="BC30" s="477">
        <f t="shared" si="45"/>
        <v>20.698506944444446</v>
      </c>
      <c r="BD30" s="477">
        <f t="shared" si="45"/>
        <v>31.742951388888891</v>
      </c>
      <c r="BE30" s="477">
        <f t="shared" si="45"/>
        <v>23.222951388888891</v>
      </c>
      <c r="BF30" s="477">
        <f t="shared" si="45"/>
        <v>34.267395833333339</v>
      </c>
    </row>
    <row r="31" spans="1:58">
      <c r="A31" s="499" t="s">
        <v>4266</v>
      </c>
      <c r="B31" s="495">
        <f t="shared" si="33"/>
        <v>648933725</v>
      </c>
      <c r="C31" s="492" t="s">
        <v>8412</v>
      </c>
      <c r="D31" s="467">
        <v>109</v>
      </c>
      <c r="F31" s="17" t="str">
        <f t="shared" si="34"/>
        <v>MAC+109</v>
      </c>
      <c r="G31" s="493">
        <f t="shared" si="11"/>
        <v>646971725</v>
      </c>
      <c r="H31" s="493">
        <f t="shared" si="12"/>
        <v>648933735</v>
      </c>
      <c r="I31" s="17">
        <f t="shared" si="13"/>
        <v>7</v>
      </c>
      <c r="J31" s="17">
        <f t="shared" si="5"/>
        <v>2</v>
      </c>
      <c r="L31">
        <f t="shared" si="35"/>
        <v>180</v>
      </c>
      <c r="M31">
        <f t="shared" si="36"/>
        <v>2</v>
      </c>
      <c r="N31">
        <f t="shared" si="44"/>
        <v>7200</v>
      </c>
      <c r="O31">
        <f t="shared" si="37"/>
        <v>1800</v>
      </c>
      <c r="P31" s="3" t="str">
        <f t="shared" si="17"/>
        <v/>
      </c>
      <c r="Q31">
        <f t="shared" si="38"/>
        <v>1800</v>
      </c>
      <c r="R31" s="17" t="str">
        <f t="shared" si="39"/>
        <v/>
      </c>
      <c r="T31" s="466">
        <f t="shared" si="40"/>
        <v>4.109375</v>
      </c>
      <c r="U31" s="466">
        <f t="shared" si="40"/>
        <v>16.3046875</v>
      </c>
      <c r="V31">
        <f t="shared" si="41"/>
        <v>0.28444444444444444</v>
      </c>
      <c r="W31">
        <f t="shared" si="42"/>
        <v>11.044444444444444</v>
      </c>
      <c r="X31" s="500">
        <f t="shared" si="23"/>
        <v>633</v>
      </c>
      <c r="Y31" s="500">
        <f t="shared" si="43"/>
        <v>26.375</v>
      </c>
      <c r="Z31">
        <f t="shared" si="7"/>
        <v>2.5244444444444443</v>
      </c>
      <c r="AB31" s="477">
        <f t="shared" ref="AB31:AQ38" si="46">IF(AB$3&lt;&gt;"",$V31,0)+IF(AB$4&lt;&gt;"",$T31,0)+IF(AB$5&lt;&gt;"",$Y31+IF($R31&lt;&gt;"102",$U31,0),0)+IF(AB$6&lt;&gt;"",$Z31+IF($R31="102",$U31,0),0)+IF(AB$7&lt;&gt;"",$W31,0)</f>
        <v>11.044444444444444</v>
      </c>
      <c r="AC31" s="477">
        <f t="shared" si="46"/>
        <v>2.5244444444444443</v>
      </c>
      <c r="AD31" s="477">
        <f t="shared" si="46"/>
        <v>13.568888888888889</v>
      </c>
      <c r="AE31" s="477">
        <f t="shared" si="46"/>
        <v>42.6796875</v>
      </c>
      <c r="AF31" s="477">
        <f t="shared" si="46"/>
        <v>53.724131944444444</v>
      </c>
      <c r="AG31" s="477">
        <f t="shared" si="46"/>
        <v>45.204131944444441</v>
      </c>
      <c r="AH31" s="477">
        <f t="shared" si="46"/>
        <v>56.248576388888885</v>
      </c>
      <c r="AI31" s="477">
        <f t="shared" si="46"/>
        <v>4.109375</v>
      </c>
      <c r="AJ31" s="477">
        <f t="shared" si="46"/>
        <v>15.153819444444444</v>
      </c>
      <c r="AK31" s="477">
        <f t="shared" si="46"/>
        <v>6.6338194444444447</v>
      </c>
      <c r="AL31" s="477">
        <f t="shared" si="46"/>
        <v>17.678263888888889</v>
      </c>
      <c r="AM31" s="477">
        <f t="shared" si="46"/>
        <v>46.7890625</v>
      </c>
      <c r="AN31" s="477">
        <f t="shared" si="46"/>
        <v>57.833506944444444</v>
      </c>
      <c r="AO31" s="477">
        <f t="shared" si="46"/>
        <v>49.313506944444441</v>
      </c>
      <c r="AP31" s="477">
        <f t="shared" si="46"/>
        <v>60.357951388888885</v>
      </c>
      <c r="AQ31" s="477">
        <f t="shared" si="46"/>
        <v>0.28444444444444444</v>
      </c>
      <c r="AR31" s="477">
        <f t="shared" si="45"/>
        <v>11.328888888888889</v>
      </c>
      <c r="AS31" s="477">
        <f t="shared" si="45"/>
        <v>2.8088888888888888</v>
      </c>
      <c r="AT31" s="477">
        <f t="shared" si="45"/>
        <v>13.853333333333333</v>
      </c>
      <c r="AU31" s="477">
        <f t="shared" si="45"/>
        <v>42.964131944444446</v>
      </c>
      <c r="AV31" s="477">
        <f t="shared" si="45"/>
        <v>54.008576388888891</v>
      </c>
      <c r="AW31" s="477">
        <f t="shared" si="45"/>
        <v>45.488576388888887</v>
      </c>
      <c r="AX31" s="477">
        <f t="shared" si="45"/>
        <v>56.533020833333332</v>
      </c>
      <c r="AY31" s="477">
        <f t="shared" si="45"/>
        <v>4.3938194444444445</v>
      </c>
      <c r="AZ31" s="477">
        <f t="shared" si="45"/>
        <v>15.438263888888889</v>
      </c>
      <c r="BA31" s="477">
        <f t="shared" si="45"/>
        <v>6.9182638888888892</v>
      </c>
      <c r="BB31" s="477">
        <f t="shared" si="45"/>
        <v>17.962708333333332</v>
      </c>
      <c r="BC31" s="477">
        <f t="shared" si="45"/>
        <v>47.073506944444446</v>
      </c>
      <c r="BD31" s="477">
        <f t="shared" si="45"/>
        <v>58.117951388888891</v>
      </c>
      <c r="BE31" s="477">
        <f t="shared" si="45"/>
        <v>49.597951388888887</v>
      </c>
      <c r="BF31" s="477">
        <f t="shared" si="45"/>
        <v>60.642395833333332</v>
      </c>
    </row>
    <row r="32" spans="1:58">
      <c r="A32" s="499" t="s">
        <v>2584</v>
      </c>
      <c r="B32" s="495">
        <f t="shared" si="33"/>
        <v>648933730</v>
      </c>
      <c r="C32" s="492" t="s">
        <v>8412</v>
      </c>
      <c r="D32" s="467">
        <v>102</v>
      </c>
      <c r="F32" s="17" t="str">
        <f t="shared" si="34"/>
        <v>MAC+102</v>
      </c>
      <c r="G32" s="493">
        <f t="shared" si="11"/>
        <v>646971725</v>
      </c>
      <c r="H32" s="493">
        <f t="shared" si="12"/>
        <v>648933735</v>
      </c>
      <c r="I32" s="17">
        <f t="shared" si="13"/>
        <v>8</v>
      </c>
      <c r="J32" s="17">
        <f t="shared" si="5"/>
        <v>1</v>
      </c>
      <c r="L32">
        <f t="shared" si="35"/>
        <v>180</v>
      </c>
      <c r="M32">
        <f t="shared" si="36"/>
        <v>2</v>
      </c>
      <c r="N32">
        <f t="shared" si="44"/>
        <v>7200</v>
      </c>
      <c r="O32">
        <f t="shared" si="37"/>
        <v>1800</v>
      </c>
      <c r="P32" s="3" t="str">
        <f t="shared" si="17"/>
        <v/>
      </c>
      <c r="Q32">
        <f t="shared" si="38"/>
        <v>1800</v>
      </c>
      <c r="R32" s="17" t="str">
        <f t="shared" si="39"/>
        <v>102</v>
      </c>
      <c r="T32" s="466">
        <f t="shared" si="40"/>
        <v>4.109375</v>
      </c>
      <c r="U32" s="466">
        <f t="shared" si="40"/>
        <v>16.3046875</v>
      </c>
      <c r="V32">
        <f t="shared" si="41"/>
        <v>0.28444444444444444</v>
      </c>
      <c r="W32">
        <f t="shared" si="42"/>
        <v>11.044444444444444</v>
      </c>
      <c r="X32" s="500">
        <f t="shared" si="23"/>
        <v>633</v>
      </c>
      <c r="Y32" s="500">
        <f t="shared" si="43"/>
        <v>26.375</v>
      </c>
      <c r="Z32">
        <f t="shared" si="7"/>
        <v>2.5244444444444443</v>
      </c>
      <c r="AB32" s="477">
        <f t="shared" si="46"/>
        <v>11.044444444444444</v>
      </c>
      <c r="AC32" s="477">
        <f t="shared" si="46"/>
        <v>18.829131944444445</v>
      </c>
      <c r="AD32" s="477">
        <f t="shared" si="46"/>
        <v>29.873576388888889</v>
      </c>
      <c r="AE32" s="477">
        <f t="shared" si="46"/>
        <v>26.375</v>
      </c>
      <c r="AF32" s="477">
        <f t="shared" si="46"/>
        <v>37.419444444444444</v>
      </c>
      <c r="AG32" s="477">
        <f t="shared" si="46"/>
        <v>45.204131944444441</v>
      </c>
      <c r="AH32" s="477">
        <f t="shared" si="46"/>
        <v>56.248576388888885</v>
      </c>
      <c r="AI32" s="477">
        <f t="shared" si="46"/>
        <v>4.109375</v>
      </c>
      <c r="AJ32" s="477">
        <f t="shared" si="46"/>
        <v>15.153819444444444</v>
      </c>
      <c r="AK32" s="477">
        <f t="shared" si="46"/>
        <v>22.938506944444445</v>
      </c>
      <c r="AL32" s="477">
        <f t="shared" si="46"/>
        <v>33.982951388888893</v>
      </c>
      <c r="AM32" s="477">
        <f t="shared" si="46"/>
        <v>30.484375</v>
      </c>
      <c r="AN32" s="477">
        <f t="shared" si="46"/>
        <v>41.528819444444444</v>
      </c>
      <c r="AO32" s="477">
        <f t="shared" si="46"/>
        <v>49.313506944444441</v>
      </c>
      <c r="AP32" s="477">
        <f t="shared" si="46"/>
        <v>60.357951388888885</v>
      </c>
      <c r="AQ32" s="477">
        <f t="shared" si="46"/>
        <v>0.28444444444444444</v>
      </c>
      <c r="AR32" s="477">
        <f t="shared" si="45"/>
        <v>11.328888888888889</v>
      </c>
      <c r="AS32" s="477">
        <f t="shared" si="45"/>
        <v>19.113576388888887</v>
      </c>
      <c r="AT32" s="477">
        <f t="shared" si="45"/>
        <v>30.158020833333332</v>
      </c>
      <c r="AU32" s="477">
        <f t="shared" si="45"/>
        <v>26.659444444444443</v>
      </c>
      <c r="AV32" s="477">
        <f t="shared" si="45"/>
        <v>37.703888888888883</v>
      </c>
      <c r="AW32" s="477">
        <f t="shared" si="45"/>
        <v>45.488576388888887</v>
      </c>
      <c r="AX32" s="477">
        <f t="shared" si="45"/>
        <v>56.533020833333332</v>
      </c>
      <c r="AY32" s="477">
        <f t="shared" si="45"/>
        <v>4.3938194444444445</v>
      </c>
      <c r="AZ32" s="477">
        <f t="shared" si="45"/>
        <v>15.438263888888889</v>
      </c>
      <c r="BA32" s="477">
        <f t="shared" si="45"/>
        <v>23.222951388888887</v>
      </c>
      <c r="BB32" s="477">
        <f t="shared" si="45"/>
        <v>34.267395833333332</v>
      </c>
      <c r="BC32" s="477">
        <f t="shared" si="45"/>
        <v>30.768819444444446</v>
      </c>
      <c r="BD32" s="477">
        <f t="shared" si="45"/>
        <v>41.813263888888891</v>
      </c>
      <c r="BE32" s="477">
        <f t="shared" si="45"/>
        <v>49.597951388888887</v>
      </c>
      <c r="BF32" s="477">
        <f t="shared" si="45"/>
        <v>60.642395833333332</v>
      </c>
    </row>
    <row r="33" spans="1:58">
      <c r="A33" s="498" t="s">
        <v>866</v>
      </c>
      <c r="B33" s="495">
        <f t="shared" si="33"/>
        <v>648933735</v>
      </c>
      <c r="C33" s="492" t="s">
        <v>8418</v>
      </c>
      <c r="D33" s="467"/>
      <c r="F33" s="17" t="str">
        <f>_xlfn.TEXTJOIN("+",TRUE,$C33:$D33)</f>
        <v>OFF</v>
      </c>
      <c r="G33" s="493">
        <f t="shared" si="11"/>
        <v>646971725</v>
      </c>
      <c r="H33" s="493">
        <f t="shared" si="12"/>
        <v>648933735</v>
      </c>
      <c r="I33" s="17">
        <f t="shared" si="13"/>
        <v>9</v>
      </c>
      <c r="J33" s="17">
        <f>IF($C33="OFF",0,J34+1)</f>
        <v>0</v>
      </c>
      <c r="L33">
        <f>IF($C33="ON","",IF($C33="N1",$D33,L32))</f>
        <v>180</v>
      </c>
      <c r="M33">
        <f>IF($C33="ON","",IF($C33="N2",$D33,IF($F33="MAC+103",3,IF($F33="MAC+104",2,M32))))</f>
        <v>2</v>
      </c>
      <c r="N33">
        <f t="shared" si="44"/>
        <v>7200</v>
      </c>
      <c r="O33">
        <f>IF($C33="ON","",IF($C33="STAT",$D33,O32))</f>
        <v>1800</v>
      </c>
      <c r="P33" s="3" t="str">
        <f t="shared" si="17"/>
        <v/>
      </c>
      <c r="Q33">
        <f>IF(F33="ON","",IF($F33="MAC+105",300,IF($F33="MAC+106",600,IF($F33="MAC+107",840,IF($F33="MAC+108",1200,IF($F33="MAC+109",1800,IF($F33="MAC+110",43200,Q32)))))))</f>
        <v>1800</v>
      </c>
      <c r="R33" s="17" t="str">
        <f>IF($C33="ON","",IF($F33="MAC+102","102",R32))</f>
        <v>102</v>
      </c>
      <c r="T33" s="466">
        <f>IF($M33="",0,T$1/64/$M33)</f>
        <v>4.109375</v>
      </c>
      <c r="U33" s="466">
        <f>IF($M33="",0,U$1/64/$M33)</f>
        <v>16.3046875</v>
      </c>
      <c r="V33">
        <f>IF($O33="",0,V$1/$O33)</f>
        <v>0.28444444444444444</v>
      </c>
      <c r="W33">
        <f>IF($L33="",0,W$1/$L33)</f>
        <v>11.044444444444444</v>
      </c>
      <c r="X33" s="500">
        <f t="shared" si="23"/>
        <v>633</v>
      </c>
      <c r="Y33" s="500">
        <f>IF($M33="",0,IF($Q33="",1,Q33/43200)*X33)</f>
        <v>26.375</v>
      </c>
      <c r="Z33">
        <f t="shared" si="7"/>
        <v>2.5244444444444443</v>
      </c>
      <c r="AB33" s="477">
        <f t="shared" si="46"/>
        <v>11.044444444444444</v>
      </c>
      <c r="AC33" s="477">
        <f t="shared" si="46"/>
        <v>18.829131944444445</v>
      </c>
      <c r="AD33" s="477">
        <f t="shared" si="46"/>
        <v>29.873576388888889</v>
      </c>
      <c r="AE33" s="477">
        <f t="shared" si="46"/>
        <v>26.375</v>
      </c>
      <c r="AF33" s="477">
        <f t="shared" si="46"/>
        <v>37.419444444444444</v>
      </c>
      <c r="AG33" s="477">
        <f t="shared" si="46"/>
        <v>45.204131944444441</v>
      </c>
      <c r="AH33" s="477">
        <f t="shared" si="46"/>
        <v>56.248576388888885</v>
      </c>
      <c r="AI33" s="477">
        <f t="shared" si="46"/>
        <v>4.109375</v>
      </c>
      <c r="AJ33" s="477">
        <f t="shared" si="46"/>
        <v>15.153819444444444</v>
      </c>
      <c r="AK33" s="477">
        <f t="shared" si="46"/>
        <v>22.938506944444445</v>
      </c>
      <c r="AL33" s="477">
        <f t="shared" si="46"/>
        <v>33.982951388888893</v>
      </c>
      <c r="AM33" s="477">
        <f t="shared" si="46"/>
        <v>30.484375</v>
      </c>
      <c r="AN33" s="477">
        <f t="shared" si="46"/>
        <v>41.528819444444444</v>
      </c>
      <c r="AO33" s="477">
        <f t="shared" si="46"/>
        <v>49.313506944444441</v>
      </c>
      <c r="AP33" s="477">
        <f t="shared" si="46"/>
        <v>60.357951388888885</v>
      </c>
      <c r="AQ33" s="477">
        <f t="shared" si="46"/>
        <v>0.28444444444444444</v>
      </c>
      <c r="AR33" s="477">
        <f t="shared" si="45"/>
        <v>11.328888888888889</v>
      </c>
      <c r="AS33" s="477">
        <f t="shared" si="45"/>
        <v>19.113576388888887</v>
      </c>
      <c r="AT33" s="477">
        <f t="shared" si="45"/>
        <v>30.158020833333332</v>
      </c>
      <c r="AU33" s="477">
        <f t="shared" si="45"/>
        <v>26.659444444444443</v>
      </c>
      <c r="AV33" s="477">
        <f t="shared" si="45"/>
        <v>37.703888888888883</v>
      </c>
      <c r="AW33" s="477">
        <f t="shared" si="45"/>
        <v>45.488576388888887</v>
      </c>
      <c r="AX33" s="477">
        <f t="shared" si="45"/>
        <v>56.533020833333332</v>
      </c>
      <c r="AY33" s="477">
        <f t="shared" si="45"/>
        <v>4.3938194444444445</v>
      </c>
      <c r="AZ33" s="477">
        <f t="shared" si="45"/>
        <v>15.438263888888889</v>
      </c>
      <c r="BA33" s="477">
        <f t="shared" si="45"/>
        <v>23.222951388888887</v>
      </c>
      <c r="BB33" s="477">
        <f t="shared" si="45"/>
        <v>34.267395833333332</v>
      </c>
      <c r="BC33" s="477">
        <f t="shared" si="45"/>
        <v>30.768819444444446</v>
      </c>
      <c r="BD33" s="477">
        <f t="shared" si="45"/>
        <v>41.813263888888891</v>
      </c>
      <c r="BE33" s="477">
        <f t="shared" si="45"/>
        <v>49.597951388888887</v>
      </c>
      <c r="BF33" s="477">
        <f t="shared" si="45"/>
        <v>60.642395833333332</v>
      </c>
    </row>
    <row r="34" spans="1:58">
      <c r="A34" s="498" t="s">
        <v>866</v>
      </c>
      <c r="B34" s="495">
        <f>B24+86400+H24-G24</f>
        <v>649020135</v>
      </c>
      <c r="C34" s="492" t="s">
        <v>1148</v>
      </c>
      <c r="D34" s="467"/>
      <c r="F34" s="17" t="str">
        <f>_xlfn.TEXTJOIN("+",TRUE,$C34:$D34)</f>
        <v>ON</v>
      </c>
      <c r="G34" s="493">
        <f>IF($C34="ON",$B34,G33)</f>
        <v>649020135</v>
      </c>
      <c r="H34" s="493">
        <f>IF($C34="OFF",$B34,H35)</f>
        <v>650982145</v>
      </c>
      <c r="I34" s="17">
        <f>IF($C34="ON",0,I33+1)</f>
        <v>0</v>
      </c>
      <c r="J34" s="17">
        <f t="shared" si="5"/>
        <v>9</v>
      </c>
      <c r="L34" t="str">
        <f>IF($C34="ON","",IF($C34="N1",$D34,L33))</f>
        <v/>
      </c>
      <c r="M34" t="str">
        <f>IF($C34="ON","",IF($C34="N2",$D34,IF($F34="MAC+103",3,IF($F34="MAC+104",2,M33))))</f>
        <v/>
      </c>
      <c r="N34" t="str">
        <f t="shared" si="44"/>
        <v/>
      </c>
      <c r="O34" t="str">
        <f>IF($C34="ON","",IF($C34="STAT",$D34,O33))</f>
        <v/>
      </c>
      <c r="P34" s="3" t="str">
        <f>IF($C34="ON","",IF(AND($C34="MAC",105&lt;=$D34,$D34&lt;=110),"",IF(AND($C34="MAC",103&lt;=$D34,$D34&lt;=104),"disabled",P33)))</f>
        <v/>
      </c>
      <c r="Q34" t="str">
        <f>IF(F34="ON","",IF($F34="MAC+105",300,IF($F34="MAC+106",600,IF($F34="MAC+107",840,IF($F34="MAC+108",1200,IF($F34="MAC+109",1800,IF($F34="MAC+110",43200,Q33)))))))</f>
        <v/>
      </c>
      <c r="R34" s="17" t="str">
        <f>IF($C34="ON","",IF($F34="MAC+102","102",R33))</f>
        <v/>
      </c>
      <c r="T34" s="466">
        <f>IF($M34="",0,T$1/64/$M34)</f>
        <v>0</v>
      </c>
      <c r="U34" s="466">
        <f>IF($M34="",0,U$1/64/$M34)</f>
        <v>0</v>
      </c>
      <c r="V34">
        <f>IF($O34="",0,V$1/$O34)</f>
        <v>0</v>
      </c>
      <c r="W34">
        <f>IF($L34="",0,W$1/$L34)</f>
        <v>0</v>
      </c>
      <c r="X34" s="500">
        <f>IF(OR($M34="",$P34&lt;&gt;""),0,X$1/$M34)</f>
        <v>0</v>
      </c>
      <c r="Y34" s="500">
        <f>IF($M34="",0,IF($Q34="",1,Q34/43200)*X34)</f>
        <v>0</v>
      </c>
      <c r="Z34">
        <f t="shared" si="7"/>
        <v>0</v>
      </c>
      <c r="AB34" s="477">
        <f>IF(AB$3&lt;&gt;"",$V34,0)+IF(AB$4&lt;&gt;"",$T34,0)+IF(AB$5&lt;&gt;"",$Y34+IF($R34&lt;&gt;"102",$U34,0),0)+IF(AB$6&lt;&gt;"",$Z34+IF($R34="102",$U34,0),0)+IF(AB$7&lt;&gt;"",$W34,0)</f>
        <v>0</v>
      </c>
      <c r="AC34" s="477">
        <f t="shared" si="46"/>
        <v>0</v>
      </c>
      <c r="AD34" s="477">
        <f t="shared" si="46"/>
        <v>0</v>
      </c>
      <c r="AE34" s="477">
        <f t="shared" si="46"/>
        <v>0</v>
      </c>
      <c r="AF34" s="477">
        <f t="shared" si="46"/>
        <v>0</v>
      </c>
      <c r="AG34" s="477">
        <f t="shared" si="46"/>
        <v>0</v>
      </c>
      <c r="AH34" s="477">
        <f t="shared" si="46"/>
        <v>0</v>
      </c>
      <c r="AI34" s="477">
        <f t="shared" si="46"/>
        <v>0</v>
      </c>
      <c r="AJ34" s="477">
        <f t="shared" si="46"/>
        <v>0</v>
      </c>
      <c r="AK34" s="477">
        <f t="shared" si="46"/>
        <v>0</v>
      </c>
      <c r="AL34" s="477">
        <f t="shared" si="46"/>
        <v>0</v>
      </c>
      <c r="AM34" s="477">
        <f t="shared" si="46"/>
        <v>0</v>
      </c>
      <c r="AN34" s="477">
        <f t="shared" si="46"/>
        <v>0</v>
      </c>
      <c r="AO34" s="477">
        <f t="shared" si="46"/>
        <v>0</v>
      </c>
      <c r="AP34" s="477">
        <f t="shared" si="46"/>
        <v>0</v>
      </c>
      <c r="AQ34" s="477">
        <f t="shared" si="46"/>
        <v>0</v>
      </c>
      <c r="AR34" s="477">
        <f t="shared" si="45"/>
        <v>0</v>
      </c>
      <c r="AS34" s="477">
        <f t="shared" si="45"/>
        <v>0</v>
      </c>
      <c r="AT34" s="477">
        <f t="shared" si="45"/>
        <v>0</v>
      </c>
      <c r="AU34" s="477">
        <f t="shared" si="45"/>
        <v>0</v>
      </c>
      <c r="AV34" s="477">
        <f t="shared" si="45"/>
        <v>0</v>
      </c>
      <c r="AW34" s="477">
        <f t="shared" si="45"/>
        <v>0</v>
      </c>
      <c r="AX34" s="477">
        <f t="shared" si="45"/>
        <v>0</v>
      </c>
      <c r="AY34" s="477">
        <f t="shared" si="45"/>
        <v>0</v>
      </c>
      <c r="AZ34" s="477">
        <f t="shared" si="45"/>
        <v>0</v>
      </c>
      <c r="BA34" s="477">
        <f t="shared" si="45"/>
        <v>0</v>
      </c>
      <c r="BB34" s="477">
        <f t="shared" si="45"/>
        <v>0</v>
      </c>
      <c r="BC34" s="477">
        <f t="shared" si="45"/>
        <v>0</v>
      </c>
      <c r="BD34" s="477">
        <f t="shared" si="45"/>
        <v>0</v>
      </c>
      <c r="BE34" s="477">
        <f t="shared" si="45"/>
        <v>0</v>
      </c>
      <c r="BF34" s="477">
        <f t="shared" si="45"/>
        <v>0</v>
      </c>
    </row>
    <row r="35" spans="1:58">
      <c r="A35" s="499" t="s">
        <v>1288</v>
      </c>
      <c r="B35" s="495">
        <f t="shared" ref="B35:B43" si="47">B25+86400+H25-G25</f>
        <v>650980335</v>
      </c>
      <c r="C35" s="492" t="s">
        <v>8412</v>
      </c>
      <c r="D35" s="467">
        <v>111</v>
      </c>
      <c r="F35" s="17" t="str">
        <f t="shared" si="34"/>
        <v>MAC+111</v>
      </c>
      <c r="G35" s="493">
        <f t="shared" si="11"/>
        <v>649020135</v>
      </c>
      <c r="H35" s="493">
        <f t="shared" si="12"/>
        <v>650982145</v>
      </c>
      <c r="I35" s="17">
        <f t="shared" si="13"/>
        <v>1</v>
      </c>
      <c r="J35" s="17">
        <f t="shared" si="5"/>
        <v>8</v>
      </c>
      <c r="L35" t="str">
        <f t="shared" si="35"/>
        <v/>
      </c>
      <c r="M35" t="str">
        <f t="shared" si="36"/>
        <v/>
      </c>
      <c r="N35" t="str">
        <f t="shared" si="44"/>
        <v/>
      </c>
      <c r="O35" t="str">
        <f t="shared" si="37"/>
        <v/>
      </c>
      <c r="P35" s="3" t="str">
        <f t="shared" si="17"/>
        <v/>
      </c>
      <c r="Q35" t="str">
        <f t="shared" ref="Q35:Q42" si="48">IF(F35="ON","",IF($F35="MAC+105",300,IF($F35="MAC+106",600,IF($F35="MAC+107",840,IF($F35="MAC+108",1200,IF($F35="MAC+109",1800,IF($F35="MAC+110",43200,Q34)))))))</f>
        <v/>
      </c>
      <c r="R35" s="17" t="str">
        <f t="shared" si="39"/>
        <v/>
      </c>
      <c r="T35" s="466">
        <f t="shared" si="40"/>
        <v>0</v>
      </c>
      <c r="U35" s="466">
        <f t="shared" si="40"/>
        <v>0</v>
      </c>
      <c r="V35">
        <f t="shared" si="41"/>
        <v>0</v>
      </c>
      <c r="W35">
        <f t="shared" si="42"/>
        <v>0</v>
      </c>
      <c r="X35" s="500">
        <f t="shared" si="23"/>
        <v>0</v>
      </c>
      <c r="Y35" s="500">
        <f t="shared" ref="Y35:Y42" si="49">IF($M35="",0,IF($Q35="",1,Q35/43200)*X35)</f>
        <v>0</v>
      </c>
      <c r="Z35">
        <f t="shared" si="7"/>
        <v>0</v>
      </c>
      <c r="AB35" s="477">
        <f t="shared" ref="AB35:AQ50" si="50">IF(AB$3&lt;&gt;"",$V35,0)+IF(AB$4&lt;&gt;"",$T35,0)+IF(AB$5&lt;&gt;"",$Y35+IF($R35&lt;&gt;"102",$U35,0),0)+IF(AB$6&lt;&gt;"",$Z35+IF($R35="102",$U35,0),0)+IF(AB$7&lt;&gt;"",$W35,0)</f>
        <v>0</v>
      </c>
      <c r="AC35" s="477">
        <f t="shared" si="46"/>
        <v>0</v>
      </c>
      <c r="AD35" s="477">
        <f t="shared" si="46"/>
        <v>0</v>
      </c>
      <c r="AE35" s="477">
        <f t="shared" si="46"/>
        <v>0</v>
      </c>
      <c r="AF35" s="477">
        <f t="shared" si="46"/>
        <v>0</v>
      </c>
      <c r="AG35" s="477">
        <f t="shared" si="46"/>
        <v>0</v>
      </c>
      <c r="AH35" s="477">
        <f t="shared" si="46"/>
        <v>0</v>
      </c>
      <c r="AI35" s="477">
        <f t="shared" si="46"/>
        <v>0</v>
      </c>
      <c r="AJ35" s="477">
        <f t="shared" si="46"/>
        <v>0</v>
      </c>
      <c r="AK35" s="477">
        <f t="shared" si="46"/>
        <v>0</v>
      </c>
      <c r="AL35" s="477">
        <f t="shared" si="46"/>
        <v>0</v>
      </c>
      <c r="AM35" s="477">
        <f t="shared" si="46"/>
        <v>0</v>
      </c>
      <c r="AN35" s="477">
        <f t="shared" si="46"/>
        <v>0</v>
      </c>
      <c r="AO35" s="477">
        <f t="shared" si="46"/>
        <v>0</v>
      </c>
      <c r="AP35" s="477">
        <f t="shared" si="46"/>
        <v>0</v>
      </c>
      <c r="AQ35" s="477">
        <f t="shared" si="46"/>
        <v>0</v>
      </c>
      <c r="AR35" s="477">
        <f t="shared" si="45"/>
        <v>0</v>
      </c>
      <c r="AS35" s="477">
        <f t="shared" si="45"/>
        <v>0</v>
      </c>
      <c r="AT35" s="477">
        <f t="shared" si="45"/>
        <v>0</v>
      </c>
      <c r="AU35" s="477">
        <f t="shared" si="45"/>
        <v>0</v>
      </c>
      <c r="AV35" s="477">
        <f t="shared" si="45"/>
        <v>0</v>
      </c>
      <c r="AW35" s="477">
        <f t="shared" si="45"/>
        <v>0</v>
      </c>
      <c r="AX35" s="477">
        <f t="shared" si="45"/>
        <v>0</v>
      </c>
      <c r="AY35" s="477">
        <f t="shared" si="45"/>
        <v>0</v>
      </c>
      <c r="AZ35" s="477">
        <f t="shared" si="45"/>
        <v>0</v>
      </c>
      <c r="BA35" s="477">
        <f t="shared" si="45"/>
        <v>0</v>
      </c>
      <c r="BB35" s="477">
        <f t="shared" si="45"/>
        <v>0</v>
      </c>
      <c r="BC35" s="477">
        <f t="shared" si="45"/>
        <v>0</v>
      </c>
      <c r="BD35" s="477">
        <f t="shared" si="45"/>
        <v>0</v>
      </c>
      <c r="BE35" s="477">
        <f t="shared" si="45"/>
        <v>0</v>
      </c>
      <c r="BF35" s="477">
        <f t="shared" si="45"/>
        <v>0</v>
      </c>
    </row>
    <row r="36" spans="1:58">
      <c r="A36" s="499" t="s">
        <v>1517</v>
      </c>
      <c r="B36" s="495">
        <f t="shared" si="47"/>
        <v>650980935</v>
      </c>
      <c r="C36" s="492" t="s">
        <v>776</v>
      </c>
      <c r="D36" s="467">
        <v>360</v>
      </c>
      <c r="F36" s="17" t="str">
        <f t="shared" si="34"/>
        <v>N2+360</v>
      </c>
      <c r="G36" s="493">
        <f t="shared" si="11"/>
        <v>649020135</v>
      </c>
      <c r="H36" s="493">
        <f t="shared" si="12"/>
        <v>650982145</v>
      </c>
      <c r="I36" s="17">
        <f t="shared" si="13"/>
        <v>2</v>
      </c>
      <c r="J36" s="17">
        <f t="shared" si="5"/>
        <v>7</v>
      </c>
      <c r="L36" t="str">
        <f t="shared" si="35"/>
        <v/>
      </c>
      <c r="M36">
        <f t="shared" si="36"/>
        <v>360</v>
      </c>
      <c r="N36" t="str">
        <f t="shared" si="44"/>
        <v/>
      </c>
      <c r="O36" t="str">
        <f t="shared" si="37"/>
        <v/>
      </c>
      <c r="P36" s="3" t="str">
        <f t="shared" si="17"/>
        <v/>
      </c>
      <c r="Q36" t="str">
        <f t="shared" si="48"/>
        <v/>
      </c>
      <c r="R36" s="17" t="str">
        <f t="shared" si="39"/>
        <v/>
      </c>
      <c r="T36" s="466">
        <f t="shared" si="40"/>
        <v>2.282986111111111E-2</v>
      </c>
      <c r="U36" s="466">
        <f t="shared" si="40"/>
        <v>9.0581597222222227E-2</v>
      </c>
      <c r="V36">
        <f t="shared" si="41"/>
        <v>0</v>
      </c>
      <c r="W36">
        <f t="shared" si="42"/>
        <v>0</v>
      </c>
      <c r="X36" s="500">
        <f t="shared" si="23"/>
        <v>3.5166666666666666</v>
      </c>
      <c r="Y36" s="500">
        <f t="shared" si="49"/>
        <v>3.5166666666666666</v>
      </c>
      <c r="Z36">
        <f t="shared" si="7"/>
        <v>0</v>
      </c>
      <c r="AB36" s="477">
        <f t="shared" si="50"/>
        <v>0</v>
      </c>
      <c r="AC36" s="477">
        <f t="shared" si="46"/>
        <v>0</v>
      </c>
      <c r="AD36" s="477">
        <f t="shared" si="46"/>
        <v>0</v>
      </c>
      <c r="AE36" s="477">
        <f t="shared" si="46"/>
        <v>3.6072482638888888</v>
      </c>
      <c r="AF36" s="477">
        <f t="shared" si="46"/>
        <v>3.6072482638888888</v>
      </c>
      <c r="AG36" s="477">
        <f t="shared" si="46"/>
        <v>3.6072482638888888</v>
      </c>
      <c r="AH36" s="477">
        <f t="shared" si="46"/>
        <v>3.6072482638888888</v>
      </c>
      <c r="AI36" s="477">
        <f t="shared" si="46"/>
        <v>2.282986111111111E-2</v>
      </c>
      <c r="AJ36" s="477">
        <f t="shared" si="46"/>
        <v>2.282986111111111E-2</v>
      </c>
      <c r="AK36" s="477">
        <f t="shared" si="46"/>
        <v>2.282986111111111E-2</v>
      </c>
      <c r="AL36" s="477">
        <f t="shared" si="46"/>
        <v>2.282986111111111E-2</v>
      </c>
      <c r="AM36" s="477">
        <f t="shared" si="46"/>
        <v>3.6300781249999998</v>
      </c>
      <c r="AN36" s="477">
        <f t="shared" si="46"/>
        <v>3.6300781249999998</v>
      </c>
      <c r="AO36" s="477">
        <f t="shared" si="46"/>
        <v>3.6300781249999998</v>
      </c>
      <c r="AP36" s="477">
        <f t="shared" si="46"/>
        <v>3.6300781249999998</v>
      </c>
      <c r="AQ36" s="477">
        <f t="shared" si="46"/>
        <v>0</v>
      </c>
      <c r="AR36" s="477">
        <f t="shared" si="45"/>
        <v>0</v>
      </c>
      <c r="AS36" s="477">
        <f t="shared" si="45"/>
        <v>0</v>
      </c>
      <c r="AT36" s="477">
        <f t="shared" si="45"/>
        <v>0</v>
      </c>
      <c r="AU36" s="477">
        <f t="shared" si="45"/>
        <v>3.6072482638888888</v>
      </c>
      <c r="AV36" s="477">
        <f t="shared" si="45"/>
        <v>3.6072482638888888</v>
      </c>
      <c r="AW36" s="477">
        <f t="shared" si="45"/>
        <v>3.6072482638888888</v>
      </c>
      <c r="AX36" s="477">
        <f t="shared" si="45"/>
        <v>3.6072482638888888</v>
      </c>
      <c r="AY36" s="477">
        <f t="shared" si="45"/>
        <v>2.282986111111111E-2</v>
      </c>
      <c r="AZ36" s="477">
        <f t="shared" si="45"/>
        <v>2.282986111111111E-2</v>
      </c>
      <c r="BA36" s="477">
        <f t="shared" si="45"/>
        <v>2.282986111111111E-2</v>
      </c>
      <c r="BB36" s="477">
        <f t="shared" si="45"/>
        <v>2.282986111111111E-2</v>
      </c>
      <c r="BC36" s="477">
        <f t="shared" si="45"/>
        <v>3.6300781249999998</v>
      </c>
      <c r="BD36" s="477">
        <f t="shared" si="45"/>
        <v>3.6300781249999998</v>
      </c>
      <c r="BE36" s="477">
        <f t="shared" si="45"/>
        <v>3.6300781249999998</v>
      </c>
      <c r="BF36" s="477">
        <f t="shared" si="45"/>
        <v>3.6300781249999998</v>
      </c>
    </row>
    <row r="37" spans="1:58">
      <c r="A37" s="499" t="s">
        <v>1523</v>
      </c>
      <c r="B37" s="495">
        <f t="shared" si="47"/>
        <v>650980938</v>
      </c>
      <c r="C37" s="492" t="s">
        <v>12</v>
      </c>
      <c r="D37" s="467">
        <v>360</v>
      </c>
      <c r="F37" s="17" t="str">
        <f t="shared" si="34"/>
        <v>N1+360</v>
      </c>
      <c r="G37" s="493">
        <f t="shared" si="11"/>
        <v>649020135</v>
      </c>
      <c r="H37" s="493">
        <f t="shared" si="12"/>
        <v>650982145</v>
      </c>
      <c r="I37" s="17">
        <f t="shared" si="13"/>
        <v>3</v>
      </c>
      <c r="J37" s="17">
        <f t="shared" si="5"/>
        <v>6</v>
      </c>
      <c r="L37">
        <v>180</v>
      </c>
      <c r="M37">
        <f t="shared" si="36"/>
        <v>360</v>
      </c>
      <c r="N37" t="str">
        <f>IF($C37="ON","",IF($C37="N3",$D37,N36))</f>
        <v/>
      </c>
      <c r="O37" t="str">
        <f t="shared" si="37"/>
        <v/>
      </c>
      <c r="P37" s="3" t="str">
        <f t="shared" si="17"/>
        <v/>
      </c>
      <c r="Q37" t="str">
        <f t="shared" si="48"/>
        <v/>
      </c>
      <c r="R37" s="17" t="str">
        <f t="shared" si="39"/>
        <v/>
      </c>
      <c r="T37" s="466">
        <f t="shared" si="40"/>
        <v>2.282986111111111E-2</v>
      </c>
      <c r="U37" s="466">
        <f t="shared" si="40"/>
        <v>9.0581597222222227E-2</v>
      </c>
      <c r="V37">
        <f t="shared" si="41"/>
        <v>0</v>
      </c>
      <c r="W37">
        <f t="shared" si="42"/>
        <v>11.044444444444444</v>
      </c>
      <c r="X37" s="500">
        <f t="shared" si="23"/>
        <v>3.5166666666666666</v>
      </c>
      <c r="Y37" s="500">
        <f t="shared" si="49"/>
        <v>3.5166666666666666</v>
      </c>
      <c r="Z37">
        <f t="shared" si="7"/>
        <v>0</v>
      </c>
      <c r="AB37" s="477">
        <f t="shared" si="50"/>
        <v>11.044444444444444</v>
      </c>
      <c r="AC37" s="477">
        <f t="shared" si="46"/>
        <v>0</v>
      </c>
      <c r="AD37" s="477">
        <f t="shared" si="46"/>
        <v>11.044444444444444</v>
      </c>
      <c r="AE37" s="477">
        <f t="shared" si="46"/>
        <v>3.6072482638888888</v>
      </c>
      <c r="AF37" s="477">
        <f t="shared" si="46"/>
        <v>14.651692708333332</v>
      </c>
      <c r="AG37" s="477">
        <f t="shared" si="46"/>
        <v>3.6072482638888888</v>
      </c>
      <c r="AH37" s="477">
        <f t="shared" si="46"/>
        <v>14.651692708333332</v>
      </c>
      <c r="AI37" s="477">
        <f t="shared" si="46"/>
        <v>2.282986111111111E-2</v>
      </c>
      <c r="AJ37" s="477">
        <f t="shared" si="46"/>
        <v>11.067274305555555</v>
      </c>
      <c r="AK37" s="477">
        <f t="shared" si="46"/>
        <v>2.282986111111111E-2</v>
      </c>
      <c r="AL37" s="477">
        <f t="shared" si="46"/>
        <v>11.067274305555555</v>
      </c>
      <c r="AM37" s="477">
        <f t="shared" si="46"/>
        <v>3.6300781249999998</v>
      </c>
      <c r="AN37" s="477">
        <f t="shared" si="46"/>
        <v>14.674522569444445</v>
      </c>
      <c r="AO37" s="477">
        <f t="shared" si="46"/>
        <v>3.6300781249999998</v>
      </c>
      <c r="AP37" s="477">
        <f t="shared" si="46"/>
        <v>14.674522569444445</v>
      </c>
      <c r="AQ37" s="477">
        <f t="shared" si="46"/>
        <v>0</v>
      </c>
      <c r="AR37" s="477">
        <f t="shared" si="45"/>
        <v>11.044444444444444</v>
      </c>
      <c r="AS37" s="477">
        <f t="shared" si="45"/>
        <v>0</v>
      </c>
      <c r="AT37" s="477">
        <f t="shared" si="45"/>
        <v>11.044444444444444</v>
      </c>
      <c r="AU37" s="477">
        <f t="shared" si="45"/>
        <v>3.6072482638888888</v>
      </c>
      <c r="AV37" s="477">
        <f t="shared" si="45"/>
        <v>14.651692708333332</v>
      </c>
      <c r="AW37" s="477">
        <f t="shared" si="45"/>
        <v>3.6072482638888888</v>
      </c>
      <c r="AX37" s="477">
        <f t="shared" si="45"/>
        <v>14.651692708333332</v>
      </c>
      <c r="AY37" s="477">
        <f t="shared" si="45"/>
        <v>2.282986111111111E-2</v>
      </c>
      <c r="AZ37" s="477">
        <f t="shared" si="45"/>
        <v>11.067274305555555</v>
      </c>
      <c r="BA37" s="477">
        <f t="shared" si="45"/>
        <v>2.282986111111111E-2</v>
      </c>
      <c r="BB37" s="477">
        <f t="shared" si="45"/>
        <v>11.067274305555555</v>
      </c>
      <c r="BC37" s="477">
        <f t="shared" si="45"/>
        <v>3.6300781249999998</v>
      </c>
      <c r="BD37" s="477">
        <f t="shared" si="45"/>
        <v>14.674522569444445</v>
      </c>
      <c r="BE37" s="477">
        <f t="shared" si="45"/>
        <v>3.6300781249999998</v>
      </c>
      <c r="BF37" s="477">
        <f t="shared" ref="BF37" si="51">IF(BF$3&lt;&gt;"",$V37,0)+IF(BF$4&lt;&gt;"",$T37,0)+IF(BF$5&lt;&gt;"",$Y37+IF($R37&lt;&gt;"102",$U37,0),0)+IF(BF$6&lt;&gt;"",$Z37+IF($R37="102",$U37,0),0)+IF(BF$7&lt;&gt;"",$W37,0)</f>
        <v>14.674522569444445</v>
      </c>
    </row>
    <row r="38" spans="1:58">
      <c r="A38" s="499" t="s">
        <v>1160</v>
      </c>
      <c r="B38" s="495">
        <f t="shared" si="47"/>
        <v>650980941</v>
      </c>
      <c r="C38" s="492" t="s">
        <v>773</v>
      </c>
      <c r="D38" s="467">
        <v>7200</v>
      </c>
      <c r="F38" s="17" t="str">
        <f t="shared" si="34"/>
        <v>N3+7200</v>
      </c>
      <c r="G38" s="493">
        <f t="shared" si="11"/>
        <v>649020135</v>
      </c>
      <c r="H38" s="493">
        <f t="shared" si="12"/>
        <v>650982145</v>
      </c>
      <c r="I38" s="17">
        <f t="shared" si="13"/>
        <v>4</v>
      </c>
      <c r="J38" s="17">
        <f t="shared" si="5"/>
        <v>5</v>
      </c>
      <c r="L38">
        <f t="shared" si="35"/>
        <v>180</v>
      </c>
      <c r="M38">
        <f t="shared" si="36"/>
        <v>360</v>
      </c>
      <c r="N38">
        <f t="shared" si="44"/>
        <v>7200</v>
      </c>
      <c r="O38" t="str">
        <f t="shared" si="37"/>
        <v/>
      </c>
      <c r="P38" s="3" t="str">
        <f t="shared" si="17"/>
        <v/>
      </c>
      <c r="Q38" t="str">
        <f t="shared" si="48"/>
        <v/>
      </c>
      <c r="R38" s="17" t="str">
        <f t="shared" si="39"/>
        <v/>
      </c>
      <c r="T38" s="466">
        <f t="shared" si="40"/>
        <v>2.282986111111111E-2</v>
      </c>
      <c r="U38" s="466">
        <f t="shared" si="40"/>
        <v>9.0581597222222227E-2</v>
      </c>
      <c r="V38">
        <f t="shared" si="41"/>
        <v>0</v>
      </c>
      <c r="W38">
        <f t="shared" si="42"/>
        <v>11.044444444444444</v>
      </c>
      <c r="X38" s="500">
        <f t="shared" si="23"/>
        <v>3.5166666666666666</v>
      </c>
      <c r="Y38" s="500">
        <f t="shared" si="49"/>
        <v>3.5166666666666666</v>
      </c>
      <c r="Z38">
        <f t="shared" si="7"/>
        <v>2.5244444444444443</v>
      </c>
      <c r="AB38" s="477">
        <f t="shared" si="50"/>
        <v>11.044444444444444</v>
      </c>
      <c r="AC38" s="477">
        <f t="shared" si="46"/>
        <v>2.5244444444444443</v>
      </c>
      <c r="AD38" s="477">
        <f t="shared" si="46"/>
        <v>13.568888888888889</v>
      </c>
      <c r="AE38" s="477">
        <f t="shared" si="46"/>
        <v>3.6072482638888888</v>
      </c>
      <c r="AF38" s="477">
        <f t="shared" ref="AF38:AU54" si="52">IF(AF$3&lt;&gt;"",$V38,0)+IF(AF$4&lt;&gt;"",$T38,0)+IF(AF$5&lt;&gt;"",$Y38+IF($R38&lt;&gt;"102",$U38,0),0)+IF(AF$6&lt;&gt;"",$Z38+IF($R38="102",$U38,0),0)+IF(AF$7&lt;&gt;"",$W38,0)</f>
        <v>14.651692708333332</v>
      </c>
      <c r="AG38" s="477">
        <f t="shared" si="52"/>
        <v>6.1316927083333326</v>
      </c>
      <c r="AH38" s="477">
        <f t="shared" si="52"/>
        <v>17.176137152777777</v>
      </c>
      <c r="AI38" s="477">
        <f t="shared" si="52"/>
        <v>2.282986111111111E-2</v>
      </c>
      <c r="AJ38" s="477">
        <f t="shared" si="52"/>
        <v>11.067274305555555</v>
      </c>
      <c r="AK38" s="477">
        <f t="shared" si="52"/>
        <v>2.5472743055555553</v>
      </c>
      <c r="AL38" s="477">
        <f t="shared" si="52"/>
        <v>13.59171875</v>
      </c>
      <c r="AM38" s="477">
        <f t="shared" si="52"/>
        <v>3.6300781249999998</v>
      </c>
      <c r="AN38" s="477">
        <f t="shared" si="52"/>
        <v>14.674522569444445</v>
      </c>
      <c r="AO38" s="477">
        <f t="shared" si="52"/>
        <v>6.1545225694444436</v>
      </c>
      <c r="AP38" s="477">
        <f t="shared" si="52"/>
        <v>17.19896701388889</v>
      </c>
      <c r="AQ38" s="477">
        <f t="shared" si="52"/>
        <v>0</v>
      </c>
      <c r="AR38" s="477">
        <f t="shared" si="52"/>
        <v>11.044444444444444</v>
      </c>
      <c r="AS38" s="477">
        <f t="shared" si="52"/>
        <v>2.5244444444444443</v>
      </c>
      <c r="AT38" s="477">
        <f t="shared" si="52"/>
        <v>13.568888888888889</v>
      </c>
      <c r="AU38" s="477">
        <f t="shared" si="52"/>
        <v>3.6072482638888888</v>
      </c>
      <c r="AV38" s="477">
        <f t="shared" ref="AV38:BF54" si="53">IF(AV$3&lt;&gt;"",$V38,0)+IF(AV$4&lt;&gt;"",$T38,0)+IF(AV$5&lt;&gt;"",$Y38+IF($R38&lt;&gt;"102",$U38,0),0)+IF(AV$6&lt;&gt;"",$Z38+IF($R38="102",$U38,0),0)+IF(AV$7&lt;&gt;"",$W38,0)</f>
        <v>14.651692708333332</v>
      </c>
      <c r="AW38" s="477">
        <f t="shared" si="53"/>
        <v>6.1316927083333326</v>
      </c>
      <c r="AX38" s="477">
        <f t="shared" si="53"/>
        <v>17.176137152777777</v>
      </c>
      <c r="AY38" s="477">
        <f t="shared" si="53"/>
        <v>2.282986111111111E-2</v>
      </c>
      <c r="AZ38" s="477">
        <f t="shared" si="53"/>
        <v>11.067274305555555</v>
      </c>
      <c r="BA38" s="477">
        <f t="shared" si="53"/>
        <v>2.5472743055555553</v>
      </c>
      <c r="BB38" s="477">
        <f t="shared" si="53"/>
        <v>13.59171875</v>
      </c>
      <c r="BC38" s="477">
        <f t="shared" si="53"/>
        <v>3.6300781249999998</v>
      </c>
      <c r="BD38" s="477">
        <f t="shared" si="53"/>
        <v>14.674522569444445</v>
      </c>
      <c r="BE38" s="477">
        <f t="shared" si="53"/>
        <v>6.1545225694444436</v>
      </c>
      <c r="BF38" s="477">
        <f t="shared" si="53"/>
        <v>17.19896701388889</v>
      </c>
    </row>
    <row r="39" spans="1:58">
      <c r="A39" s="499" t="s">
        <v>1164</v>
      </c>
      <c r="B39" s="495">
        <f t="shared" si="47"/>
        <v>650980944</v>
      </c>
      <c r="C39" s="492" t="s">
        <v>8411</v>
      </c>
      <c r="D39" s="467">
        <v>1800</v>
      </c>
      <c r="F39" s="17" t="str">
        <f t="shared" si="34"/>
        <v>STAT+1800</v>
      </c>
      <c r="G39" s="493">
        <f t="shared" si="11"/>
        <v>649020135</v>
      </c>
      <c r="H39" s="493">
        <f t="shared" si="12"/>
        <v>650982145</v>
      </c>
      <c r="I39" s="17">
        <f t="shared" si="13"/>
        <v>5</v>
      </c>
      <c r="J39" s="17">
        <f t="shared" si="5"/>
        <v>4</v>
      </c>
      <c r="L39">
        <f t="shared" si="35"/>
        <v>180</v>
      </c>
      <c r="M39">
        <f t="shared" si="36"/>
        <v>360</v>
      </c>
      <c r="N39">
        <f t="shared" si="44"/>
        <v>7200</v>
      </c>
      <c r="O39">
        <f t="shared" si="37"/>
        <v>1800</v>
      </c>
      <c r="P39" s="3" t="str">
        <f t="shared" si="17"/>
        <v/>
      </c>
      <c r="Q39" t="str">
        <f t="shared" si="48"/>
        <v/>
      </c>
      <c r="R39" s="17" t="str">
        <f t="shared" si="39"/>
        <v/>
      </c>
      <c r="T39" s="466">
        <f t="shared" si="40"/>
        <v>2.282986111111111E-2</v>
      </c>
      <c r="U39" s="466">
        <f t="shared" si="40"/>
        <v>9.0581597222222227E-2</v>
      </c>
      <c r="V39">
        <f t="shared" si="41"/>
        <v>0.28444444444444444</v>
      </c>
      <c r="W39">
        <f t="shared" si="42"/>
        <v>11.044444444444444</v>
      </c>
      <c r="X39" s="500">
        <f t="shared" si="23"/>
        <v>3.5166666666666666</v>
      </c>
      <c r="Y39" s="500">
        <f t="shared" si="49"/>
        <v>3.5166666666666666</v>
      </c>
      <c r="Z39">
        <f t="shared" si="7"/>
        <v>2.5244444444444443</v>
      </c>
      <c r="AB39" s="477">
        <f t="shared" si="50"/>
        <v>11.044444444444444</v>
      </c>
      <c r="AC39" s="477">
        <f t="shared" si="50"/>
        <v>2.5244444444444443</v>
      </c>
      <c r="AD39" s="477">
        <f t="shared" si="50"/>
        <v>13.568888888888889</v>
      </c>
      <c r="AE39" s="477">
        <f t="shared" si="50"/>
        <v>3.6072482638888888</v>
      </c>
      <c r="AF39" s="477">
        <f t="shared" si="50"/>
        <v>14.651692708333332</v>
      </c>
      <c r="AG39" s="477">
        <f t="shared" si="50"/>
        <v>6.1316927083333326</v>
      </c>
      <c r="AH39" s="477">
        <f t="shared" si="50"/>
        <v>17.176137152777777</v>
      </c>
      <c r="AI39" s="477">
        <f t="shared" si="50"/>
        <v>2.282986111111111E-2</v>
      </c>
      <c r="AJ39" s="477">
        <f t="shared" si="50"/>
        <v>11.067274305555555</v>
      </c>
      <c r="AK39" s="477">
        <f t="shared" si="50"/>
        <v>2.5472743055555553</v>
      </c>
      <c r="AL39" s="477">
        <f t="shared" si="50"/>
        <v>13.59171875</v>
      </c>
      <c r="AM39" s="477">
        <f t="shared" si="50"/>
        <v>3.6300781249999998</v>
      </c>
      <c r="AN39" s="477">
        <f t="shared" si="50"/>
        <v>14.674522569444445</v>
      </c>
      <c r="AO39" s="477">
        <f t="shared" si="50"/>
        <v>6.1545225694444436</v>
      </c>
      <c r="AP39" s="477">
        <f t="shared" si="50"/>
        <v>17.19896701388889</v>
      </c>
      <c r="AQ39" s="477">
        <f t="shared" si="50"/>
        <v>0.28444444444444444</v>
      </c>
      <c r="AR39" s="477">
        <f t="shared" si="52"/>
        <v>11.328888888888889</v>
      </c>
      <c r="AS39" s="477">
        <f t="shared" si="52"/>
        <v>2.8088888888888888</v>
      </c>
      <c r="AT39" s="477">
        <f t="shared" si="52"/>
        <v>13.853333333333333</v>
      </c>
      <c r="AU39" s="477">
        <f t="shared" si="52"/>
        <v>3.8916927083333333</v>
      </c>
      <c r="AV39" s="477">
        <f t="shared" si="53"/>
        <v>14.936137152777778</v>
      </c>
      <c r="AW39" s="477">
        <f t="shared" si="53"/>
        <v>6.4161371527777771</v>
      </c>
      <c r="AX39" s="477">
        <f t="shared" si="53"/>
        <v>17.460581597222223</v>
      </c>
      <c r="AY39" s="477">
        <f t="shared" si="53"/>
        <v>0.30727430555555557</v>
      </c>
      <c r="AZ39" s="477">
        <f t="shared" si="53"/>
        <v>11.35171875</v>
      </c>
      <c r="BA39" s="477">
        <f t="shared" si="53"/>
        <v>2.8317187499999998</v>
      </c>
      <c r="BB39" s="477">
        <f t="shared" si="53"/>
        <v>13.876163194444445</v>
      </c>
      <c r="BC39" s="477">
        <f t="shared" si="53"/>
        <v>3.9145225694444443</v>
      </c>
      <c r="BD39" s="477">
        <f t="shared" si="53"/>
        <v>14.958967013888888</v>
      </c>
      <c r="BE39" s="477">
        <f t="shared" si="53"/>
        <v>6.4389670138888881</v>
      </c>
      <c r="BF39" s="477">
        <f t="shared" si="53"/>
        <v>17.483411458333332</v>
      </c>
    </row>
    <row r="40" spans="1:58">
      <c r="A40" s="499" t="s">
        <v>1126</v>
      </c>
      <c r="B40" s="495">
        <f t="shared" si="47"/>
        <v>650981535</v>
      </c>
      <c r="C40" s="492" t="s">
        <v>8412</v>
      </c>
      <c r="D40" s="467">
        <v>103</v>
      </c>
      <c r="F40" s="17" t="str">
        <f t="shared" si="34"/>
        <v>MAC+103</v>
      </c>
      <c r="G40" s="493">
        <f t="shared" si="11"/>
        <v>649020135</v>
      </c>
      <c r="H40" s="493">
        <f t="shared" si="12"/>
        <v>650982145</v>
      </c>
      <c r="I40" s="17">
        <f t="shared" si="13"/>
        <v>6</v>
      </c>
      <c r="J40" s="17">
        <f t="shared" si="5"/>
        <v>3</v>
      </c>
      <c r="L40">
        <f t="shared" si="35"/>
        <v>180</v>
      </c>
      <c r="M40">
        <f t="shared" si="36"/>
        <v>3</v>
      </c>
      <c r="N40">
        <f t="shared" si="44"/>
        <v>7200</v>
      </c>
      <c r="O40">
        <f t="shared" si="37"/>
        <v>1800</v>
      </c>
      <c r="P40" s="3" t="str">
        <f t="shared" si="17"/>
        <v>disabled</v>
      </c>
      <c r="Q40" t="str">
        <f t="shared" si="48"/>
        <v/>
      </c>
      <c r="R40" s="17" t="str">
        <f t="shared" si="39"/>
        <v/>
      </c>
      <c r="T40" s="466">
        <f t="shared" si="40"/>
        <v>2.7395833333333335</v>
      </c>
      <c r="U40" s="466">
        <f t="shared" si="40"/>
        <v>10.869791666666666</v>
      </c>
      <c r="V40">
        <f t="shared" si="41"/>
        <v>0.28444444444444444</v>
      </c>
      <c r="W40">
        <f t="shared" si="42"/>
        <v>11.044444444444444</v>
      </c>
      <c r="X40" s="500">
        <f t="shared" si="23"/>
        <v>0</v>
      </c>
      <c r="Y40" s="500">
        <f t="shared" si="49"/>
        <v>0</v>
      </c>
      <c r="Z40">
        <f t="shared" si="7"/>
        <v>2.5244444444444443</v>
      </c>
      <c r="AB40" s="477">
        <f t="shared" si="50"/>
        <v>11.044444444444444</v>
      </c>
      <c r="AC40" s="477">
        <f t="shared" si="50"/>
        <v>2.5244444444444443</v>
      </c>
      <c r="AD40" s="477">
        <f t="shared" si="50"/>
        <v>13.568888888888889</v>
      </c>
      <c r="AE40" s="477">
        <f t="shared" si="50"/>
        <v>10.869791666666666</v>
      </c>
      <c r="AF40" s="477">
        <f t="shared" si="50"/>
        <v>21.914236111111109</v>
      </c>
      <c r="AG40" s="477">
        <f t="shared" si="50"/>
        <v>13.394236111111111</v>
      </c>
      <c r="AH40" s="477">
        <f t="shared" si="50"/>
        <v>24.438680555555557</v>
      </c>
      <c r="AI40" s="477">
        <f t="shared" si="50"/>
        <v>2.7395833333333335</v>
      </c>
      <c r="AJ40" s="477">
        <f t="shared" si="50"/>
        <v>13.784027777777778</v>
      </c>
      <c r="AK40" s="477">
        <f t="shared" si="50"/>
        <v>5.2640277777777778</v>
      </c>
      <c r="AL40" s="477">
        <f t="shared" si="50"/>
        <v>16.308472222222221</v>
      </c>
      <c r="AM40" s="477">
        <f t="shared" si="50"/>
        <v>13.609375</v>
      </c>
      <c r="AN40" s="477">
        <f t="shared" si="50"/>
        <v>24.653819444444444</v>
      </c>
      <c r="AO40" s="477">
        <f t="shared" si="50"/>
        <v>16.133819444444445</v>
      </c>
      <c r="AP40" s="477">
        <f t="shared" si="50"/>
        <v>27.178263888888889</v>
      </c>
      <c r="AQ40" s="477">
        <f t="shared" si="50"/>
        <v>0.28444444444444444</v>
      </c>
      <c r="AR40" s="477">
        <f t="shared" si="52"/>
        <v>11.328888888888889</v>
      </c>
      <c r="AS40" s="477">
        <f t="shared" si="52"/>
        <v>2.8088888888888888</v>
      </c>
      <c r="AT40" s="477">
        <f t="shared" si="52"/>
        <v>13.853333333333333</v>
      </c>
      <c r="AU40" s="477">
        <f t="shared" si="52"/>
        <v>11.154236111111111</v>
      </c>
      <c r="AV40" s="477">
        <f t="shared" si="53"/>
        <v>22.198680555555555</v>
      </c>
      <c r="AW40" s="477">
        <f t="shared" si="53"/>
        <v>13.678680555555555</v>
      </c>
      <c r="AX40" s="477">
        <f t="shared" si="53"/>
        <v>24.723125</v>
      </c>
      <c r="AY40" s="477">
        <f t="shared" si="53"/>
        <v>3.024027777777778</v>
      </c>
      <c r="AZ40" s="477">
        <f t="shared" si="53"/>
        <v>14.068472222222223</v>
      </c>
      <c r="BA40" s="477">
        <f t="shared" si="53"/>
        <v>5.5484722222222222</v>
      </c>
      <c r="BB40" s="477">
        <f t="shared" si="53"/>
        <v>16.592916666666667</v>
      </c>
      <c r="BC40" s="477">
        <f t="shared" si="53"/>
        <v>13.893819444444444</v>
      </c>
      <c r="BD40" s="477">
        <f t="shared" si="53"/>
        <v>24.938263888888891</v>
      </c>
      <c r="BE40" s="477">
        <f t="shared" si="53"/>
        <v>16.418263888888887</v>
      </c>
      <c r="BF40" s="477">
        <f t="shared" si="53"/>
        <v>27.462708333333332</v>
      </c>
    </row>
    <row r="41" spans="1:58">
      <c r="A41" s="499" t="s">
        <v>4067</v>
      </c>
      <c r="B41" s="495">
        <f t="shared" si="47"/>
        <v>650982135</v>
      </c>
      <c r="C41" s="492" t="s">
        <v>8412</v>
      </c>
      <c r="D41" s="467">
        <v>105</v>
      </c>
      <c r="F41" s="17" t="str">
        <f t="shared" si="34"/>
        <v>MAC+105</v>
      </c>
      <c r="G41" s="493">
        <f t="shared" si="11"/>
        <v>649020135</v>
      </c>
      <c r="H41" s="493">
        <f t="shared" si="12"/>
        <v>650982145</v>
      </c>
      <c r="I41" s="17">
        <f t="shared" si="13"/>
        <v>7</v>
      </c>
      <c r="J41" s="17">
        <f t="shared" si="5"/>
        <v>2</v>
      </c>
      <c r="L41">
        <f t="shared" si="35"/>
        <v>180</v>
      </c>
      <c r="M41">
        <f t="shared" si="36"/>
        <v>3</v>
      </c>
      <c r="N41">
        <f t="shared" si="44"/>
        <v>7200</v>
      </c>
      <c r="O41">
        <f t="shared" si="37"/>
        <v>1800</v>
      </c>
      <c r="P41" s="3" t="str">
        <f t="shared" si="17"/>
        <v/>
      </c>
      <c r="Q41">
        <f t="shared" si="48"/>
        <v>300</v>
      </c>
      <c r="R41" s="17" t="str">
        <f t="shared" si="39"/>
        <v/>
      </c>
      <c r="T41" s="466">
        <f t="shared" ref="T41:U42" si="54">IF($M41="",0,T$1/64/$M41)</f>
        <v>2.7395833333333335</v>
      </c>
      <c r="U41" s="466">
        <f t="shared" si="54"/>
        <v>10.869791666666666</v>
      </c>
      <c r="V41">
        <f t="shared" si="41"/>
        <v>0.28444444444444444</v>
      </c>
      <c r="W41">
        <f t="shared" si="42"/>
        <v>11.044444444444444</v>
      </c>
      <c r="X41" s="500">
        <f t="shared" si="23"/>
        <v>422</v>
      </c>
      <c r="Y41" s="500">
        <f t="shared" si="49"/>
        <v>2.9305555555555554</v>
      </c>
      <c r="Z41">
        <f t="shared" si="7"/>
        <v>2.5244444444444443</v>
      </c>
      <c r="AB41" s="477">
        <f t="shared" si="50"/>
        <v>11.044444444444444</v>
      </c>
      <c r="AC41" s="477">
        <f t="shared" si="50"/>
        <v>2.5244444444444443</v>
      </c>
      <c r="AD41" s="477">
        <f t="shared" si="50"/>
        <v>13.568888888888889</v>
      </c>
      <c r="AE41" s="477">
        <f t="shared" si="50"/>
        <v>13.800347222222221</v>
      </c>
      <c r="AF41" s="477">
        <f t="shared" si="50"/>
        <v>24.844791666666666</v>
      </c>
      <c r="AG41" s="477">
        <f t="shared" si="50"/>
        <v>16.324791666666666</v>
      </c>
      <c r="AH41" s="477">
        <f t="shared" si="50"/>
        <v>27.36923611111111</v>
      </c>
      <c r="AI41" s="477">
        <f t="shared" si="50"/>
        <v>2.7395833333333335</v>
      </c>
      <c r="AJ41" s="477">
        <f t="shared" si="50"/>
        <v>13.784027777777778</v>
      </c>
      <c r="AK41" s="477">
        <f t="shared" si="50"/>
        <v>5.2640277777777778</v>
      </c>
      <c r="AL41" s="477">
        <f t="shared" si="50"/>
        <v>16.308472222222221</v>
      </c>
      <c r="AM41" s="477">
        <f t="shared" si="50"/>
        <v>16.539930555555554</v>
      </c>
      <c r="AN41" s="477">
        <f t="shared" si="50"/>
        <v>27.584374999999998</v>
      </c>
      <c r="AO41" s="477">
        <f t="shared" si="50"/>
        <v>19.064374999999998</v>
      </c>
      <c r="AP41" s="477">
        <f t="shared" si="50"/>
        <v>30.108819444444443</v>
      </c>
      <c r="AQ41" s="477">
        <f t="shared" si="50"/>
        <v>0.28444444444444444</v>
      </c>
      <c r="AR41" s="477">
        <f t="shared" si="52"/>
        <v>11.328888888888889</v>
      </c>
      <c r="AS41" s="477">
        <f t="shared" si="52"/>
        <v>2.8088888888888888</v>
      </c>
      <c r="AT41" s="477">
        <f t="shared" si="52"/>
        <v>13.853333333333333</v>
      </c>
      <c r="AU41" s="477">
        <f t="shared" si="52"/>
        <v>14.084791666666666</v>
      </c>
      <c r="AV41" s="477">
        <f t="shared" si="53"/>
        <v>25.129236111111112</v>
      </c>
      <c r="AW41" s="477">
        <f t="shared" si="53"/>
        <v>16.609236111111109</v>
      </c>
      <c r="AX41" s="477">
        <f t="shared" si="53"/>
        <v>27.653680555555553</v>
      </c>
      <c r="AY41" s="477">
        <f t="shared" si="53"/>
        <v>3.024027777777778</v>
      </c>
      <c r="AZ41" s="477">
        <f t="shared" si="53"/>
        <v>14.068472222222223</v>
      </c>
      <c r="BA41" s="477">
        <f t="shared" si="53"/>
        <v>5.5484722222222222</v>
      </c>
      <c r="BB41" s="477">
        <f t="shared" si="53"/>
        <v>16.592916666666667</v>
      </c>
      <c r="BC41" s="477">
        <f t="shared" si="53"/>
        <v>16.824375</v>
      </c>
      <c r="BD41" s="477">
        <f t="shared" si="53"/>
        <v>27.868819444444444</v>
      </c>
      <c r="BE41" s="477">
        <f t="shared" si="53"/>
        <v>19.348819444444445</v>
      </c>
      <c r="BF41" s="477">
        <f t="shared" si="53"/>
        <v>30.393263888888889</v>
      </c>
    </row>
    <row r="42" spans="1:58">
      <c r="A42" s="499" t="s">
        <v>2584</v>
      </c>
      <c r="B42" s="495">
        <f t="shared" si="47"/>
        <v>650982140</v>
      </c>
      <c r="C42" s="492" t="s">
        <v>8412</v>
      </c>
      <c r="D42" s="467">
        <v>102</v>
      </c>
      <c r="F42" s="17" t="str">
        <f t="shared" si="34"/>
        <v>MAC+102</v>
      </c>
      <c r="G42" s="493">
        <f t="shared" si="11"/>
        <v>649020135</v>
      </c>
      <c r="H42" s="493">
        <f t="shared" si="12"/>
        <v>650982145</v>
      </c>
      <c r="I42" s="17">
        <f t="shared" si="13"/>
        <v>8</v>
      </c>
      <c r="J42" s="17">
        <f t="shared" si="5"/>
        <v>1</v>
      </c>
      <c r="L42">
        <f t="shared" si="35"/>
        <v>180</v>
      </c>
      <c r="M42">
        <f t="shared" si="36"/>
        <v>3</v>
      </c>
      <c r="N42">
        <f t="shared" si="44"/>
        <v>7200</v>
      </c>
      <c r="O42">
        <f t="shared" si="37"/>
        <v>1800</v>
      </c>
      <c r="P42" s="3" t="str">
        <f t="shared" si="17"/>
        <v/>
      </c>
      <c r="Q42">
        <f t="shared" si="48"/>
        <v>300</v>
      </c>
      <c r="R42" s="17" t="str">
        <f t="shared" si="39"/>
        <v>102</v>
      </c>
      <c r="T42" s="466">
        <f t="shared" si="54"/>
        <v>2.7395833333333335</v>
      </c>
      <c r="U42" s="466">
        <f t="shared" si="54"/>
        <v>10.869791666666666</v>
      </c>
      <c r="V42">
        <f t="shared" si="41"/>
        <v>0.28444444444444444</v>
      </c>
      <c r="W42">
        <f t="shared" si="42"/>
        <v>11.044444444444444</v>
      </c>
      <c r="X42" s="500">
        <f t="shared" si="23"/>
        <v>422</v>
      </c>
      <c r="Y42" s="500">
        <f t="shared" si="49"/>
        <v>2.9305555555555554</v>
      </c>
      <c r="Z42">
        <f t="shared" si="7"/>
        <v>2.5244444444444443</v>
      </c>
      <c r="AB42" s="477">
        <f t="shared" si="50"/>
        <v>11.044444444444444</v>
      </c>
      <c r="AC42" s="477">
        <f t="shared" si="50"/>
        <v>13.394236111111111</v>
      </c>
      <c r="AD42" s="477">
        <f t="shared" si="50"/>
        <v>24.438680555555557</v>
      </c>
      <c r="AE42" s="477">
        <f t="shared" si="50"/>
        <v>2.9305555555555554</v>
      </c>
      <c r="AF42" s="477">
        <f t="shared" si="50"/>
        <v>13.975</v>
      </c>
      <c r="AG42" s="477">
        <f t="shared" si="50"/>
        <v>16.324791666666666</v>
      </c>
      <c r="AH42" s="477">
        <f t="shared" si="50"/>
        <v>27.36923611111111</v>
      </c>
      <c r="AI42" s="477">
        <f t="shared" si="50"/>
        <v>2.7395833333333335</v>
      </c>
      <c r="AJ42" s="477">
        <f t="shared" si="50"/>
        <v>13.784027777777778</v>
      </c>
      <c r="AK42" s="477">
        <f t="shared" si="50"/>
        <v>16.133819444444445</v>
      </c>
      <c r="AL42" s="477">
        <f t="shared" si="50"/>
        <v>27.178263888888889</v>
      </c>
      <c r="AM42" s="477">
        <f t="shared" si="50"/>
        <v>5.6701388888888893</v>
      </c>
      <c r="AN42" s="477">
        <f t="shared" si="50"/>
        <v>16.714583333333334</v>
      </c>
      <c r="AO42" s="477">
        <f t="shared" si="50"/>
        <v>19.064374999999998</v>
      </c>
      <c r="AP42" s="477">
        <f t="shared" si="50"/>
        <v>30.108819444444443</v>
      </c>
      <c r="AQ42" s="477">
        <f t="shared" si="50"/>
        <v>0.28444444444444444</v>
      </c>
      <c r="AR42" s="477">
        <f t="shared" si="52"/>
        <v>11.328888888888889</v>
      </c>
      <c r="AS42" s="477">
        <f t="shared" si="52"/>
        <v>13.678680555555555</v>
      </c>
      <c r="AT42" s="477">
        <f t="shared" si="52"/>
        <v>24.723125</v>
      </c>
      <c r="AU42" s="477">
        <f t="shared" si="52"/>
        <v>3.2149999999999999</v>
      </c>
      <c r="AV42" s="477">
        <f t="shared" si="53"/>
        <v>14.259444444444444</v>
      </c>
      <c r="AW42" s="477">
        <f t="shared" si="53"/>
        <v>16.609236111111109</v>
      </c>
      <c r="AX42" s="477">
        <f t="shared" si="53"/>
        <v>27.653680555555553</v>
      </c>
      <c r="AY42" s="477">
        <f t="shared" si="53"/>
        <v>3.024027777777778</v>
      </c>
      <c r="AZ42" s="477">
        <f t="shared" si="53"/>
        <v>14.068472222222223</v>
      </c>
      <c r="BA42" s="477">
        <f t="shared" si="53"/>
        <v>16.418263888888887</v>
      </c>
      <c r="BB42" s="477">
        <f t="shared" si="53"/>
        <v>27.462708333333332</v>
      </c>
      <c r="BC42" s="477">
        <f t="shared" si="53"/>
        <v>5.9545833333333338</v>
      </c>
      <c r="BD42" s="477">
        <f t="shared" si="53"/>
        <v>16.999027777777776</v>
      </c>
      <c r="BE42" s="477">
        <f t="shared" si="53"/>
        <v>19.348819444444445</v>
      </c>
      <c r="BF42" s="477">
        <f t="shared" si="53"/>
        <v>30.393263888888889</v>
      </c>
    </row>
    <row r="43" spans="1:58">
      <c r="A43" s="498" t="s">
        <v>866</v>
      </c>
      <c r="B43" s="495">
        <f t="shared" si="47"/>
        <v>650982145</v>
      </c>
      <c r="C43" s="492" t="s">
        <v>8418</v>
      </c>
      <c r="D43" s="467"/>
      <c r="F43" s="17" t="str">
        <f>_xlfn.TEXTJOIN("+",TRUE,$C43:$D43)</f>
        <v>OFF</v>
      </c>
      <c r="G43" s="493">
        <f t="shared" si="11"/>
        <v>649020135</v>
      </c>
      <c r="H43" s="493">
        <f t="shared" si="12"/>
        <v>650982145</v>
      </c>
      <c r="I43" s="17">
        <f t="shared" si="13"/>
        <v>9</v>
      </c>
      <c r="J43" s="17">
        <f>IF($C43="OFF",0,J44+1)</f>
        <v>0</v>
      </c>
      <c r="L43">
        <f>IF($C43="ON","",IF($C43="N1",$D43,L42))</f>
        <v>180</v>
      </c>
      <c r="M43">
        <f>IF($C43="ON","",IF($C43="N2",$D43,IF($F43="MAC+103",3,IF($F43="MAC+104",2,M42))))</f>
        <v>3</v>
      </c>
      <c r="N43">
        <f t="shared" si="44"/>
        <v>7200</v>
      </c>
      <c r="O43">
        <f>IF($C43="ON","",IF($C43="STAT",$D43,O42))</f>
        <v>1800</v>
      </c>
      <c r="P43" s="3" t="str">
        <f t="shared" si="17"/>
        <v/>
      </c>
      <c r="Q43">
        <f>IF(F43="ON","",IF($F43="MAC+105",300,IF($F43="MAC+106",600,IF($F43="MAC+107",840,IF($F43="MAC+108",1200,IF($F43="MAC+109",1800,IF($F43="MAC+110",43200,Q42)))))))</f>
        <v>300</v>
      </c>
      <c r="R43" s="17" t="str">
        <f>IF($C43="ON","",IF($F43="MAC+102","102",R42))</f>
        <v>102</v>
      </c>
      <c r="T43" s="466">
        <f>IF($M43="",0,T$1/64/$M43)</f>
        <v>2.7395833333333335</v>
      </c>
      <c r="U43" s="466">
        <f>IF($M43="",0,U$1/64/$M43)</f>
        <v>10.869791666666666</v>
      </c>
      <c r="V43">
        <f>IF($O43="",0,V$1/$O43)</f>
        <v>0.28444444444444444</v>
      </c>
      <c r="W43">
        <f>IF($L43="",0,W$1/$L43)</f>
        <v>11.044444444444444</v>
      </c>
      <c r="X43" s="500">
        <f t="shared" si="23"/>
        <v>422</v>
      </c>
      <c r="Y43" s="500">
        <f>IF($M43="",0,IF($Q43="",1,Q43/43200)*X43)</f>
        <v>2.9305555555555554</v>
      </c>
      <c r="Z43">
        <f t="shared" si="7"/>
        <v>2.5244444444444443</v>
      </c>
      <c r="AB43" s="477">
        <f t="shared" si="50"/>
        <v>11.044444444444444</v>
      </c>
      <c r="AC43" s="477">
        <f t="shared" si="50"/>
        <v>13.394236111111111</v>
      </c>
      <c r="AD43" s="477">
        <f t="shared" si="50"/>
        <v>24.438680555555557</v>
      </c>
      <c r="AE43" s="477">
        <f t="shared" si="50"/>
        <v>2.9305555555555554</v>
      </c>
      <c r="AF43" s="477">
        <f t="shared" si="50"/>
        <v>13.975</v>
      </c>
      <c r="AG43" s="477">
        <f t="shared" si="50"/>
        <v>16.324791666666666</v>
      </c>
      <c r="AH43" s="477">
        <f t="shared" si="50"/>
        <v>27.36923611111111</v>
      </c>
      <c r="AI43" s="477">
        <f t="shared" si="50"/>
        <v>2.7395833333333335</v>
      </c>
      <c r="AJ43" s="477">
        <f t="shared" si="50"/>
        <v>13.784027777777778</v>
      </c>
      <c r="AK43" s="477">
        <f t="shared" si="50"/>
        <v>16.133819444444445</v>
      </c>
      <c r="AL43" s="477">
        <f t="shared" si="50"/>
        <v>27.178263888888889</v>
      </c>
      <c r="AM43" s="477">
        <f t="shared" si="50"/>
        <v>5.6701388888888893</v>
      </c>
      <c r="AN43" s="477">
        <f t="shared" si="50"/>
        <v>16.714583333333334</v>
      </c>
      <c r="AO43" s="477">
        <f t="shared" si="50"/>
        <v>19.064374999999998</v>
      </c>
      <c r="AP43" s="477">
        <f t="shared" si="50"/>
        <v>30.108819444444443</v>
      </c>
      <c r="AQ43" s="477">
        <f t="shared" si="50"/>
        <v>0.28444444444444444</v>
      </c>
      <c r="AR43" s="477">
        <f t="shared" si="52"/>
        <v>11.328888888888889</v>
      </c>
      <c r="AS43" s="477">
        <f t="shared" si="52"/>
        <v>13.678680555555555</v>
      </c>
      <c r="AT43" s="477">
        <f t="shared" si="52"/>
        <v>24.723125</v>
      </c>
      <c r="AU43" s="477">
        <f t="shared" si="52"/>
        <v>3.2149999999999999</v>
      </c>
      <c r="AV43" s="477">
        <f t="shared" si="53"/>
        <v>14.259444444444444</v>
      </c>
      <c r="AW43" s="477">
        <f t="shared" si="53"/>
        <v>16.609236111111109</v>
      </c>
      <c r="AX43" s="477">
        <f t="shared" si="53"/>
        <v>27.653680555555553</v>
      </c>
      <c r="AY43" s="477">
        <f t="shared" si="53"/>
        <v>3.024027777777778</v>
      </c>
      <c r="AZ43" s="477">
        <f t="shared" si="53"/>
        <v>14.068472222222223</v>
      </c>
      <c r="BA43" s="477">
        <f t="shared" si="53"/>
        <v>16.418263888888887</v>
      </c>
      <c r="BB43" s="477">
        <f t="shared" si="53"/>
        <v>27.462708333333332</v>
      </c>
      <c r="BC43" s="477">
        <f t="shared" si="53"/>
        <v>5.9545833333333338</v>
      </c>
      <c r="BD43" s="477">
        <f t="shared" si="53"/>
        <v>16.999027777777776</v>
      </c>
      <c r="BE43" s="477">
        <f t="shared" si="53"/>
        <v>19.348819444444445</v>
      </c>
      <c r="BF43" s="477">
        <f t="shared" si="53"/>
        <v>30.393263888888889</v>
      </c>
    </row>
    <row r="44" spans="1:58">
      <c r="A44" s="498" t="s">
        <v>866</v>
      </c>
      <c r="B44" s="495">
        <f>B34+86400+H34-G34</f>
        <v>651068545</v>
      </c>
      <c r="C44" s="492" t="s">
        <v>1148</v>
      </c>
      <c r="D44" s="467"/>
      <c r="F44" s="17" t="str">
        <f>_xlfn.TEXTJOIN("+",TRUE,$C44:$D44)</f>
        <v>ON</v>
      </c>
      <c r="G44" s="493">
        <f>IF($C44="ON",$B44,G43)</f>
        <v>651068545</v>
      </c>
      <c r="H44" s="493">
        <f>IF($C44="OFF",$B44,H45)</f>
        <v>653030555</v>
      </c>
      <c r="I44" s="17">
        <f>IF($C44="ON",0,I43+1)</f>
        <v>0</v>
      </c>
      <c r="J44" s="17">
        <f t="shared" si="5"/>
        <v>9</v>
      </c>
      <c r="L44" t="str">
        <f>IF($C44="ON","",IF($C44="N1",$D44,L43))</f>
        <v/>
      </c>
      <c r="M44" t="str">
        <f>IF($C44="ON","",IF($C44="N2",$D44,IF($F44="MAC+103",3,IF($F44="MAC+104",2,M43))))</f>
        <v/>
      </c>
      <c r="N44" t="str">
        <f t="shared" si="44"/>
        <v/>
      </c>
      <c r="O44" t="str">
        <f>IF($C44="ON","",IF($C44="STAT",$D44,O43))</f>
        <v/>
      </c>
      <c r="P44" s="3" t="str">
        <f>IF($C44="ON","",IF(AND($C44="MAC",105&lt;=$D44,$D44&lt;=110),"",IF(AND($C44="MAC",103&lt;=$D44,$D44&lt;=104),"disabled",P43)))</f>
        <v/>
      </c>
      <c r="Q44" t="str">
        <f>IF(F44="ON","",IF($F44="MAC+105",300,IF($F44="MAC+106",600,IF($F44="MAC+107",840,IF($F44="MAC+108",1200,IF($F44="MAC+109",1800,IF($F44="MAC+110",43200,Q43)))))))</f>
        <v/>
      </c>
      <c r="R44" s="17" t="str">
        <f>IF($C44="ON","",IF($F44="MAC+102","102",R43))</f>
        <v/>
      </c>
      <c r="T44" s="466">
        <f>IF($M44="",0,T$1/64/$M44)</f>
        <v>0</v>
      </c>
      <c r="U44" s="466">
        <f>IF($M44="",0,U$1/64/$M44)</f>
        <v>0</v>
      </c>
      <c r="V44">
        <f>IF($O44="",0,V$1/$O44)</f>
        <v>0</v>
      </c>
      <c r="W44">
        <f>IF($L44="",0,W$1/$L44)</f>
        <v>0</v>
      </c>
      <c r="X44" s="500">
        <f>IF(OR($M44="",$P44&lt;&gt;""),0,X$1/$M44)</f>
        <v>0</v>
      </c>
      <c r="Y44" s="500">
        <f>IF($M44="",0,IF($Q44="",1,Q44/43200)*X44)</f>
        <v>0</v>
      </c>
      <c r="Z44">
        <f t="shared" si="7"/>
        <v>0</v>
      </c>
      <c r="AB44" s="477">
        <f>IF(AB$3&lt;&gt;"",$V44,0)+IF(AB$4&lt;&gt;"",$T44,0)+IF(AB$5&lt;&gt;"",$Y44+IF($R44&lt;&gt;"102",$U44,0),0)+IF(AB$6&lt;&gt;"",$Z44+IF($R44="102",$U44,0),0)+IF(AB$7&lt;&gt;"",$W44,0)</f>
        <v>0</v>
      </c>
      <c r="AC44" s="477">
        <f t="shared" si="50"/>
        <v>0</v>
      </c>
      <c r="AD44" s="477">
        <f t="shared" si="50"/>
        <v>0</v>
      </c>
      <c r="AE44" s="477">
        <f t="shared" si="50"/>
        <v>0</v>
      </c>
      <c r="AF44" s="477">
        <f t="shared" si="50"/>
        <v>0</v>
      </c>
      <c r="AG44" s="477">
        <f t="shared" si="50"/>
        <v>0</v>
      </c>
      <c r="AH44" s="477">
        <f t="shared" si="50"/>
        <v>0</v>
      </c>
      <c r="AI44" s="477">
        <f t="shared" si="50"/>
        <v>0</v>
      </c>
      <c r="AJ44" s="477">
        <f t="shared" si="50"/>
        <v>0</v>
      </c>
      <c r="AK44" s="477">
        <f t="shared" si="50"/>
        <v>0</v>
      </c>
      <c r="AL44" s="477">
        <f t="shared" si="50"/>
        <v>0</v>
      </c>
      <c r="AM44" s="477">
        <f t="shared" si="50"/>
        <v>0</v>
      </c>
      <c r="AN44" s="477">
        <f t="shared" si="50"/>
        <v>0</v>
      </c>
      <c r="AO44" s="477">
        <f t="shared" si="50"/>
        <v>0</v>
      </c>
      <c r="AP44" s="477">
        <f t="shared" si="50"/>
        <v>0</v>
      </c>
      <c r="AQ44" s="477">
        <f t="shared" si="50"/>
        <v>0</v>
      </c>
      <c r="AR44" s="477">
        <f t="shared" si="52"/>
        <v>0</v>
      </c>
      <c r="AS44" s="477">
        <f t="shared" si="52"/>
        <v>0</v>
      </c>
      <c r="AT44" s="477">
        <f t="shared" si="52"/>
        <v>0</v>
      </c>
      <c r="AU44" s="477">
        <f t="shared" si="52"/>
        <v>0</v>
      </c>
      <c r="AV44" s="477">
        <f t="shared" si="53"/>
        <v>0</v>
      </c>
      <c r="AW44" s="477">
        <f t="shared" si="53"/>
        <v>0</v>
      </c>
      <c r="AX44" s="477">
        <f t="shared" si="53"/>
        <v>0</v>
      </c>
      <c r="AY44" s="477">
        <f t="shared" si="53"/>
        <v>0</v>
      </c>
      <c r="AZ44" s="477">
        <f t="shared" si="53"/>
        <v>0</v>
      </c>
      <c r="BA44" s="477">
        <f t="shared" si="53"/>
        <v>0</v>
      </c>
      <c r="BB44" s="477">
        <f t="shared" si="53"/>
        <v>0</v>
      </c>
      <c r="BC44" s="477">
        <f t="shared" si="53"/>
        <v>0</v>
      </c>
      <c r="BD44" s="477">
        <f t="shared" si="53"/>
        <v>0</v>
      </c>
      <c r="BE44" s="477">
        <f t="shared" si="53"/>
        <v>0</v>
      </c>
      <c r="BF44" s="477">
        <f t="shared" si="53"/>
        <v>0</v>
      </c>
    </row>
    <row r="45" spans="1:58">
      <c r="A45" s="499" t="s">
        <v>1288</v>
      </c>
      <c r="B45" s="495">
        <f t="shared" ref="B45:B53" si="55">B35+86400+H35-G35</f>
        <v>653028745</v>
      </c>
      <c r="C45" s="492" t="s">
        <v>8412</v>
      </c>
      <c r="D45" s="467">
        <v>111</v>
      </c>
      <c r="F45" s="17" t="str">
        <f t="shared" ref="F45:F62" si="56">_xlfn.TEXTJOIN("+",TRUE,$C45:$D45)</f>
        <v>MAC+111</v>
      </c>
      <c r="G45" s="493">
        <f t="shared" si="11"/>
        <v>651068545</v>
      </c>
      <c r="H45" s="493">
        <f t="shared" si="12"/>
        <v>653030555</v>
      </c>
      <c r="I45" s="17">
        <f t="shared" si="13"/>
        <v>1</v>
      </c>
      <c r="J45" s="17">
        <f t="shared" si="5"/>
        <v>8</v>
      </c>
      <c r="L45" t="str">
        <f t="shared" ref="L45:L52" si="57">IF($C45="ON","",IF($C45="N1",$D45,L44))</f>
        <v/>
      </c>
      <c r="M45" t="str">
        <f t="shared" ref="M45:M52" si="58">IF($C45="ON","",IF($C45="N2",$D45,IF($F45="MAC+103",3,IF($F45="MAC+104",2,M44))))</f>
        <v/>
      </c>
      <c r="N45" t="str">
        <f t="shared" si="44"/>
        <v/>
      </c>
      <c r="O45" t="str">
        <f t="shared" ref="O45:O52" si="59">IF($C45="ON","",IF($C45="STAT",$D45,O44))</f>
        <v/>
      </c>
      <c r="P45" s="3" t="str">
        <f t="shared" si="17"/>
        <v/>
      </c>
      <c r="Q45" t="str">
        <f t="shared" ref="Q45:Q52" si="60">IF(F45="ON","",IF($F45="MAC+105",300,IF($F45="MAC+106",600,IF($F45="MAC+107",840,IF($F45="MAC+108",1200,IF($F45="MAC+109",1800,IF($F45="MAC+110",43200,Q44)))))))</f>
        <v/>
      </c>
      <c r="R45" s="17" t="str">
        <f t="shared" ref="R45:R52" si="61">IF($C45="ON","",IF($F45="MAC+102","102",R44))</f>
        <v/>
      </c>
      <c r="T45" s="466">
        <f t="shared" ref="T45:U60" si="62">IF($M45="",0,T$1/64/$M45)</f>
        <v>0</v>
      </c>
      <c r="U45" s="466">
        <f t="shared" si="62"/>
        <v>0</v>
      </c>
      <c r="V45">
        <f t="shared" ref="V45:V62" si="63">IF($O45="",0,V$1/$O45)</f>
        <v>0</v>
      </c>
      <c r="W45">
        <f t="shared" ref="W45:W62" si="64">IF($L45="",0,W$1/$L45)</f>
        <v>0</v>
      </c>
      <c r="X45" s="500">
        <f t="shared" si="23"/>
        <v>0</v>
      </c>
      <c r="Y45" s="500">
        <f t="shared" ref="Y45:Y52" si="65">IF($M45="",0,IF($Q45="",1,Q45/43200)*X45)</f>
        <v>0</v>
      </c>
      <c r="Z45">
        <f t="shared" si="7"/>
        <v>0</v>
      </c>
      <c r="AB45" s="477">
        <f t="shared" si="50"/>
        <v>0</v>
      </c>
      <c r="AC45" s="477">
        <f t="shared" si="50"/>
        <v>0</v>
      </c>
      <c r="AD45" s="477">
        <f t="shared" si="50"/>
        <v>0</v>
      </c>
      <c r="AE45" s="477">
        <f t="shared" si="50"/>
        <v>0</v>
      </c>
      <c r="AF45" s="477">
        <f t="shared" si="50"/>
        <v>0</v>
      </c>
      <c r="AG45" s="477">
        <f t="shared" si="50"/>
        <v>0</v>
      </c>
      <c r="AH45" s="477">
        <f t="shared" si="50"/>
        <v>0</v>
      </c>
      <c r="AI45" s="477">
        <f t="shared" si="50"/>
        <v>0</v>
      </c>
      <c r="AJ45" s="477">
        <f t="shared" si="50"/>
        <v>0</v>
      </c>
      <c r="AK45" s="477">
        <f t="shared" si="50"/>
        <v>0</v>
      </c>
      <c r="AL45" s="477">
        <f t="shared" si="50"/>
        <v>0</v>
      </c>
      <c r="AM45" s="477">
        <f t="shared" si="50"/>
        <v>0</v>
      </c>
      <c r="AN45" s="477">
        <f t="shared" si="50"/>
        <v>0</v>
      </c>
      <c r="AO45" s="477">
        <f t="shared" si="50"/>
        <v>0</v>
      </c>
      <c r="AP45" s="477">
        <f t="shared" si="50"/>
        <v>0</v>
      </c>
      <c r="AQ45" s="477">
        <f t="shared" si="50"/>
        <v>0</v>
      </c>
      <c r="AR45" s="477">
        <f t="shared" si="52"/>
        <v>0</v>
      </c>
      <c r="AS45" s="477">
        <f t="shared" si="52"/>
        <v>0</v>
      </c>
      <c r="AT45" s="477">
        <f t="shared" si="52"/>
        <v>0</v>
      </c>
      <c r="AU45" s="477">
        <f t="shared" si="52"/>
        <v>0</v>
      </c>
      <c r="AV45" s="477">
        <f t="shared" si="53"/>
        <v>0</v>
      </c>
      <c r="AW45" s="477">
        <f t="shared" si="53"/>
        <v>0</v>
      </c>
      <c r="AX45" s="477">
        <f t="shared" si="53"/>
        <v>0</v>
      </c>
      <c r="AY45" s="477">
        <f t="shared" si="53"/>
        <v>0</v>
      </c>
      <c r="AZ45" s="477">
        <f t="shared" si="53"/>
        <v>0</v>
      </c>
      <c r="BA45" s="477">
        <f t="shared" si="53"/>
        <v>0</v>
      </c>
      <c r="BB45" s="477">
        <f t="shared" si="53"/>
        <v>0</v>
      </c>
      <c r="BC45" s="477">
        <f t="shared" si="53"/>
        <v>0</v>
      </c>
      <c r="BD45" s="477">
        <f t="shared" si="53"/>
        <v>0</v>
      </c>
      <c r="BE45" s="477">
        <f t="shared" si="53"/>
        <v>0</v>
      </c>
      <c r="BF45" s="477">
        <f t="shared" si="53"/>
        <v>0</v>
      </c>
    </row>
    <row r="46" spans="1:58">
      <c r="A46" s="499" t="s">
        <v>1517</v>
      </c>
      <c r="B46" s="495">
        <f t="shared" si="55"/>
        <v>653029345</v>
      </c>
      <c r="C46" s="492" t="s">
        <v>776</v>
      </c>
      <c r="D46" s="467">
        <v>360</v>
      </c>
      <c r="F46" s="17" t="str">
        <f t="shared" si="56"/>
        <v>N2+360</v>
      </c>
      <c r="G46" s="493">
        <f t="shared" si="11"/>
        <v>651068545</v>
      </c>
      <c r="H46" s="493">
        <f t="shared" si="12"/>
        <v>653030555</v>
      </c>
      <c r="I46" s="17">
        <f t="shared" si="13"/>
        <v>2</v>
      </c>
      <c r="J46" s="17">
        <f t="shared" si="5"/>
        <v>7</v>
      </c>
      <c r="L46" t="str">
        <f t="shared" si="57"/>
        <v/>
      </c>
      <c r="M46">
        <f t="shared" si="58"/>
        <v>360</v>
      </c>
      <c r="N46" t="str">
        <f t="shared" si="44"/>
        <v/>
      </c>
      <c r="O46" t="str">
        <f t="shared" si="59"/>
        <v/>
      </c>
      <c r="P46" s="3" t="str">
        <f t="shared" si="17"/>
        <v/>
      </c>
      <c r="Q46" t="str">
        <f t="shared" si="60"/>
        <v/>
      </c>
      <c r="R46" s="17" t="str">
        <f t="shared" si="61"/>
        <v/>
      </c>
      <c r="T46" s="466">
        <f t="shared" si="62"/>
        <v>2.282986111111111E-2</v>
      </c>
      <c r="U46" s="466">
        <f t="shared" si="62"/>
        <v>9.0581597222222227E-2</v>
      </c>
      <c r="V46">
        <f t="shared" si="63"/>
        <v>0</v>
      </c>
      <c r="W46">
        <f t="shared" si="64"/>
        <v>0</v>
      </c>
      <c r="X46" s="500">
        <f t="shared" si="23"/>
        <v>3.5166666666666666</v>
      </c>
      <c r="Y46" s="500">
        <f t="shared" si="65"/>
        <v>3.5166666666666666</v>
      </c>
      <c r="Z46">
        <f t="shared" si="7"/>
        <v>0</v>
      </c>
      <c r="AB46" s="477">
        <f t="shared" si="50"/>
        <v>0</v>
      </c>
      <c r="AC46" s="477">
        <f t="shared" si="50"/>
        <v>0</v>
      </c>
      <c r="AD46" s="477">
        <f t="shared" si="50"/>
        <v>0</v>
      </c>
      <c r="AE46" s="477">
        <f t="shared" si="50"/>
        <v>3.6072482638888888</v>
      </c>
      <c r="AF46" s="477">
        <f t="shared" si="50"/>
        <v>3.6072482638888888</v>
      </c>
      <c r="AG46" s="477">
        <f t="shared" si="50"/>
        <v>3.6072482638888888</v>
      </c>
      <c r="AH46" s="477">
        <f t="shared" si="50"/>
        <v>3.6072482638888888</v>
      </c>
      <c r="AI46" s="477">
        <f t="shared" si="50"/>
        <v>2.282986111111111E-2</v>
      </c>
      <c r="AJ46" s="477">
        <f t="shared" si="50"/>
        <v>2.282986111111111E-2</v>
      </c>
      <c r="AK46" s="477">
        <f t="shared" si="50"/>
        <v>2.282986111111111E-2</v>
      </c>
      <c r="AL46" s="477">
        <f t="shared" si="50"/>
        <v>2.282986111111111E-2</v>
      </c>
      <c r="AM46" s="477">
        <f t="shared" si="50"/>
        <v>3.6300781249999998</v>
      </c>
      <c r="AN46" s="477">
        <f t="shared" si="50"/>
        <v>3.6300781249999998</v>
      </c>
      <c r="AO46" s="477">
        <f t="shared" si="50"/>
        <v>3.6300781249999998</v>
      </c>
      <c r="AP46" s="477">
        <f t="shared" si="50"/>
        <v>3.6300781249999998</v>
      </c>
      <c r="AQ46" s="477">
        <f t="shared" si="50"/>
        <v>0</v>
      </c>
      <c r="AR46" s="477">
        <f t="shared" si="52"/>
        <v>0</v>
      </c>
      <c r="AS46" s="477">
        <f t="shared" si="52"/>
        <v>0</v>
      </c>
      <c r="AT46" s="477">
        <f t="shared" si="52"/>
        <v>0</v>
      </c>
      <c r="AU46" s="477">
        <f t="shared" si="52"/>
        <v>3.6072482638888888</v>
      </c>
      <c r="AV46" s="477">
        <f t="shared" si="53"/>
        <v>3.6072482638888888</v>
      </c>
      <c r="AW46" s="477">
        <f t="shared" si="53"/>
        <v>3.6072482638888888</v>
      </c>
      <c r="AX46" s="477">
        <f t="shared" si="53"/>
        <v>3.6072482638888888</v>
      </c>
      <c r="AY46" s="477">
        <f t="shared" si="53"/>
        <v>2.282986111111111E-2</v>
      </c>
      <c r="AZ46" s="477">
        <f t="shared" si="53"/>
        <v>2.282986111111111E-2</v>
      </c>
      <c r="BA46" s="477">
        <f t="shared" si="53"/>
        <v>2.282986111111111E-2</v>
      </c>
      <c r="BB46" s="477">
        <f t="shared" si="53"/>
        <v>2.282986111111111E-2</v>
      </c>
      <c r="BC46" s="477">
        <f t="shared" si="53"/>
        <v>3.6300781249999998</v>
      </c>
      <c r="BD46" s="477">
        <f t="shared" si="53"/>
        <v>3.6300781249999998</v>
      </c>
      <c r="BE46" s="477">
        <f t="shared" si="53"/>
        <v>3.6300781249999998</v>
      </c>
      <c r="BF46" s="477">
        <f t="shared" si="53"/>
        <v>3.6300781249999998</v>
      </c>
    </row>
    <row r="47" spans="1:58">
      <c r="A47" s="499" t="s">
        <v>1523</v>
      </c>
      <c r="B47" s="495">
        <f t="shared" si="55"/>
        <v>653029348</v>
      </c>
      <c r="C47" s="492" t="s">
        <v>12</v>
      </c>
      <c r="D47" s="467">
        <v>360</v>
      </c>
      <c r="F47" s="17" t="str">
        <f t="shared" si="56"/>
        <v>N1+360</v>
      </c>
      <c r="G47" s="493">
        <f t="shared" si="11"/>
        <v>651068545</v>
      </c>
      <c r="H47" s="493">
        <f t="shared" si="12"/>
        <v>653030555</v>
      </c>
      <c r="I47" s="17">
        <f t="shared" si="13"/>
        <v>3</v>
      </c>
      <c r="J47" s="17">
        <f t="shared" si="5"/>
        <v>6</v>
      </c>
      <c r="L47">
        <v>180</v>
      </c>
      <c r="M47">
        <f t="shared" si="58"/>
        <v>360</v>
      </c>
      <c r="N47" t="str">
        <f>IF($C47="ON","",IF($C47="N3",$D47,N46))</f>
        <v/>
      </c>
      <c r="O47" t="str">
        <f t="shared" si="59"/>
        <v/>
      </c>
      <c r="P47" s="3" t="str">
        <f t="shared" si="17"/>
        <v/>
      </c>
      <c r="Q47" t="str">
        <f t="shared" si="60"/>
        <v/>
      </c>
      <c r="R47" s="17" t="str">
        <f t="shared" si="61"/>
        <v/>
      </c>
      <c r="T47" s="466">
        <f t="shared" si="62"/>
        <v>2.282986111111111E-2</v>
      </c>
      <c r="U47" s="466">
        <f t="shared" si="62"/>
        <v>9.0581597222222227E-2</v>
      </c>
      <c r="V47">
        <f t="shared" si="63"/>
        <v>0</v>
      </c>
      <c r="W47">
        <f t="shared" si="64"/>
        <v>11.044444444444444</v>
      </c>
      <c r="X47" s="500">
        <f t="shared" si="23"/>
        <v>3.5166666666666666</v>
      </c>
      <c r="Y47" s="500">
        <f t="shared" si="65"/>
        <v>3.5166666666666666</v>
      </c>
      <c r="Z47">
        <f t="shared" si="7"/>
        <v>0</v>
      </c>
      <c r="AB47" s="477">
        <f t="shared" si="50"/>
        <v>11.044444444444444</v>
      </c>
      <c r="AC47" s="477">
        <f t="shared" si="50"/>
        <v>0</v>
      </c>
      <c r="AD47" s="477">
        <f t="shared" si="50"/>
        <v>11.044444444444444</v>
      </c>
      <c r="AE47" s="477">
        <f t="shared" si="50"/>
        <v>3.6072482638888888</v>
      </c>
      <c r="AF47" s="477">
        <f t="shared" si="50"/>
        <v>14.651692708333332</v>
      </c>
      <c r="AG47" s="477">
        <f t="shared" si="50"/>
        <v>3.6072482638888888</v>
      </c>
      <c r="AH47" s="477">
        <f t="shared" si="50"/>
        <v>14.651692708333332</v>
      </c>
      <c r="AI47" s="477">
        <f t="shared" si="50"/>
        <v>2.282986111111111E-2</v>
      </c>
      <c r="AJ47" s="477">
        <f t="shared" si="50"/>
        <v>11.067274305555555</v>
      </c>
      <c r="AK47" s="477">
        <f t="shared" si="50"/>
        <v>2.282986111111111E-2</v>
      </c>
      <c r="AL47" s="477">
        <f t="shared" si="50"/>
        <v>11.067274305555555</v>
      </c>
      <c r="AM47" s="477">
        <f t="shared" si="50"/>
        <v>3.6300781249999998</v>
      </c>
      <c r="AN47" s="477">
        <f t="shared" si="50"/>
        <v>14.674522569444445</v>
      </c>
      <c r="AO47" s="477">
        <f t="shared" si="50"/>
        <v>3.6300781249999998</v>
      </c>
      <c r="AP47" s="477">
        <f t="shared" si="50"/>
        <v>14.674522569444445</v>
      </c>
      <c r="AQ47" s="477">
        <f t="shared" si="50"/>
        <v>0</v>
      </c>
      <c r="AR47" s="477">
        <f t="shared" si="52"/>
        <v>11.044444444444444</v>
      </c>
      <c r="AS47" s="477">
        <f t="shared" si="52"/>
        <v>0</v>
      </c>
      <c r="AT47" s="477">
        <f t="shared" si="52"/>
        <v>11.044444444444444</v>
      </c>
      <c r="AU47" s="477">
        <f t="shared" si="52"/>
        <v>3.6072482638888888</v>
      </c>
      <c r="AV47" s="477">
        <f t="shared" si="53"/>
        <v>14.651692708333332</v>
      </c>
      <c r="AW47" s="477">
        <f t="shared" si="53"/>
        <v>3.6072482638888888</v>
      </c>
      <c r="AX47" s="477">
        <f t="shared" si="53"/>
        <v>14.651692708333332</v>
      </c>
      <c r="AY47" s="477">
        <f t="shared" si="53"/>
        <v>2.282986111111111E-2</v>
      </c>
      <c r="AZ47" s="477">
        <f t="shared" si="53"/>
        <v>11.067274305555555</v>
      </c>
      <c r="BA47" s="477">
        <f t="shared" si="53"/>
        <v>2.282986111111111E-2</v>
      </c>
      <c r="BB47" s="477">
        <f t="shared" si="53"/>
        <v>11.067274305555555</v>
      </c>
      <c r="BC47" s="477">
        <f t="shared" si="53"/>
        <v>3.6300781249999998</v>
      </c>
      <c r="BD47" s="477">
        <f t="shared" si="53"/>
        <v>14.674522569444445</v>
      </c>
      <c r="BE47" s="477">
        <f t="shared" si="53"/>
        <v>3.6300781249999998</v>
      </c>
      <c r="BF47" s="477">
        <f t="shared" si="53"/>
        <v>14.674522569444445</v>
      </c>
    </row>
    <row r="48" spans="1:58">
      <c r="A48" s="499" t="s">
        <v>1160</v>
      </c>
      <c r="B48" s="495">
        <f t="shared" si="55"/>
        <v>653029351</v>
      </c>
      <c r="C48" s="492" t="s">
        <v>773</v>
      </c>
      <c r="D48" s="467">
        <v>7200</v>
      </c>
      <c r="F48" s="17" t="str">
        <f t="shared" si="56"/>
        <v>N3+7200</v>
      </c>
      <c r="G48" s="493">
        <f t="shared" si="11"/>
        <v>651068545</v>
      </c>
      <c r="H48" s="493">
        <f t="shared" si="12"/>
        <v>653030555</v>
      </c>
      <c r="I48" s="17">
        <f t="shared" si="13"/>
        <v>4</v>
      </c>
      <c r="J48" s="17">
        <f t="shared" si="5"/>
        <v>5</v>
      </c>
      <c r="L48">
        <f t="shared" si="57"/>
        <v>180</v>
      </c>
      <c r="M48">
        <f t="shared" si="58"/>
        <v>360</v>
      </c>
      <c r="N48">
        <f t="shared" si="44"/>
        <v>7200</v>
      </c>
      <c r="O48" t="str">
        <f t="shared" si="59"/>
        <v/>
      </c>
      <c r="P48" s="3" t="str">
        <f t="shared" si="17"/>
        <v/>
      </c>
      <c r="Q48" t="str">
        <f t="shared" si="60"/>
        <v/>
      </c>
      <c r="R48" s="17" t="str">
        <f t="shared" si="61"/>
        <v/>
      </c>
      <c r="T48" s="466">
        <f t="shared" si="62"/>
        <v>2.282986111111111E-2</v>
      </c>
      <c r="U48" s="466">
        <f t="shared" si="62"/>
        <v>9.0581597222222227E-2</v>
      </c>
      <c r="V48">
        <f t="shared" si="63"/>
        <v>0</v>
      </c>
      <c r="W48">
        <f t="shared" si="64"/>
        <v>11.044444444444444</v>
      </c>
      <c r="X48" s="500">
        <f t="shared" si="23"/>
        <v>3.5166666666666666</v>
      </c>
      <c r="Y48" s="500">
        <f t="shared" si="65"/>
        <v>3.5166666666666666</v>
      </c>
      <c r="Z48">
        <f t="shared" si="7"/>
        <v>2.5244444444444443</v>
      </c>
      <c r="AB48" s="477">
        <f t="shared" si="50"/>
        <v>11.044444444444444</v>
      </c>
      <c r="AC48" s="477">
        <f t="shared" si="50"/>
        <v>2.5244444444444443</v>
      </c>
      <c r="AD48" s="477">
        <f t="shared" si="50"/>
        <v>13.568888888888889</v>
      </c>
      <c r="AE48" s="477">
        <f t="shared" si="50"/>
        <v>3.6072482638888888</v>
      </c>
      <c r="AF48" s="477">
        <f t="shared" si="52"/>
        <v>14.651692708333332</v>
      </c>
      <c r="AG48" s="477">
        <f t="shared" si="52"/>
        <v>6.1316927083333326</v>
      </c>
      <c r="AH48" s="477">
        <f t="shared" si="52"/>
        <v>17.176137152777777</v>
      </c>
      <c r="AI48" s="477">
        <f t="shared" si="52"/>
        <v>2.282986111111111E-2</v>
      </c>
      <c r="AJ48" s="477">
        <f t="shared" si="52"/>
        <v>11.067274305555555</v>
      </c>
      <c r="AK48" s="477">
        <f t="shared" si="52"/>
        <v>2.5472743055555553</v>
      </c>
      <c r="AL48" s="477">
        <f t="shared" si="52"/>
        <v>13.59171875</v>
      </c>
      <c r="AM48" s="477">
        <f t="shared" si="52"/>
        <v>3.6300781249999998</v>
      </c>
      <c r="AN48" s="477">
        <f t="shared" si="52"/>
        <v>14.674522569444445</v>
      </c>
      <c r="AO48" s="477">
        <f t="shared" si="52"/>
        <v>6.1545225694444436</v>
      </c>
      <c r="AP48" s="477">
        <f t="shared" si="52"/>
        <v>17.19896701388889</v>
      </c>
      <c r="AQ48" s="477">
        <f t="shared" si="52"/>
        <v>0</v>
      </c>
      <c r="AR48" s="477">
        <f t="shared" si="52"/>
        <v>11.044444444444444</v>
      </c>
      <c r="AS48" s="477">
        <f t="shared" si="52"/>
        <v>2.5244444444444443</v>
      </c>
      <c r="AT48" s="477">
        <f t="shared" si="52"/>
        <v>13.568888888888889</v>
      </c>
      <c r="AU48" s="477">
        <f t="shared" si="52"/>
        <v>3.6072482638888888</v>
      </c>
      <c r="AV48" s="477">
        <f t="shared" si="53"/>
        <v>14.651692708333332</v>
      </c>
      <c r="AW48" s="477">
        <f t="shared" si="53"/>
        <v>6.1316927083333326</v>
      </c>
      <c r="AX48" s="477">
        <f t="shared" si="53"/>
        <v>17.176137152777777</v>
      </c>
      <c r="AY48" s="477">
        <f t="shared" si="53"/>
        <v>2.282986111111111E-2</v>
      </c>
      <c r="AZ48" s="477">
        <f t="shared" si="53"/>
        <v>11.067274305555555</v>
      </c>
      <c r="BA48" s="477">
        <f t="shared" si="53"/>
        <v>2.5472743055555553</v>
      </c>
      <c r="BB48" s="477">
        <f t="shared" si="53"/>
        <v>13.59171875</v>
      </c>
      <c r="BC48" s="477">
        <f t="shared" si="53"/>
        <v>3.6300781249999998</v>
      </c>
      <c r="BD48" s="477">
        <f t="shared" si="53"/>
        <v>14.674522569444445</v>
      </c>
      <c r="BE48" s="477">
        <f t="shared" si="53"/>
        <v>6.1545225694444436</v>
      </c>
      <c r="BF48" s="477">
        <f t="shared" si="53"/>
        <v>17.19896701388889</v>
      </c>
    </row>
    <row r="49" spans="1:58">
      <c r="A49" s="499" t="s">
        <v>1164</v>
      </c>
      <c r="B49" s="495">
        <f t="shared" si="55"/>
        <v>653029354</v>
      </c>
      <c r="C49" s="492" t="s">
        <v>8411</v>
      </c>
      <c r="D49" s="467">
        <v>1800</v>
      </c>
      <c r="F49" s="17" t="str">
        <f t="shared" si="56"/>
        <v>STAT+1800</v>
      </c>
      <c r="G49" s="493">
        <f t="shared" si="11"/>
        <v>651068545</v>
      </c>
      <c r="H49" s="493">
        <f t="shared" si="12"/>
        <v>653030555</v>
      </c>
      <c r="I49" s="17">
        <f t="shared" si="13"/>
        <v>5</v>
      </c>
      <c r="J49" s="17">
        <f t="shared" si="5"/>
        <v>4</v>
      </c>
      <c r="L49">
        <f t="shared" si="57"/>
        <v>180</v>
      </c>
      <c r="M49">
        <f t="shared" si="58"/>
        <v>360</v>
      </c>
      <c r="N49">
        <f t="shared" si="44"/>
        <v>7200</v>
      </c>
      <c r="O49">
        <f t="shared" si="59"/>
        <v>1800</v>
      </c>
      <c r="P49" s="3" t="str">
        <f t="shared" si="17"/>
        <v/>
      </c>
      <c r="Q49" t="str">
        <f t="shared" si="60"/>
        <v/>
      </c>
      <c r="R49" s="17" t="str">
        <f t="shared" si="61"/>
        <v/>
      </c>
      <c r="T49" s="466">
        <f t="shared" si="62"/>
        <v>2.282986111111111E-2</v>
      </c>
      <c r="U49" s="466">
        <f t="shared" si="62"/>
        <v>9.0581597222222227E-2</v>
      </c>
      <c r="V49">
        <f t="shared" si="63"/>
        <v>0.28444444444444444</v>
      </c>
      <c r="W49">
        <f t="shared" si="64"/>
        <v>11.044444444444444</v>
      </c>
      <c r="X49" s="500">
        <f t="shared" si="23"/>
        <v>3.5166666666666666</v>
      </c>
      <c r="Y49" s="500">
        <f t="shared" si="65"/>
        <v>3.5166666666666666</v>
      </c>
      <c r="Z49">
        <f t="shared" si="7"/>
        <v>2.5244444444444443</v>
      </c>
      <c r="AB49" s="477">
        <f t="shared" si="50"/>
        <v>11.044444444444444</v>
      </c>
      <c r="AC49" s="477">
        <f t="shared" si="50"/>
        <v>2.5244444444444443</v>
      </c>
      <c r="AD49" s="477">
        <f t="shared" si="50"/>
        <v>13.568888888888889</v>
      </c>
      <c r="AE49" s="477">
        <f t="shared" si="50"/>
        <v>3.6072482638888888</v>
      </c>
      <c r="AF49" s="477">
        <f t="shared" si="50"/>
        <v>14.651692708333332</v>
      </c>
      <c r="AG49" s="477">
        <f t="shared" si="50"/>
        <v>6.1316927083333326</v>
      </c>
      <c r="AH49" s="477">
        <f t="shared" si="50"/>
        <v>17.176137152777777</v>
      </c>
      <c r="AI49" s="477">
        <f t="shared" si="50"/>
        <v>2.282986111111111E-2</v>
      </c>
      <c r="AJ49" s="477">
        <f t="shared" si="50"/>
        <v>11.067274305555555</v>
      </c>
      <c r="AK49" s="477">
        <f t="shared" si="50"/>
        <v>2.5472743055555553</v>
      </c>
      <c r="AL49" s="477">
        <f t="shared" si="50"/>
        <v>13.59171875</v>
      </c>
      <c r="AM49" s="477">
        <f t="shared" si="50"/>
        <v>3.6300781249999998</v>
      </c>
      <c r="AN49" s="477">
        <f t="shared" si="50"/>
        <v>14.674522569444445</v>
      </c>
      <c r="AO49" s="477">
        <f t="shared" si="50"/>
        <v>6.1545225694444436</v>
      </c>
      <c r="AP49" s="477">
        <f t="shared" si="50"/>
        <v>17.19896701388889</v>
      </c>
      <c r="AQ49" s="477">
        <f t="shared" si="50"/>
        <v>0.28444444444444444</v>
      </c>
      <c r="AR49" s="477">
        <f t="shared" si="52"/>
        <v>11.328888888888889</v>
      </c>
      <c r="AS49" s="477">
        <f t="shared" si="52"/>
        <v>2.8088888888888888</v>
      </c>
      <c r="AT49" s="477">
        <f t="shared" si="52"/>
        <v>13.853333333333333</v>
      </c>
      <c r="AU49" s="477">
        <f t="shared" si="52"/>
        <v>3.8916927083333333</v>
      </c>
      <c r="AV49" s="477">
        <f t="shared" si="53"/>
        <v>14.936137152777778</v>
      </c>
      <c r="AW49" s="477">
        <f t="shared" si="53"/>
        <v>6.4161371527777771</v>
      </c>
      <c r="AX49" s="477">
        <f t="shared" si="53"/>
        <v>17.460581597222223</v>
      </c>
      <c r="AY49" s="477">
        <f t="shared" si="53"/>
        <v>0.30727430555555557</v>
      </c>
      <c r="AZ49" s="477">
        <f t="shared" si="53"/>
        <v>11.35171875</v>
      </c>
      <c r="BA49" s="477">
        <f t="shared" si="53"/>
        <v>2.8317187499999998</v>
      </c>
      <c r="BB49" s="477">
        <f t="shared" si="53"/>
        <v>13.876163194444445</v>
      </c>
      <c r="BC49" s="477">
        <f t="shared" si="53"/>
        <v>3.9145225694444443</v>
      </c>
      <c r="BD49" s="477">
        <f t="shared" si="53"/>
        <v>14.958967013888888</v>
      </c>
      <c r="BE49" s="477">
        <f t="shared" si="53"/>
        <v>6.4389670138888881</v>
      </c>
      <c r="BF49" s="477">
        <f t="shared" si="53"/>
        <v>17.483411458333332</v>
      </c>
    </row>
    <row r="50" spans="1:58">
      <c r="A50" s="499" t="s">
        <v>1533</v>
      </c>
      <c r="B50" s="495">
        <f t="shared" si="55"/>
        <v>653029945</v>
      </c>
      <c r="C50" s="492" t="s">
        <v>8412</v>
      </c>
      <c r="D50" s="467">
        <v>104</v>
      </c>
      <c r="F50" s="17" t="str">
        <f t="shared" si="56"/>
        <v>MAC+104</v>
      </c>
      <c r="G50" s="493">
        <f t="shared" si="11"/>
        <v>651068545</v>
      </c>
      <c r="H50" s="493">
        <f t="shared" si="12"/>
        <v>653030555</v>
      </c>
      <c r="I50" s="17">
        <f t="shared" si="13"/>
        <v>6</v>
      </c>
      <c r="J50" s="17">
        <f t="shared" si="5"/>
        <v>3</v>
      </c>
      <c r="L50">
        <f t="shared" si="57"/>
        <v>180</v>
      </c>
      <c r="M50">
        <f t="shared" si="58"/>
        <v>2</v>
      </c>
      <c r="N50">
        <f t="shared" si="44"/>
        <v>7200</v>
      </c>
      <c r="O50">
        <f t="shared" si="59"/>
        <v>1800</v>
      </c>
      <c r="P50" s="3" t="str">
        <f t="shared" si="17"/>
        <v>disabled</v>
      </c>
      <c r="Q50" t="str">
        <f t="shared" si="60"/>
        <v/>
      </c>
      <c r="R50" s="17" t="str">
        <f t="shared" si="61"/>
        <v/>
      </c>
      <c r="T50" s="466">
        <f t="shared" si="62"/>
        <v>4.109375</v>
      </c>
      <c r="U50" s="466">
        <f t="shared" si="62"/>
        <v>16.3046875</v>
      </c>
      <c r="V50">
        <f t="shared" si="63"/>
        <v>0.28444444444444444</v>
      </c>
      <c r="W50">
        <f t="shared" si="64"/>
        <v>11.044444444444444</v>
      </c>
      <c r="X50" s="500">
        <f t="shared" si="23"/>
        <v>0</v>
      </c>
      <c r="Y50" s="500">
        <f t="shared" si="65"/>
        <v>0</v>
      </c>
      <c r="Z50">
        <f t="shared" si="7"/>
        <v>2.5244444444444443</v>
      </c>
      <c r="AB50" s="477">
        <f t="shared" si="50"/>
        <v>11.044444444444444</v>
      </c>
      <c r="AC50" s="477">
        <f t="shared" si="50"/>
        <v>2.5244444444444443</v>
      </c>
      <c r="AD50" s="477">
        <f t="shared" si="50"/>
        <v>13.568888888888889</v>
      </c>
      <c r="AE50" s="477">
        <f t="shared" si="50"/>
        <v>16.3046875</v>
      </c>
      <c r="AF50" s="477">
        <f t="shared" si="50"/>
        <v>27.349131944444444</v>
      </c>
      <c r="AG50" s="477">
        <f t="shared" si="50"/>
        <v>18.829131944444445</v>
      </c>
      <c r="AH50" s="477">
        <f t="shared" si="50"/>
        <v>29.873576388888889</v>
      </c>
      <c r="AI50" s="477">
        <f t="shared" si="50"/>
        <v>4.109375</v>
      </c>
      <c r="AJ50" s="477">
        <f t="shared" si="50"/>
        <v>15.153819444444444</v>
      </c>
      <c r="AK50" s="477">
        <f t="shared" si="50"/>
        <v>6.6338194444444447</v>
      </c>
      <c r="AL50" s="477">
        <f t="shared" si="50"/>
        <v>17.678263888888889</v>
      </c>
      <c r="AM50" s="477">
        <f t="shared" si="50"/>
        <v>20.4140625</v>
      </c>
      <c r="AN50" s="477">
        <f t="shared" si="50"/>
        <v>31.458506944444444</v>
      </c>
      <c r="AO50" s="477">
        <f t="shared" si="50"/>
        <v>22.938506944444445</v>
      </c>
      <c r="AP50" s="477">
        <f t="shared" si="50"/>
        <v>33.982951388888893</v>
      </c>
      <c r="AQ50" s="477">
        <f t="shared" si="50"/>
        <v>0.28444444444444444</v>
      </c>
      <c r="AR50" s="477">
        <f t="shared" si="52"/>
        <v>11.328888888888889</v>
      </c>
      <c r="AS50" s="477">
        <f t="shared" si="52"/>
        <v>2.8088888888888888</v>
      </c>
      <c r="AT50" s="477">
        <f t="shared" si="52"/>
        <v>13.853333333333333</v>
      </c>
      <c r="AU50" s="477">
        <f t="shared" si="52"/>
        <v>16.589131944444443</v>
      </c>
      <c r="AV50" s="477">
        <f t="shared" si="53"/>
        <v>27.633576388888887</v>
      </c>
      <c r="AW50" s="477">
        <f t="shared" si="53"/>
        <v>19.113576388888887</v>
      </c>
      <c r="AX50" s="477">
        <f t="shared" si="53"/>
        <v>30.158020833333332</v>
      </c>
      <c r="AY50" s="477">
        <f t="shared" si="53"/>
        <v>4.3938194444444445</v>
      </c>
      <c r="AZ50" s="477">
        <f t="shared" si="53"/>
        <v>15.438263888888889</v>
      </c>
      <c r="BA50" s="477">
        <f t="shared" si="53"/>
        <v>6.9182638888888892</v>
      </c>
      <c r="BB50" s="477">
        <f t="shared" si="53"/>
        <v>17.962708333333332</v>
      </c>
      <c r="BC50" s="477">
        <f t="shared" si="53"/>
        <v>20.698506944444446</v>
      </c>
      <c r="BD50" s="477">
        <f t="shared" si="53"/>
        <v>31.742951388888891</v>
      </c>
      <c r="BE50" s="477">
        <f t="shared" si="53"/>
        <v>23.222951388888891</v>
      </c>
      <c r="BF50" s="477">
        <f t="shared" si="53"/>
        <v>34.267395833333339</v>
      </c>
    </row>
    <row r="51" spans="1:58">
      <c r="A51" s="499" t="s">
        <v>4067</v>
      </c>
      <c r="B51" s="495">
        <f t="shared" si="55"/>
        <v>653030545</v>
      </c>
      <c r="C51" s="492" t="s">
        <v>8412</v>
      </c>
      <c r="D51" s="467">
        <v>105</v>
      </c>
      <c r="F51" s="17" t="str">
        <f t="shared" si="56"/>
        <v>MAC+105</v>
      </c>
      <c r="G51" s="493">
        <f t="shared" si="11"/>
        <v>651068545</v>
      </c>
      <c r="H51" s="493">
        <f t="shared" si="12"/>
        <v>653030555</v>
      </c>
      <c r="I51" s="17">
        <f t="shared" si="13"/>
        <v>7</v>
      </c>
      <c r="J51" s="17">
        <f t="shared" si="5"/>
        <v>2</v>
      </c>
      <c r="L51">
        <f t="shared" si="57"/>
        <v>180</v>
      </c>
      <c r="M51">
        <f t="shared" si="58"/>
        <v>2</v>
      </c>
      <c r="N51">
        <f t="shared" si="44"/>
        <v>7200</v>
      </c>
      <c r="O51">
        <f t="shared" si="59"/>
        <v>1800</v>
      </c>
      <c r="P51" s="3" t="str">
        <f t="shared" si="17"/>
        <v/>
      </c>
      <c r="Q51">
        <f t="shared" si="60"/>
        <v>300</v>
      </c>
      <c r="R51" s="17" t="str">
        <f t="shared" si="61"/>
        <v/>
      </c>
      <c r="T51" s="466">
        <f t="shared" si="62"/>
        <v>4.109375</v>
      </c>
      <c r="U51" s="466">
        <f t="shared" si="62"/>
        <v>16.3046875</v>
      </c>
      <c r="V51">
        <f t="shared" si="63"/>
        <v>0.28444444444444444</v>
      </c>
      <c r="W51">
        <f t="shared" si="64"/>
        <v>11.044444444444444</v>
      </c>
      <c r="X51" s="500">
        <f t="shared" si="23"/>
        <v>633</v>
      </c>
      <c r="Y51" s="500">
        <f t="shared" si="65"/>
        <v>4.395833333333333</v>
      </c>
      <c r="Z51">
        <f t="shared" si="7"/>
        <v>2.5244444444444443</v>
      </c>
      <c r="AB51" s="477">
        <f t="shared" ref="AB51:AQ66" si="66">IF(AB$3&lt;&gt;"",$V51,0)+IF(AB$4&lt;&gt;"",$T51,0)+IF(AB$5&lt;&gt;"",$Y51+IF($R51&lt;&gt;"102",$U51,0),0)+IF(AB$6&lt;&gt;"",$Z51+IF($R51="102",$U51,0),0)+IF(AB$7&lt;&gt;"",$W51,0)</f>
        <v>11.044444444444444</v>
      </c>
      <c r="AC51" s="477">
        <f t="shared" si="66"/>
        <v>2.5244444444444443</v>
      </c>
      <c r="AD51" s="477">
        <f t="shared" si="66"/>
        <v>13.568888888888889</v>
      </c>
      <c r="AE51" s="477">
        <f t="shared" si="66"/>
        <v>20.700520833333332</v>
      </c>
      <c r="AF51" s="477">
        <f t="shared" si="66"/>
        <v>31.744965277777776</v>
      </c>
      <c r="AG51" s="477">
        <f t="shared" si="66"/>
        <v>23.224965277777777</v>
      </c>
      <c r="AH51" s="477">
        <f t="shared" si="66"/>
        <v>34.269409722222221</v>
      </c>
      <c r="AI51" s="477">
        <f t="shared" si="66"/>
        <v>4.109375</v>
      </c>
      <c r="AJ51" s="477">
        <f t="shared" si="66"/>
        <v>15.153819444444444</v>
      </c>
      <c r="AK51" s="477">
        <f t="shared" si="66"/>
        <v>6.6338194444444447</v>
      </c>
      <c r="AL51" s="477">
        <f t="shared" si="66"/>
        <v>17.678263888888889</v>
      </c>
      <c r="AM51" s="477">
        <f t="shared" si="66"/>
        <v>24.809895833333332</v>
      </c>
      <c r="AN51" s="477">
        <f t="shared" si="66"/>
        <v>35.85434027777778</v>
      </c>
      <c r="AO51" s="477">
        <f t="shared" si="66"/>
        <v>27.334340277777777</v>
      </c>
      <c r="AP51" s="477">
        <f t="shared" si="66"/>
        <v>38.378784722222221</v>
      </c>
      <c r="AQ51" s="477">
        <f t="shared" si="66"/>
        <v>0.28444444444444444</v>
      </c>
      <c r="AR51" s="477">
        <f t="shared" si="52"/>
        <v>11.328888888888889</v>
      </c>
      <c r="AS51" s="477">
        <f t="shared" si="52"/>
        <v>2.8088888888888888</v>
      </c>
      <c r="AT51" s="477">
        <f t="shared" si="52"/>
        <v>13.853333333333333</v>
      </c>
      <c r="AU51" s="477">
        <f t="shared" si="52"/>
        <v>20.984965277777775</v>
      </c>
      <c r="AV51" s="477">
        <f t="shared" si="53"/>
        <v>32.029409722222219</v>
      </c>
      <c r="AW51" s="477">
        <f t="shared" si="53"/>
        <v>23.50940972222222</v>
      </c>
      <c r="AX51" s="477">
        <f t="shared" si="53"/>
        <v>34.553854166666667</v>
      </c>
      <c r="AY51" s="477">
        <f t="shared" si="53"/>
        <v>4.3938194444444445</v>
      </c>
      <c r="AZ51" s="477">
        <f t="shared" si="53"/>
        <v>15.438263888888889</v>
      </c>
      <c r="BA51" s="477">
        <f t="shared" si="53"/>
        <v>6.9182638888888892</v>
      </c>
      <c r="BB51" s="477">
        <f t="shared" si="53"/>
        <v>17.962708333333332</v>
      </c>
      <c r="BC51" s="477">
        <f t="shared" si="53"/>
        <v>25.094340277777775</v>
      </c>
      <c r="BD51" s="477">
        <f t="shared" si="53"/>
        <v>36.138784722222219</v>
      </c>
      <c r="BE51" s="477">
        <f t="shared" si="53"/>
        <v>27.61878472222222</v>
      </c>
      <c r="BF51" s="477">
        <f t="shared" si="53"/>
        <v>38.663229166666667</v>
      </c>
    </row>
    <row r="52" spans="1:58">
      <c r="A52" s="499" t="s">
        <v>2584</v>
      </c>
      <c r="B52" s="495">
        <f t="shared" si="55"/>
        <v>653030550</v>
      </c>
      <c r="C52" s="492" t="s">
        <v>8412</v>
      </c>
      <c r="D52" s="467">
        <v>102</v>
      </c>
      <c r="F52" s="17" t="str">
        <f t="shared" si="56"/>
        <v>MAC+102</v>
      </c>
      <c r="G52" s="493">
        <f t="shared" si="11"/>
        <v>651068545</v>
      </c>
      <c r="H52" s="493">
        <f t="shared" si="12"/>
        <v>653030555</v>
      </c>
      <c r="I52" s="17">
        <f t="shared" si="13"/>
        <v>8</v>
      </c>
      <c r="J52" s="17">
        <f t="shared" si="5"/>
        <v>1</v>
      </c>
      <c r="L52">
        <f t="shared" si="57"/>
        <v>180</v>
      </c>
      <c r="M52">
        <f t="shared" si="58"/>
        <v>2</v>
      </c>
      <c r="N52">
        <f t="shared" si="44"/>
        <v>7200</v>
      </c>
      <c r="O52">
        <f t="shared" si="59"/>
        <v>1800</v>
      </c>
      <c r="P52" s="3" t="str">
        <f t="shared" si="17"/>
        <v/>
      </c>
      <c r="Q52">
        <f t="shared" si="60"/>
        <v>300</v>
      </c>
      <c r="R52" s="17" t="str">
        <f t="shared" si="61"/>
        <v>102</v>
      </c>
      <c r="T52" s="466">
        <f t="shared" si="62"/>
        <v>4.109375</v>
      </c>
      <c r="U52" s="466">
        <f t="shared" si="62"/>
        <v>16.3046875</v>
      </c>
      <c r="V52">
        <f t="shared" si="63"/>
        <v>0.28444444444444444</v>
      </c>
      <c r="W52">
        <f t="shared" si="64"/>
        <v>11.044444444444444</v>
      </c>
      <c r="X52" s="500">
        <f t="shared" si="23"/>
        <v>633</v>
      </c>
      <c r="Y52" s="500">
        <f t="shared" si="65"/>
        <v>4.395833333333333</v>
      </c>
      <c r="Z52">
        <f t="shared" si="7"/>
        <v>2.5244444444444443</v>
      </c>
      <c r="AB52" s="477">
        <f t="shared" si="66"/>
        <v>11.044444444444444</v>
      </c>
      <c r="AC52" s="477">
        <f t="shared" si="66"/>
        <v>18.829131944444445</v>
      </c>
      <c r="AD52" s="477">
        <f t="shared" si="66"/>
        <v>29.873576388888889</v>
      </c>
      <c r="AE52" s="477">
        <f t="shared" si="66"/>
        <v>4.395833333333333</v>
      </c>
      <c r="AF52" s="477">
        <f t="shared" si="66"/>
        <v>15.440277777777776</v>
      </c>
      <c r="AG52" s="477">
        <f t="shared" si="66"/>
        <v>23.224965277777777</v>
      </c>
      <c r="AH52" s="477">
        <f t="shared" si="66"/>
        <v>34.269409722222221</v>
      </c>
      <c r="AI52" s="477">
        <f t="shared" si="66"/>
        <v>4.109375</v>
      </c>
      <c r="AJ52" s="477">
        <f t="shared" si="66"/>
        <v>15.153819444444444</v>
      </c>
      <c r="AK52" s="477">
        <f t="shared" si="66"/>
        <v>22.938506944444445</v>
      </c>
      <c r="AL52" s="477">
        <f t="shared" si="66"/>
        <v>33.982951388888893</v>
      </c>
      <c r="AM52" s="477">
        <f t="shared" si="66"/>
        <v>8.5052083333333321</v>
      </c>
      <c r="AN52" s="477">
        <f t="shared" si="66"/>
        <v>19.549652777777776</v>
      </c>
      <c r="AO52" s="477">
        <f t="shared" si="66"/>
        <v>27.334340277777777</v>
      </c>
      <c r="AP52" s="477">
        <f t="shared" si="66"/>
        <v>38.378784722222221</v>
      </c>
      <c r="AQ52" s="477">
        <f t="shared" si="66"/>
        <v>0.28444444444444444</v>
      </c>
      <c r="AR52" s="477">
        <f t="shared" si="52"/>
        <v>11.328888888888889</v>
      </c>
      <c r="AS52" s="477">
        <f t="shared" si="52"/>
        <v>19.113576388888887</v>
      </c>
      <c r="AT52" s="477">
        <f t="shared" si="52"/>
        <v>30.158020833333332</v>
      </c>
      <c r="AU52" s="477">
        <f t="shared" si="52"/>
        <v>4.6802777777777775</v>
      </c>
      <c r="AV52" s="477">
        <f t="shared" si="53"/>
        <v>15.724722222222223</v>
      </c>
      <c r="AW52" s="477">
        <f t="shared" si="53"/>
        <v>23.509409722222223</v>
      </c>
      <c r="AX52" s="477">
        <f t="shared" si="53"/>
        <v>34.553854166666667</v>
      </c>
      <c r="AY52" s="477">
        <f t="shared" si="53"/>
        <v>4.3938194444444445</v>
      </c>
      <c r="AZ52" s="477">
        <f t="shared" si="53"/>
        <v>15.438263888888889</v>
      </c>
      <c r="BA52" s="477">
        <f t="shared" si="53"/>
        <v>23.222951388888887</v>
      </c>
      <c r="BB52" s="477">
        <f t="shared" si="53"/>
        <v>34.267395833333332</v>
      </c>
      <c r="BC52" s="477">
        <f t="shared" si="53"/>
        <v>8.7896527777777784</v>
      </c>
      <c r="BD52" s="477">
        <f t="shared" si="53"/>
        <v>19.834097222222223</v>
      </c>
      <c r="BE52" s="477">
        <f t="shared" si="53"/>
        <v>27.618784722222223</v>
      </c>
      <c r="BF52" s="477">
        <f t="shared" si="53"/>
        <v>38.663229166666667</v>
      </c>
    </row>
    <row r="53" spans="1:58">
      <c r="A53" s="498" t="s">
        <v>866</v>
      </c>
      <c r="B53" s="495">
        <f t="shared" si="55"/>
        <v>653030555</v>
      </c>
      <c r="C53" s="492" t="s">
        <v>8418</v>
      </c>
      <c r="D53" s="467"/>
      <c r="F53" s="17" t="str">
        <f>_xlfn.TEXTJOIN("+",TRUE,$C53:$D53)</f>
        <v>OFF</v>
      </c>
      <c r="G53" s="493">
        <f t="shared" si="11"/>
        <v>651068545</v>
      </c>
      <c r="H53" s="493">
        <f t="shared" si="12"/>
        <v>653030555</v>
      </c>
      <c r="I53" s="17">
        <f t="shared" si="13"/>
        <v>9</v>
      </c>
      <c r="J53" s="17">
        <f>IF($C53="OFF",0,J54+1)</f>
        <v>0</v>
      </c>
      <c r="L53">
        <f>IF($C53="ON","",IF($C53="N1",$D53,L52))</f>
        <v>180</v>
      </c>
      <c r="M53">
        <f>IF($C53="ON","",IF($C53="N2",$D53,IF($F53="MAC+103",3,IF($F53="MAC+104",2,M52))))</f>
        <v>2</v>
      </c>
      <c r="N53">
        <f t="shared" si="44"/>
        <v>7200</v>
      </c>
      <c r="O53">
        <f>IF($C53="ON","",IF($C53="STAT",$D53,O52))</f>
        <v>1800</v>
      </c>
      <c r="P53" s="3" t="str">
        <f t="shared" si="17"/>
        <v/>
      </c>
      <c r="Q53">
        <f>IF(F53="ON","",IF($F53="MAC+105",300,IF($F53="MAC+106",600,IF($F53="MAC+107",840,IF($F53="MAC+108",1200,IF($F53="MAC+109",1800,IF($F53="MAC+110",43200,Q52)))))))</f>
        <v>300</v>
      </c>
      <c r="R53" s="17" t="str">
        <f>IF($C53="ON","",IF($F53="MAC+102","102",R52))</f>
        <v>102</v>
      </c>
      <c r="T53" s="466">
        <f>IF($M53="",0,T$1/64/$M53)</f>
        <v>4.109375</v>
      </c>
      <c r="U53" s="466">
        <f>IF($M53="",0,U$1/64/$M53)</f>
        <v>16.3046875</v>
      </c>
      <c r="V53">
        <f>IF($O53="",0,V$1/$O53)</f>
        <v>0.28444444444444444</v>
      </c>
      <c r="W53">
        <f>IF($L53="",0,W$1/$L53)</f>
        <v>11.044444444444444</v>
      </c>
      <c r="X53" s="500">
        <f t="shared" si="23"/>
        <v>633</v>
      </c>
      <c r="Y53" s="500">
        <f>IF($M53="",0,IF($Q53="",1,Q53/43200)*X53)</f>
        <v>4.395833333333333</v>
      </c>
      <c r="Z53">
        <f t="shared" si="7"/>
        <v>2.5244444444444443</v>
      </c>
      <c r="AB53" s="477">
        <f t="shared" si="66"/>
        <v>11.044444444444444</v>
      </c>
      <c r="AC53" s="477">
        <f t="shared" si="66"/>
        <v>18.829131944444445</v>
      </c>
      <c r="AD53" s="477">
        <f t="shared" si="66"/>
        <v>29.873576388888889</v>
      </c>
      <c r="AE53" s="477">
        <f t="shared" si="66"/>
        <v>4.395833333333333</v>
      </c>
      <c r="AF53" s="477">
        <f t="shared" si="66"/>
        <v>15.440277777777776</v>
      </c>
      <c r="AG53" s="477">
        <f t="shared" si="66"/>
        <v>23.224965277777777</v>
      </c>
      <c r="AH53" s="477">
        <f t="shared" si="66"/>
        <v>34.269409722222221</v>
      </c>
      <c r="AI53" s="477">
        <f t="shared" si="66"/>
        <v>4.109375</v>
      </c>
      <c r="AJ53" s="477">
        <f t="shared" si="66"/>
        <v>15.153819444444444</v>
      </c>
      <c r="AK53" s="477">
        <f t="shared" si="66"/>
        <v>22.938506944444445</v>
      </c>
      <c r="AL53" s="477">
        <f t="shared" si="66"/>
        <v>33.982951388888893</v>
      </c>
      <c r="AM53" s="477">
        <f t="shared" si="66"/>
        <v>8.5052083333333321</v>
      </c>
      <c r="AN53" s="477">
        <f t="shared" si="66"/>
        <v>19.549652777777776</v>
      </c>
      <c r="AO53" s="477">
        <f t="shared" si="66"/>
        <v>27.334340277777777</v>
      </c>
      <c r="AP53" s="477">
        <f t="shared" si="66"/>
        <v>38.378784722222221</v>
      </c>
      <c r="AQ53" s="477">
        <f t="shared" si="66"/>
        <v>0.28444444444444444</v>
      </c>
      <c r="AR53" s="477">
        <f t="shared" si="52"/>
        <v>11.328888888888889</v>
      </c>
      <c r="AS53" s="477">
        <f t="shared" si="52"/>
        <v>19.113576388888887</v>
      </c>
      <c r="AT53" s="477">
        <f t="shared" si="52"/>
        <v>30.158020833333332</v>
      </c>
      <c r="AU53" s="477">
        <f t="shared" si="52"/>
        <v>4.6802777777777775</v>
      </c>
      <c r="AV53" s="477">
        <f t="shared" si="53"/>
        <v>15.724722222222223</v>
      </c>
      <c r="AW53" s="477">
        <f t="shared" si="53"/>
        <v>23.509409722222223</v>
      </c>
      <c r="AX53" s="477">
        <f t="shared" si="53"/>
        <v>34.553854166666667</v>
      </c>
      <c r="AY53" s="477">
        <f t="shared" si="53"/>
        <v>4.3938194444444445</v>
      </c>
      <c r="AZ53" s="477">
        <f t="shared" si="53"/>
        <v>15.438263888888889</v>
      </c>
      <c r="BA53" s="477">
        <f t="shared" si="53"/>
        <v>23.222951388888887</v>
      </c>
      <c r="BB53" s="477">
        <f t="shared" si="53"/>
        <v>34.267395833333332</v>
      </c>
      <c r="BC53" s="477">
        <f t="shared" si="53"/>
        <v>8.7896527777777784</v>
      </c>
      <c r="BD53" s="477">
        <f t="shared" si="53"/>
        <v>19.834097222222223</v>
      </c>
      <c r="BE53" s="477">
        <f t="shared" si="53"/>
        <v>27.618784722222223</v>
      </c>
      <c r="BF53" s="477">
        <f t="shared" si="53"/>
        <v>38.663229166666667</v>
      </c>
    </row>
    <row r="54" spans="1:58">
      <c r="A54" s="498" t="s">
        <v>866</v>
      </c>
      <c r="B54" s="495">
        <f>B44+86400+H44-G44</f>
        <v>653116955</v>
      </c>
      <c r="C54" s="492" t="s">
        <v>1148</v>
      </c>
      <c r="D54" s="467"/>
      <c r="F54" s="17" t="str">
        <f>_xlfn.TEXTJOIN("+",TRUE,$C54:$D54)</f>
        <v>ON</v>
      </c>
      <c r="G54" s="493">
        <f>IF($C54="ON",$B54,G53)</f>
        <v>653116955</v>
      </c>
      <c r="H54" s="493">
        <f>IF($C54="OFF",$B54,H55)</f>
        <v>655078965</v>
      </c>
      <c r="I54" s="17">
        <f>IF($C54="ON",0,I53+1)</f>
        <v>0</v>
      </c>
      <c r="J54" s="17">
        <f t="shared" si="5"/>
        <v>9</v>
      </c>
      <c r="L54" t="str">
        <f>IF($C54="ON","",IF($C54="N1",$D54,L53))</f>
        <v/>
      </c>
      <c r="M54" t="str">
        <f>IF($C54="ON","",IF($C54="N2",$D54,IF($F54="MAC+103",3,IF($F54="MAC+104",2,M53))))</f>
        <v/>
      </c>
      <c r="N54" t="str">
        <f t="shared" si="44"/>
        <v/>
      </c>
      <c r="O54" t="str">
        <f>IF($C54="ON","",IF($C54="STAT",$D54,O53))</f>
        <v/>
      </c>
      <c r="P54" s="3" t="str">
        <f>IF($C54="ON","",IF(AND($C54="MAC",105&lt;=$D54,$D54&lt;=110),"",IF(AND($C54="MAC",103&lt;=$D54,$D54&lt;=104),"disabled",P53)))</f>
        <v/>
      </c>
      <c r="Q54" t="str">
        <f>IF(F54="ON","",IF($F54="MAC+105",300,IF($F54="MAC+106",600,IF($F54="MAC+107",840,IF($F54="MAC+108",1200,IF($F54="MAC+109",1800,IF($F54="MAC+110",43200,Q53)))))))</f>
        <v/>
      </c>
      <c r="R54" s="17" t="str">
        <f>IF($C54="ON","",IF($F54="MAC+102","102",R53))</f>
        <v/>
      </c>
      <c r="T54" s="466">
        <f>IF($M54="",0,T$1/64/$M54)</f>
        <v>0</v>
      </c>
      <c r="U54" s="466">
        <f>IF($M54="",0,U$1/64/$M54)</f>
        <v>0</v>
      </c>
      <c r="V54">
        <f>IF($O54="",0,V$1/$O54)</f>
        <v>0</v>
      </c>
      <c r="W54">
        <f>IF($L54="",0,W$1/$L54)</f>
        <v>0</v>
      </c>
      <c r="X54" s="500">
        <f>IF(OR($M54="",$P54&lt;&gt;""),0,X$1/$M54)</f>
        <v>0</v>
      </c>
      <c r="Y54" s="500">
        <f>IF($M54="",0,IF($Q54="",1,Q54/43200)*X54)</f>
        <v>0</v>
      </c>
      <c r="Z54">
        <f t="shared" si="7"/>
        <v>0</v>
      </c>
      <c r="AB54" s="477">
        <f>IF(AB$3&lt;&gt;"",$V54,0)+IF(AB$4&lt;&gt;"",$T54,0)+IF(AB$5&lt;&gt;"",$Y54+IF($R54&lt;&gt;"102",$U54,0),0)+IF(AB$6&lt;&gt;"",$Z54+IF($R54="102",$U54,0),0)+IF(AB$7&lt;&gt;"",$W54,0)</f>
        <v>0</v>
      </c>
      <c r="AC54" s="477">
        <f t="shared" si="66"/>
        <v>0</v>
      </c>
      <c r="AD54" s="477">
        <f t="shared" si="66"/>
        <v>0</v>
      </c>
      <c r="AE54" s="477">
        <f t="shared" si="66"/>
        <v>0</v>
      </c>
      <c r="AF54" s="477">
        <f t="shared" si="66"/>
        <v>0</v>
      </c>
      <c r="AG54" s="477">
        <f t="shared" si="66"/>
        <v>0</v>
      </c>
      <c r="AH54" s="477">
        <f t="shared" si="66"/>
        <v>0</v>
      </c>
      <c r="AI54" s="477">
        <f t="shared" si="66"/>
        <v>0</v>
      </c>
      <c r="AJ54" s="477">
        <f t="shared" si="66"/>
        <v>0</v>
      </c>
      <c r="AK54" s="477">
        <f t="shared" si="66"/>
        <v>0</v>
      </c>
      <c r="AL54" s="477">
        <f t="shared" si="66"/>
        <v>0</v>
      </c>
      <c r="AM54" s="477">
        <f t="shared" si="66"/>
        <v>0</v>
      </c>
      <c r="AN54" s="477">
        <f t="shared" si="66"/>
        <v>0</v>
      </c>
      <c r="AO54" s="477">
        <f t="shared" si="66"/>
        <v>0</v>
      </c>
      <c r="AP54" s="477">
        <f t="shared" si="66"/>
        <v>0</v>
      </c>
      <c r="AQ54" s="477">
        <f t="shared" si="66"/>
        <v>0</v>
      </c>
      <c r="AR54" s="477">
        <f t="shared" si="52"/>
        <v>0</v>
      </c>
      <c r="AS54" s="477">
        <f t="shared" si="52"/>
        <v>0</v>
      </c>
      <c r="AT54" s="477">
        <f t="shared" si="52"/>
        <v>0</v>
      </c>
      <c r="AU54" s="477">
        <f t="shared" si="52"/>
        <v>0</v>
      </c>
      <c r="AV54" s="477">
        <f t="shared" si="53"/>
        <v>0</v>
      </c>
      <c r="AW54" s="477">
        <f t="shared" si="53"/>
        <v>0</v>
      </c>
      <c r="AX54" s="477">
        <f t="shared" si="53"/>
        <v>0</v>
      </c>
      <c r="AY54" s="477">
        <f t="shared" si="53"/>
        <v>0</v>
      </c>
      <c r="AZ54" s="477">
        <f t="shared" si="53"/>
        <v>0</v>
      </c>
      <c r="BA54" s="477">
        <f t="shared" si="53"/>
        <v>0</v>
      </c>
      <c r="BB54" s="477">
        <f t="shared" si="53"/>
        <v>0</v>
      </c>
      <c r="BC54" s="477">
        <f t="shared" si="53"/>
        <v>0</v>
      </c>
      <c r="BD54" s="477">
        <f t="shared" si="53"/>
        <v>0</v>
      </c>
      <c r="BE54" s="477">
        <f t="shared" si="53"/>
        <v>0</v>
      </c>
      <c r="BF54" s="477">
        <f t="shared" si="53"/>
        <v>0</v>
      </c>
    </row>
    <row r="55" spans="1:58">
      <c r="A55" s="499" t="s">
        <v>1288</v>
      </c>
      <c r="B55" s="495">
        <f t="shared" ref="B55:B63" si="67">B45+86400+H45-G45</f>
        <v>655077155</v>
      </c>
      <c r="C55" s="492" t="s">
        <v>8412</v>
      </c>
      <c r="D55" s="467">
        <v>111</v>
      </c>
      <c r="F55" s="17" t="str">
        <f t="shared" si="56"/>
        <v>MAC+111</v>
      </c>
      <c r="G55" s="493">
        <f t="shared" si="11"/>
        <v>653116955</v>
      </c>
      <c r="H55" s="493">
        <f t="shared" si="12"/>
        <v>655078965</v>
      </c>
      <c r="I55" s="17">
        <f t="shared" si="13"/>
        <v>1</v>
      </c>
      <c r="J55" s="17">
        <f t="shared" si="5"/>
        <v>8</v>
      </c>
      <c r="L55" t="str">
        <f t="shared" ref="L55:L62" si="68">IF($C55="ON","",IF($C55="N1",$D55,L54))</f>
        <v/>
      </c>
      <c r="M55" t="str">
        <f t="shared" ref="M55:M62" si="69">IF($C55="ON","",IF($C55="N2",$D55,IF($F55="MAC+103",3,IF($F55="MAC+104",2,M54))))</f>
        <v/>
      </c>
      <c r="N55" t="str">
        <f t="shared" si="44"/>
        <v/>
      </c>
      <c r="O55" t="str">
        <f t="shared" ref="O55:O62" si="70">IF($C55="ON","",IF($C55="STAT",$D55,O54))</f>
        <v/>
      </c>
      <c r="P55" s="3" t="str">
        <f t="shared" si="17"/>
        <v/>
      </c>
      <c r="Q55" t="str">
        <f t="shared" ref="Q55:Q62" si="71">IF(F55="ON","",IF($F55="MAC+105",300,IF($F55="MAC+106",600,IF($F55="MAC+107",840,IF($F55="MAC+108",1200,IF($F55="MAC+109",1800,IF($F55="MAC+110",43200,Q54)))))))</f>
        <v/>
      </c>
      <c r="R55" s="17" t="str">
        <f t="shared" ref="R55:R62" si="72">IF($C55="ON","",IF($F55="MAC+102","102",R54))</f>
        <v/>
      </c>
      <c r="T55" s="466">
        <f t="shared" si="62"/>
        <v>0</v>
      </c>
      <c r="U55" s="466">
        <f t="shared" si="62"/>
        <v>0</v>
      </c>
      <c r="V55">
        <f t="shared" si="63"/>
        <v>0</v>
      </c>
      <c r="W55">
        <f t="shared" si="64"/>
        <v>0</v>
      </c>
      <c r="X55" s="500">
        <f t="shared" si="23"/>
        <v>0</v>
      </c>
      <c r="Y55" s="500">
        <f t="shared" ref="Y55:Y62" si="73">IF($M55="",0,IF($Q55="",1,Q55/43200)*X55)</f>
        <v>0</v>
      </c>
      <c r="Z55">
        <f t="shared" si="7"/>
        <v>0</v>
      </c>
      <c r="AB55" s="477">
        <f t="shared" si="66"/>
        <v>0</v>
      </c>
      <c r="AC55" s="477">
        <f t="shared" si="66"/>
        <v>0</v>
      </c>
      <c r="AD55" s="477">
        <f t="shared" si="66"/>
        <v>0</v>
      </c>
      <c r="AE55" s="477">
        <f t="shared" si="66"/>
        <v>0</v>
      </c>
      <c r="AF55" s="477">
        <f t="shared" si="66"/>
        <v>0</v>
      </c>
      <c r="AG55" s="477">
        <f t="shared" si="66"/>
        <v>0</v>
      </c>
      <c r="AH55" s="477">
        <f t="shared" si="66"/>
        <v>0</v>
      </c>
      <c r="AI55" s="477">
        <f t="shared" si="66"/>
        <v>0</v>
      </c>
      <c r="AJ55" s="477">
        <f t="shared" si="66"/>
        <v>0</v>
      </c>
      <c r="AK55" s="477">
        <f t="shared" si="66"/>
        <v>0</v>
      </c>
      <c r="AL55" s="477">
        <f t="shared" si="66"/>
        <v>0</v>
      </c>
      <c r="AM55" s="477">
        <f t="shared" si="66"/>
        <v>0</v>
      </c>
      <c r="AN55" s="477">
        <f t="shared" si="66"/>
        <v>0</v>
      </c>
      <c r="AO55" s="477">
        <f t="shared" si="66"/>
        <v>0</v>
      </c>
      <c r="AP55" s="477">
        <f t="shared" si="66"/>
        <v>0</v>
      </c>
      <c r="AQ55" s="477">
        <f t="shared" si="66"/>
        <v>0</v>
      </c>
      <c r="AR55" s="477">
        <f t="shared" ref="AR55:BF70" si="74">IF(AR$3&lt;&gt;"",$V55,0)+IF(AR$4&lt;&gt;"",$T55,0)+IF(AR$5&lt;&gt;"",$Y55+IF($R55&lt;&gt;"102",$U55,0),0)+IF(AR$6&lt;&gt;"",$Z55+IF($R55="102",$U55,0),0)+IF(AR$7&lt;&gt;"",$W55,0)</f>
        <v>0</v>
      </c>
      <c r="AS55" s="477">
        <f t="shared" si="74"/>
        <v>0</v>
      </c>
      <c r="AT55" s="477">
        <f t="shared" si="74"/>
        <v>0</v>
      </c>
      <c r="AU55" s="477">
        <f t="shared" si="74"/>
        <v>0</v>
      </c>
      <c r="AV55" s="477">
        <f t="shared" si="74"/>
        <v>0</v>
      </c>
      <c r="AW55" s="477">
        <f t="shared" si="74"/>
        <v>0</v>
      </c>
      <c r="AX55" s="477">
        <f t="shared" si="74"/>
        <v>0</v>
      </c>
      <c r="AY55" s="477">
        <f t="shared" si="74"/>
        <v>0</v>
      </c>
      <c r="AZ55" s="477">
        <f t="shared" si="74"/>
        <v>0</v>
      </c>
      <c r="BA55" s="477">
        <f t="shared" si="74"/>
        <v>0</v>
      </c>
      <c r="BB55" s="477">
        <f t="shared" si="74"/>
        <v>0</v>
      </c>
      <c r="BC55" s="477">
        <f t="shared" si="74"/>
        <v>0</v>
      </c>
      <c r="BD55" s="477">
        <f t="shared" si="74"/>
        <v>0</v>
      </c>
      <c r="BE55" s="477">
        <f t="shared" si="74"/>
        <v>0</v>
      </c>
      <c r="BF55" s="477">
        <f t="shared" si="74"/>
        <v>0</v>
      </c>
    </row>
    <row r="56" spans="1:58">
      <c r="A56" s="499" t="s">
        <v>1517</v>
      </c>
      <c r="B56" s="495">
        <f t="shared" si="67"/>
        <v>655077755</v>
      </c>
      <c r="C56" s="492" t="s">
        <v>776</v>
      </c>
      <c r="D56" s="467">
        <v>360</v>
      </c>
      <c r="F56" s="17" t="str">
        <f t="shared" si="56"/>
        <v>N2+360</v>
      </c>
      <c r="G56" s="493">
        <f t="shared" si="11"/>
        <v>653116955</v>
      </c>
      <c r="H56" s="493">
        <f t="shared" si="12"/>
        <v>655078965</v>
      </c>
      <c r="I56" s="17">
        <f t="shared" si="13"/>
        <v>2</v>
      </c>
      <c r="J56" s="17">
        <f t="shared" si="5"/>
        <v>7</v>
      </c>
      <c r="L56" t="str">
        <f t="shared" si="68"/>
        <v/>
      </c>
      <c r="M56">
        <f t="shared" si="69"/>
        <v>360</v>
      </c>
      <c r="N56" t="str">
        <f t="shared" si="44"/>
        <v/>
      </c>
      <c r="O56" t="str">
        <f t="shared" si="70"/>
        <v/>
      </c>
      <c r="P56" s="3" t="str">
        <f t="shared" si="17"/>
        <v/>
      </c>
      <c r="Q56" t="str">
        <f t="shared" si="71"/>
        <v/>
      </c>
      <c r="R56" s="17" t="str">
        <f t="shared" si="72"/>
        <v/>
      </c>
      <c r="T56" s="466">
        <f t="shared" si="62"/>
        <v>2.282986111111111E-2</v>
      </c>
      <c r="U56" s="466">
        <f t="shared" si="62"/>
        <v>9.0581597222222227E-2</v>
      </c>
      <c r="V56">
        <f t="shared" si="63"/>
        <v>0</v>
      </c>
      <c r="W56">
        <f t="shared" si="64"/>
        <v>0</v>
      </c>
      <c r="X56" s="500">
        <f t="shared" si="23"/>
        <v>3.5166666666666666</v>
      </c>
      <c r="Y56" s="500">
        <f t="shared" si="73"/>
        <v>3.5166666666666666</v>
      </c>
      <c r="Z56">
        <f t="shared" si="7"/>
        <v>0</v>
      </c>
      <c r="AB56" s="477">
        <f t="shared" si="66"/>
        <v>0</v>
      </c>
      <c r="AC56" s="477">
        <f t="shared" si="66"/>
        <v>0</v>
      </c>
      <c r="AD56" s="477">
        <f t="shared" si="66"/>
        <v>0</v>
      </c>
      <c r="AE56" s="477">
        <f t="shared" si="66"/>
        <v>3.6072482638888888</v>
      </c>
      <c r="AF56" s="477">
        <f t="shared" si="66"/>
        <v>3.6072482638888888</v>
      </c>
      <c r="AG56" s="477">
        <f t="shared" si="66"/>
        <v>3.6072482638888888</v>
      </c>
      <c r="AH56" s="477">
        <f t="shared" si="66"/>
        <v>3.6072482638888888</v>
      </c>
      <c r="AI56" s="477">
        <f t="shared" si="66"/>
        <v>2.282986111111111E-2</v>
      </c>
      <c r="AJ56" s="477">
        <f t="shared" si="66"/>
        <v>2.282986111111111E-2</v>
      </c>
      <c r="AK56" s="477">
        <f t="shared" si="66"/>
        <v>2.282986111111111E-2</v>
      </c>
      <c r="AL56" s="477">
        <f t="shared" si="66"/>
        <v>2.282986111111111E-2</v>
      </c>
      <c r="AM56" s="477">
        <f t="shared" si="66"/>
        <v>3.6300781249999998</v>
      </c>
      <c r="AN56" s="477">
        <f t="shared" si="66"/>
        <v>3.6300781249999998</v>
      </c>
      <c r="AO56" s="477">
        <f t="shared" si="66"/>
        <v>3.6300781249999998</v>
      </c>
      <c r="AP56" s="477">
        <f t="shared" si="66"/>
        <v>3.6300781249999998</v>
      </c>
      <c r="AQ56" s="477">
        <f t="shared" si="66"/>
        <v>0</v>
      </c>
      <c r="AR56" s="477">
        <f t="shared" si="74"/>
        <v>0</v>
      </c>
      <c r="AS56" s="477">
        <f t="shared" si="74"/>
        <v>0</v>
      </c>
      <c r="AT56" s="477">
        <f t="shared" si="74"/>
        <v>0</v>
      </c>
      <c r="AU56" s="477">
        <f t="shared" si="74"/>
        <v>3.6072482638888888</v>
      </c>
      <c r="AV56" s="477">
        <f t="shared" si="74"/>
        <v>3.6072482638888888</v>
      </c>
      <c r="AW56" s="477">
        <f t="shared" si="74"/>
        <v>3.6072482638888888</v>
      </c>
      <c r="AX56" s="477">
        <f t="shared" si="74"/>
        <v>3.6072482638888888</v>
      </c>
      <c r="AY56" s="477">
        <f t="shared" si="74"/>
        <v>2.282986111111111E-2</v>
      </c>
      <c r="AZ56" s="477">
        <f t="shared" si="74"/>
        <v>2.282986111111111E-2</v>
      </c>
      <c r="BA56" s="477">
        <f t="shared" si="74"/>
        <v>2.282986111111111E-2</v>
      </c>
      <c r="BB56" s="477">
        <f t="shared" si="74"/>
        <v>2.282986111111111E-2</v>
      </c>
      <c r="BC56" s="477">
        <f t="shared" si="74"/>
        <v>3.6300781249999998</v>
      </c>
      <c r="BD56" s="477">
        <f t="shared" si="74"/>
        <v>3.6300781249999998</v>
      </c>
      <c r="BE56" s="477">
        <f t="shared" si="74"/>
        <v>3.6300781249999998</v>
      </c>
      <c r="BF56" s="477">
        <f t="shared" si="74"/>
        <v>3.6300781249999998</v>
      </c>
    </row>
    <row r="57" spans="1:58">
      <c r="A57" s="499" t="s">
        <v>1523</v>
      </c>
      <c r="B57" s="495">
        <f t="shared" si="67"/>
        <v>655077758</v>
      </c>
      <c r="C57" s="492" t="s">
        <v>12</v>
      </c>
      <c r="D57" s="467">
        <v>360</v>
      </c>
      <c r="F57" s="17" t="str">
        <f t="shared" si="56"/>
        <v>N1+360</v>
      </c>
      <c r="G57" s="493">
        <f t="shared" si="11"/>
        <v>653116955</v>
      </c>
      <c r="H57" s="493">
        <f t="shared" si="12"/>
        <v>655078965</v>
      </c>
      <c r="I57" s="17">
        <f t="shared" si="13"/>
        <v>3</v>
      </c>
      <c r="J57" s="17">
        <f t="shared" si="5"/>
        <v>6</v>
      </c>
      <c r="L57">
        <v>180</v>
      </c>
      <c r="M57">
        <f t="shared" si="69"/>
        <v>360</v>
      </c>
      <c r="N57" t="str">
        <f>IF($C57="ON","",IF($C57="N3",$D57,N56))</f>
        <v/>
      </c>
      <c r="O57" t="str">
        <f t="shared" si="70"/>
        <v/>
      </c>
      <c r="P57" s="3" t="str">
        <f t="shared" si="17"/>
        <v/>
      </c>
      <c r="Q57" t="str">
        <f t="shared" si="71"/>
        <v/>
      </c>
      <c r="R57" s="17" t="str">
        <f t="shared" si="72"/>
        <v/>
      </c>
      <c r="T57" s="466">
        <f t="shared" si="62"/>
        <v>2.282986111111111E-2</v>
      </c>
      <c r="U57" s="466">
        <f t="shared" si="62"/>
        <v>9.0581597222222227E-2</v>
      </c>
      <c r="V57">
        <f t="shared" si="63"/>
        <v>0</v>
      </c>
      <c r="W57">
        <f t="shared" si="64"/>
        <v>11.044444444444444</v>
      </c>
      <c r="X57" s="500">
        <f t="shared" si="23"/>
        <v>3.5166666666666666</v>
      </c>
      <c r="Y57" s="500">
        <f t="shared" si="73"/>
        <v>3.5166666666666666</v>
      </c>
      <c r="Z57">
        <f t="shared" si="7"/>
        <v>0</v>
      </c>
      <c r="AB57" s="477">
        <f t="shared" si="66"/>
        <v>11.044444444444444</v>
      </c>
      <c r="AC57" s="477">
        <f t="shared" si="66"/>
        <v>0</v>
      </c>
      <c r="AD57" s="477">
        <f t="shared" si="66"/>
        <v>11.044444444444444</v>
      </c>
      <c r="AE57" s="477">
        <f t="shared" si="66"/>
        <v>3.6072482638888888</v>
      </c>
      <c r="AF57" s="477">
        <f t="shared" si="66"/>
        <v>14.651692708333332</v>
      </c>
      <c r="AG57" s="477">
        <f t="shared" si="66"/>
        <v>3.6072482638888888</v>
      </c>
      <c r="AH57" s="477">
        <f t="shared" si="66"/>
        <v>14.651692708333332</v>
      </c>
      <c r="AI57" s="477">
        <f t="shared" si="66"/>
        <v>2.282986111111111E-2</v>
      </c>
      <c r="AJ57" s="477">
        <f t="shared" si="66"/>
        <v>11.067274305555555</v>
      </c>
      <c r="AK57" s="477">
        <f t="shared" si="66"/>
        <v>2.282986111111111E-2</v>
      </c>
      <c r="AL57" s="477">
        <f t="shared" si="66"/>
        <v>11.067274305555555</v>
      </c>
      <c r="AM57" s="477">
        <f t="shared" si="66"/>
        <v>3.6300781249999998</v>
      </c>
      <c r="AN57" s="477">
        <f t="shared" si="66"/>
        <v>14.674522569444445</v>
      </c>
      <c r="AO57" s="477">
        <f t="shared" si="66"/>
        <v>3.6300781249999998</v>
      </c>
      <c r="AP57" s="477">
        <f t="shared" si="66"/>
        <v>14.674522569444445</v>
      </c>
      <c r="AQ57" s="477">
        <f t="shared" si="66"/>
        <v>0</v>
      </c>
      <c r="AR57" s="477">
        <f t="shared" si="74"/>
        <v>11.044444444444444</v>
      </c>
      <c r="AS57" s="477">
        <f t="shared" si="74"/>
        <v>0</v>
      </c>
      <c r="AT57" s="477">
        <f t="shared" si="74"/>
        <v>11.044444444444444</v>
      </c>
      <c r="AU57" s="477">
        <f t="shared" si="74"/>
        <v>3.6072482638888888</v>
      </c>
      <c r="AV57" s="477">
        <f t="shared" si="74"/>
        <v>14.651692708333332</v>
      </c>
      <c r="AW57" s="477">
        <f t="shared" si="74"/>
        <v>3.6072482638888888</v>
      </c>
      <c r="AX57" s="477">
        <f t="shared" si="74"/>
        <v>14.651692708333332</v>
      </c>
      <c r="AY57" s="477">
        <f t="shared" si="74"/>
        <v>2.282986111111111E-2</v>
      </c>
      <c r="AZ57" s="477">
        <f t="shared" si="74"/>
        <v>11.067274305555555</v>
      </c>
      <c r="BA57" s="477">
        <f t="shared" si="74"/>
        <v>2.282986111111111E-2</v>
      </c>
      <c r="BB57" s="477">
        <f t="shared" si="74"/>
        <v>11.067274305555555</v>
      </c>
      <c r="BC57" s="477">
        <f t="shared" si="74"/>
        <v>3.6300781249999998</v>
      </c>
      <c r="BD57" s="477">
        <f t="shared" si="74"/>
        <v>14.674522569444445</v>
      </c>
      <c r="BE57" s="477">
        <f t="shared" si="74"/>
        <v>3.6300781249999998</v>
      </c>
      <c r="BF57" s="477">
        <f t="shared" si="74"/>
        <v>14.674522569444445</v>
      </c>
    </row>
    <row r="58" spans="1:58">
      <c r="A58" s="499" t="s">
        <v>1160</v>
      </c>
      <c r="B58" s="495">
        <f t="shared" si="67"/>
        <v>655077761</v>
      </c>
      <c r="C58" s="492" t="s">
        <v>773</v>
      </c>
      <c r="D58" s="467">
        <v>7200</v>
      </c>
      <c r="F58" s="17" t="str">
        <f t="shared" si="56"/>
        <v>N3+7200</v>
      </c>
      <c r="G58" s="493">
        <f t="shared" si="11"/>
        <v>653116955</v>
      </c>
      <c r="H58" s="493">
        <f t="shared" si="12"/>
        <v>655078965</v>
      </c>
      <c r="I58" s="17">
        <f t="shared" si="13"/>
        <v>4</v>
      </c>
      <c r="J58" s="17">
        <f t="shared" si="5"/>
        <v>5</v>
      </c>
      <c r="L58">
        <f t="shared" si="68"/>
        <v>180</v>
      </c>
      <c r="M58">
        <f t="shared" si="69"/>
        <v>360</v>
      </c>
      <c r="N58">
        <f t="shared" si="44"/>
        <v>7200</v>
      </c>
      <c r="O58" t="str">
        <f t="shared" si="70"/>
        <v/>
      </c>
      <c r="P58" s="3" t="str">
        <f t="shared" si="17"/>
        <v/>
      </c>
      <c r="Q58" t="str">
        <f t="shared" si="71"/>
        <v/>
      </c>
      <c r="R58" s="17" t="str">
        <f t="shared" si="72"/>
        <v/>
      </c>
      <c r="T58" s="466">
        <f t="shared" si="62"/>
        <v>2.282986111111111E-2</v>
      </c>
      <c r="U58" s="466">
        <f t="shared" si="62"/>
        <v>9.0581597222222227E-2</v>
      </c>
      <c r="V58">
        <f t="shared" si="63"/>
        <v>0</v>
      </c>
      <c r="W58">
        <f t="shared" si="64"/>
        <v>11.044444444444444</v>
      </c>
      <c r="X58" s="500">
        <f t="shared" si="23"/>
        <v>3.5166666666666666</v>
      </c>
      <c r="Y58" s="500">
        <f t="shared" si="73"/>
        <v>3.5166666666666666</v>
      </c>
      <c r="Z58">
        <f t="shared" si="7"/>
        <v>2.5244444444444443</v>
      </c>
      <c r="AB58" s="477">
        <f t="shared" si="66"/>
        <v>11.044444444444444</v>
      </c>
      <c r="AC58" s="477">
        <f t="shared" si="66"/>
        <v>2.5244444444444443</v>
      </c>
      <c r="AD58" s="477">
        <f t="shared" si="66"/>
        <v>13.568888888888889</v>
      </c>
      <c r="AE58" s="477">
        <f t="shared" si="66"/>
        <v>3.6072482638888888</v>
      </c>
      <c r="AF58" s="477">
        <f t="shared" si="66"/>
        <v>14.651692708333332</v>
      </c>
      <c r="AG58" s="477">
        <f t="shared" si="66"/>
        <v>6.1316927083333326</v>
      </c>
      <c r="AH58" s="477">
        <f t="shared" si="66"/>
        <v>17.176137152777777</v>
      </c>
      <c r="AI58" s="477">
        <f t="shared" si="66"/>
        <v>2.282986111111111E-2</v>
      </c>
      <c r="AJ58" s="477">
        <f t="shared" si="66"/>
        <v>11.067274305555555</v>
      </c>
      <c r="AK58" s="477">
        <f t="shared" si="66"/>
        <v>2.5472743055555553</v>
      </c>
      <c r="AL58" s="477">
        <f t="shared" si="66"/>
        <v>13.59171875</v>
      </c>
      <c r="AM58" s="477">
        <f t="shared" si="66"/>
        <v>3.6300781249999998</v>
      </c>
      <c r="AN58" s="477">
        <f t="shared" si="66"/>
        <v>14.674522569444445</v>
      </c>
      <c r="AO58" s="477">
        <f t="shared" si="66"/>
        <v>6.1545225694444436</v>
      </c>
      <c r="AP58" s="477">
        <f t="shared" si="66"/>
        <v>17.19896701388889</v>
      </c>
      <c r="AQ58" s="477">
        <f t="shared" si="66"/>
        <v>0</v>
      </c>
      <c r="AR58" s="477">
        <f t="shared" si="74"/>
        <v>11.044444444444444</v>
      </c>
      <c r="AS58" s="477">
        <f t="shared" si="74"/>
        <v>2.5244444444444443</v>
      </c>
      <c r="AT58" s="477">
        <f t="shared" si="74"/>
        <v>13.568888888888889</v>
      </c>
      <c r="AU58" s="477">
        <f t="shared" si="74"/>
        <v>3.6072482638888888</v>
      </c>
      <c r="AV58" s="477">
        <f t="shared" si="74"/>
        <v>14.651692708333332</v>
      </c>
      <c r="AW58" s="477">
        <f t="shared" si="74"/>
        <v>6.1316927083333326</v>
      </c>
      <c r="AX58" s="477">
        <f t="shared" si="74"/>
        <v>17.176137152777777</v>
      </c>
      <c r="AY58" s="477">
        <f t="shared" si="74"/>
        <v>2.282986111111111E-2</v>
      </c>
      <c r="AZ58" s="477">
        <f t="shared" si="74"/>
        <v>11.067274305555555</v>
      </c>
      <c r="BA58" s="477">
        <f t="shared" si="74"/>
        <v>2.5472743055555553</v>
      </c>
      <c r="BB58" s="477">
        <f t="shared" si="74"/>
        <v>13.59171875</v>
      </c>
      <c r="BC58" s="477">
        <f t="shared" si="74"/>
        <v>3.6300781249999998</v>
      </c>
      <c r="BD58" s="477">
        <f t="shared" si="74"/>
        <v>14.674522569444445</v>
      </c>
      <c r="BE58" s="477">
        <f t="shared" si="74"/>
        <v>6.1545225694444436</v>
      </c>
      <c r="BF58" s="477">
        <f t="shared" si="74"/>
        <v>17.19896701388889</v>
      </c>
    </row>
    <row r="59" spans="1:58">
      <c r="A59" s="499" t="s">
        <v>1164</v>
      </c>
      <c r="B59" s="495">
        <f t="shared" si="67"/>
        <v>655077764</v>
      </c>
      <c r="C59" s="492" t="s">
        <v>8411</v>
      </c>
      <c r="D59" s="467">
        <v>1800</v>
      </c>
      <c r="F59" s="17" t="str">
        <f t="shared" si="56"/>
        <v>STAT+1800</v>
      </c>
      <c r="G59" s="493">
        <f t="shared" si="11"/>
        <v>653116955</v>
      </c>
      <c r="H59" s="493">
        <f t="shared" si="12"/>
        <v>655078965</v>
      </c>
      <c r="I59" s="17">
        <f t="shared" si="13"/>
        <v>5</v>
      </c>
      <c r="J59" s="17">
        <f t="shared" si="5"/>
        <v>4</v>
      </c>
      <c r="L59">
        <f t="shared" si="68"/>
        <v>180</v>
      </c>
      <c r="M59">
        <f t="shared" si="69"/>
        <v>360</v>
      </c>
      <c r="N59">
        <f t="shared" si="44"/>
        <v>7200</v>
      </c>
      <c r="O59">
        <f t="shared" si="70"/>
        <v>1800</v>
      </c>
      <c r="P59" s="3" t="str">
        <f t="shared" si="17"/>
        <v/>
      </c>
      <c r="Q59" t="str">
        <f t="shared" si="71"/>
        <v/>
      </c>
      <c r="R59" s="17" t="str">
        <f t="shared" si="72"/>
        <v/>
      </c>
      <c r="T59" s="466">
        <f t="shared" si="62"/>
        <v>2.282986111111111E-2</v>
      </c>
      <c r="U59" s="466">
        <f t="shared" si="62"/>
        <v>9.0581597222222227E-2</v>
      </c>
      <c r="V59">
        <f t="shared" si="63"/>
        <v>0.28444444444444444</v>
      </c>
      <c r="W59">
        <f t="shared" si="64"/>
        <v>11.044444444444444</v>
      </c>
      <c r="X59" s="500">
        <f t="shared" si="23"/>
        <v>3.5166666666666666</v>
      </c>
      <c r="Y59" s="500">
        <f t="shared" si="73"/>
        <v>3.5166666666666666</v>
      </c>
      <c r="Z59">
        <f t="shared" si="7"/>
        <v>2.5244444444444443</v>
      </c>
      <c r="AB59" s="477">
        <f t="shared" si="66"/>
        <v>11.044444444444444</v>
      </c>
      <c r="AC59" s="477">
        <f t="shared" si="66"/>
        <v>2.5244444444444443</v>
      </c>
      <c r="AD59" s="477">
        <f t="shared" si="66"/>
        <v>13.568888888888889</v>
      </c>
      <c r="AE59" s="477">
        <f t="shared" si="66"/>
        <v>3.6072482638888888</v>
      </c>
      <c r="AF59" s="477">
        <f t="shared" si="66"/>
        <v>14.651692708333332</v>
      </c>
      <c r="AG59" s="477">
        <f t="shared" si="66"/>
        <v>6.1316927083333326</v>
      </c>
      <c r="AH59" s="477">
        <f t="shared" si="66"/>
        <v>17.176137152777777</v>
      </c>
      <c r="AI59" s="477">
        <f t="shared" si="66"/>
        <v>2.282986111111111E-2</v>
      </c>
      <c r="AJ59" s="477">
        <f t="shared" si="66"/>
        <v>11.067274305555555</v>
      </c>
      <c r="AK59" s="477">
        <f t="shared" si="66"/>
        <v>2.5472743055555553</v>
      </c>
      <c r="AL59" s="477">
        <f t="shared" si="66"/>
        <v>13.59171875</v>
      </c>
      <c r="AM59" s="477">
        <f t="shared" si="66"/>
        <v>3.6300781249999998</v>
      </c>
      <c r="AN59" s="477">
        <f t="shared" si="66"/>
        <v>14.674522569444445</v>
      </c>
      <c r="AO59" s="477">
        <f t="shared" si="66"/>
        <v>6.1545225694444436</v>
      </c>
      <c r="AP59" s="477">
        <f t="shared" si="66"/>
        <v>17.19896701388889</v>
      </c>
      <c r="AQ59" s="477">
        <f t="shared" si="66"/>
        <v>0.28444444444444444</v>
      </c>
      <c r="AR59" s="477">
        <f t="shared" si="74"/>
        <v>11.328888888888889</v>
      </c>
      <c r="AS59" s="477">
        <f t="shared" si="74"/>
        <v>2.8088888888888888</v>
      </c>
      <c r="AT59" s="477">
        <f t="shared" si="74"/>
        <v>13.853333333333333</v>
      </c>
      <c r="AU59" s="477">
        <f t="shared" si="74"/>
        <v>3.8916927083333333</v>
      </c>
      <c r="AV59" s="477">
        <f t="shared" si="74"/>
        <v>14.936137152777778</v>
      </c>
      <c r="AW59" s="477">
        <f t="shared" si="74"/>
        <v>6.4161371527777771</v>
      </c>
      <c r="AX59" s="477">
        <f t="shared" si="74"/>
        <v>17.460581597222223</v>
      </c>
      <c r="AY59" s="477">
        <f t="shared" si="74"/>
        <v>0.30727430555555557</v>
      </c>
      <c r="AZ59" s="477">
        <f t="shared" si="74"/>
        <v>11.35171875</v>
      </c>
      <c r="BA59" s="477">
        <f t="shared" si="74"/>
        <v>2.8317187499999998</v>
      </c>
      <c r="BB59" s="477">
        <f t="shared" si="74"/>
        <v>13.876163194444445</v>
      </c>
      <c r="BC59" s="477">
        <f t="shared" si="74"/>
        <v>3.9145225694444443</v>
      </c>
      <c r="BD59" s="477">
        <f t="shared" si="74"/>
        <v>14.958967013888888</v>
      </c>
      <c r="BE59" s="477">
        <f t="shared" si="74"/>
        <v>6.4389670138888881</v>
      </c>
      <c r="BF59" s="477">
        <f t="shared" si="74"/>
        <v>17.483411458333332</v>
      </c>
    </row>
    <row r="60" spans="1:58">
      <c r="A60" s="499" t="s">
        <v>1126</v>
      </c>
      <c r="B60" s="495">
        <f t="shared" si="67"/>
        <v>655078355</v>
      </c>
      <c r="C60" s="492" t="s">
        <v>8412</v>
      </c>
      <c r="D60" s="467">
        <v>103</v>
      </c>
      <c r="F60" s="17" t="str">
        <f t="shared" si="56"/>
        <v>MAC+103</v>
      </c>
      <c r="G60" s="493">
        <f t="shared" si="11"/>
        <v>653116955</v>
      </c>
      <c r="H60" s="493">
        <f t="shared" si="12"/>
        <v>655078965</v>
      </c>
      <c r="I60" s="17">
        <f t="shared" si="13"/>
        <v>6</v>
      </c>
      <c r="J60" s="17">
        <f t="shared" si="5"/>
        <v>3</v>
      </c>
      <c r="L60">
        <f t="shared" si="68"/>
        <v>180</v>
      </c>
      <c r="M60">
        <f t="shared" si="69"/>
        <v>3</v>
      </c>
      <c r="N60">
        <f t="shared" si="44"/>
        <v>7200</v>
      </c>
      <c r="O60">
        <f t="shared" si="70"/>
        <v>1800</v>
      </c>
      <c r="P60" s="3" t="str">
        <f t="shared" si="17"/>
        <v>disabled</v>
      </c>
      <c r="Q60" t="str">
        <f t="shared" si="71"/>
        <v/>
      </c>
      <c r="R60" s="17" t="str">
        <f t="shared" si="72"/>
        <v/>
      </c>
      <c r="T60" s="466">
        <f t="shared" si="62"/>
        <v>2.7395833333333335</v>
      </c>
      <c r="U60" s="466">
        <f t="shared" si="62"/>
        <v>10.869791666666666</v>
      </c>
      <c r="V60">
        <f t="shared" si="63"/>
        <v>0.28444444444444444</v>
      </c>
      <c r="W60">
        <f t="shared" si="64"/>
        <v>11.044444444444444</v>
      </c>
      <c r="X60" s="500">
        <f t="shared" si="23"/>
        <v>0</v>
      </c>
      <c r="Y60" s="500">
        <f t="shared" si="73"/>
        <v>0</v>
      </c>
      <c r="Z60">
        <f t="shared" si="7"/>
        <v>2.5244444444444443</v>
      </c>
      <c r="AB60" s="477">
        <f t="shared" si="66"/>
        <v>11.044444444444444</v>
      </c>
      <c r="AC60" s="477">
        <f t="shared" si="66"/>
        <v>2.5244444444444443</v>
      </c>
      <c r="AD60" s="477">
        <f t="shared" si="66"/>
        <v>13.568888888888889</v>
      </c>
      <c r="AE60" s="477">
        <f t="shared" si="66"/>
        <v>10.869791666666666</v>
      </c>
      <c r="AF60" s="477">
        <f t="shared" si="66"/>
        <v>21.914236111111109</v>
      </c>
      <c r="AG60" s="477">
        <f t="shared" si="66"/>
        <v>13.394236111111111</v>
      </c>
      <c r="AH60" s="477">
        <f t="shared" si="66"/>
        <v>24.438680555555557</v>
      </c>
      <c r="AI60" s="477">
        <f t="shared" si="66"/>
        <v>2.7395833333333335</v>
      </c>
      <c r="AJ60" s="477">
        <f t="shared" si="66"/>
        <v>13.784027777777778</v>
      </c>
      <c r="AK60" s="477">
        <f t="shared" si="66"/>
        <v>5.2640277777777778</v>
      </c>
      <c r="AL60" s="477">
        <f t="shared" si="66"/>
        <v>16.308472222222221</v>
      </c>
      <c r="AM60" s="477">
        <f t="shared" si="66"/>
        <v>13.609375</v>
      </c>
      <c r="AN60" s="477">
        <f t="shared" si="66"/>
        <v>24.653819444444444</v>
      </c>
      <c r="AO60" s="477">
        <f t="shared" si="66"/>
        <v>16.133819444444445</v>
      </c>
      <c r="AP60" s="477">
        <f t="shared" si="66"/>
        <v>27.178263888888889</v>
      </c>
      <c r="AQ60" s="477">
        <f t="shared" si="66"/>
        <v>0.28444444444444444</v>
      </c>
      <c r="AR60" s="477">
        <f t="shared" si="74"/>
        <v>11.328888888888889</v>
      </c>
      <c r="AS60" s="477">
        <f t="shared" si="74"/>
        <v>2.8088888888888888</v>
      </c>
      <c r="AT60" s="477">
        <f t="shared" si="74"/>
        <v>13.853333333333333</v>
      </c>
      <c r="AU60" s="477">
        <f t="shared" si="74"/>
        <v>11.154236111111111</v>
      </c>
      <c r="AV60" s="477">
        <f t="shared" si="74"/>
        <v>22.198680555555555</v>
      </c>
      <c r="AW60" s="477">
        <f t="shared" si="74"/>
        <v>13.678680555555555</v>
      </c>
      <c r="AX60" s="477">
        <f t="shared" si="74"/>
        <v>24.723125</v>
      </c>
      <c r="AY60" s="477">
        <f t="shared" si="74"/>
        <v>3.024027777777778</v>
      </c>
      <c r="AZ60" s="477">
        <f t="shared" si="74"/>
        <v>14.068472222222223</v>
      </c>
      <c r="BA60" s="477">
        <f t="shared" si="74"/>
        <v>5.5484722222222222</v>
      </c>
      <c r="BB60" s="477">
        <f t="shared" si="74"/>
        <v>16.592916666666667</v>
      </c>
      <c r="BC60" s="477">
        <f t="shared" si="74"/>
        <v>13.893819444444444</v>
      </c>
      <c r="BD60" s="477">
        <f t="shared" si="74"/>
        <v>24.938263888888891</v>
      </c>
      <c r="BE60" s="477">
        <f t="shared" si="74"/>
        <v>16.418263888888887</v>
      </c>
      <c r="BF60" s="477">
        <f t="shared" si="74"/>
        <v>27.462708333333332</v>
      </c>
    </row>
    <row r="61" spans="1:58">
      <c r="A61" s="499" t="s">
        <v>8443</v>
      </c>
      <c r="B61" s="495">
        <f t="shared" si="67"/>
        <v>655078955</v>
      </c>
      <c r="C61" s="492" t="s">
        <v>8412</v>
      </c>
      <c r="D61" s="467">
        <v>110</v>
      </c>
      <c r="F61" s="17" t="str">
        <f t="shared" si="56"/>
        <v>MAC+110</v>
      </c>
      <c r="G61" s="493">
        <f t="shared" si="11"/>
        <v>653116955</v>
      </c>
      <c r="H61" s="493">
        <f t="shared" si="12"/>
        <v>655078965</v>
      </c>
      <c r="I61" s="17">
        <f t="shared" si="13"/>
        <v>7</v>
      </c>
      <c r="J61" s="17">
        <f t="shared" si="5"/>
        <v>2</v>
      </c>
      <c r="L61">
        <f t="shared" si="68"/>
        <v>180</v>
      </c>
      <c r="M61">
        <f t="shared" si="69"/>
        <v>3</v>
      </c>
      <c r="N61">
        <f t="shared" si="44"/>
        <v>7200</v>
      </c>
      <c r="O61">
        <f t="shared" si="70"/>
        <v>1800</v>
      </c>
      <c r="P61" s="3" t="str">
        <f t="shared" si="17"/>
        <v/>
      </c>
      <c r="Q61">
        <f t="shared" si="71"/>
        <v>43200</v>
      </c>
      <c r="R61" s="17" t="str">
        <f t="shared" si="72"/>
        <v/>
      </c>
      <c r="T61" s="466">
        <f t="shared" ref="T61:U62" si="75">IF($M61="",0,T$1/64/$M61)</f>
        <v>2.7395833333333335</v>
      </c>
      <c r="U61" s="466">
        <f t="shared" si="75"/>
        <v>10.869791666666666</v>
      </c>
      <c r="V61">
        <f t="shared" si="63"/>
        <v>0.28444444444444444</v>
      </c>
      <c r="W61">
        <f t="shared" si="64"/>
        <v>11.044444444444444</v>
      </c>
      <c r="X61" s="500">
        <f t="shared" si="23"/>
        <v>422</v>
      </c>
      <c r="Y61" s="500">
        <f t="shared" si="73"/>
        <v>422</v>
      </c>
      <c r="Z61">
        <f t="shared" si="7"/>
        <v>2.5244444444444443</v>
      </c>
      <c r="AB61" s="477">
        <f t="shared" si="66"/>
        <v>11.044444444444444</v>
      </c>
      <c r="AC61" s="477">
        <f t="shared" si="66"/>
        <v>2.5244444444444443</v>
      </c>
      <c r="AD61" s="477">
        <f t="shared" si="66"/>
        <v>13.568888888888889</v>
      </c>
      <c r="AE61" s="477">
        <f t="shared" si="66"/>
        <v>432.86979166666669</v>
      </c>
      <c r="AF61" s="477">
        <f t="shared" si="66"/>
        <v>443.91423611111111</v>
      </c>
      <c r="AG61" s="477">
        <f t="shared" si="66"/>
        <v>435.39423611111113</v>
      </c>
      <c r="AH61" s="477">
        <f t="shared" si="66"/>
        <v>446.43868055555555</v>
      </c>
      <c r="AI61" s="477">
        <f t="shared" si="66"/>
        <v>2.7395833333333335</v>
      </c>
      <c r="AJ61" s="477">
        <f t="shared" si="66"/>
        <v>13.784027777777778</v>
      </c>
      <c r="AK61" s="477">
        <f t="shared" si="66"/>
        <v>5.2640277777777778</v>
      </c>
      <c r="AL61" s="477">
        <f t="shared" si="66"/>
        <v>16.308472222222221</v>
      </c>
      <c r="AM61" s="477">
        <f t="shared" si="66"/>
        <v>435.609375</v>
      </c>
      <c r="AN61" s="477">
        <f t="shared" si="66"/>
        <v>446.65381944444442</v>
      </c>
      <c r="AO61" s="477">
        <f t="shared" si="66"/>
        <v>438.13381944444444</v>
      </c>
      <c r="AP61" s="477">
        <f t="shared" si="66"/>
        <v>449.17826388888886</v>
      </c>
      <c r="AQ61" s="477">
        <f t="shared" si="66"/>
        <v>0.28444444444444444</v>
      </c>
      <c r="AR61" s="477">
        <f t="shared" si="74"/>
        <v>11.328888888888889</v>
      </c>
      <c r="AS61" s="477">
        <f t="shared" si="74"/>
        <v>2.8088888888888888</v>
      </c>
      <c r="AT61" s="477">
        <f t="shared" si="74"/>
        <v>13.853333333333333</v>
      </c>
      <c r="AU61" s="477">
        <f t="shared" si="74"/>
        <v>433.15423611111112</v>
      </c>
      <c r="AV61" s="477">
        <f t="shared" si="74"/>
        <v>444.19868055555554</v>
      </c>
      <c r="AW61" s="477">
        <f t="shared" si="74"/>
        <v>435.67868055555556</v>
      </c>
      <c r="AX61" s="477">
        <f t="shared" si="74"/>
        <v>446.72312499999998</v>
      </c>
      <c r="AY61" s="477">
        <f t="shared" si="74"/>
        <v>3.024027777777778</v>
      </c>
      <c r="AZ61" s="477">
        <f t="shared" si="74"/>
        <v>14.068472222222223</v>
      </c>
      <c r="BA61" s="477">
        <f t="shared" si="74"/>
        <v>5.5484722222222222</v>
      </c>
      <c r="BB61" s="477">
        <f t="shared" si="74"/>
        <v>16.592916666666667</v>
      </c>
      <c r="BC61" s="477">
        <f t="shared" si="74"/>
        <v>435.89381944444449</v>
      </c>
      <c r="BD61" s="477">
        <f t="shared" si="74"/>
        <v>446.93826388888891</v>
      </c>
      <c r="BE61" s="477">
        <f t="shared" si="74"/>
        <v>438.41826388888893</v>
      </c>
      <c r="BF61" s="477">
        <f t="shared" si="74"/>
        <v>449.46270833333335</v>
      </c>
    </row>
    <row r="62" spans="1:58">
      <c r="A62" s="499" t="s">
        <v>2584</v>
      </c>
      <c r="B62" s="495">
        <f t="shared" si="67"/>
        <v>655078960</v>
      </c>
      <c r="C62" s="492" t="s">
        <v>8412</v>
      </c>
      <c r="D62" s="467">
        <v>102</v>
      </c>
      <c r="F62" s="17" t="str">
        <f t="shared" si="56"/>
        <v>MAC+102</v>
      </c>
      <c r="G62" s="493">
        <f t="shared" si="11"/>
        <v>653116955</v>
      </c>
      <c r="H62" s="493">
        <f t="shared" si="12"/>
        <v>655078965</v>
      </c>
      <c r="I62" s="17">
        <f t="shared" si="13"/>
        <v>8</v>
      </c>
      <c r="J62" s="17">
        <f t="shared" si="5"/>
        <v>1</v>
      </c>
      <c r="L62">
        <f t="shared" si="68"/>
        <v>180</v>
      </c>
      <c r="M62">
        <f t="shared" si="69"/>
        <v>3</v>
      </c>
      <c r="N62">
        <f t="shared" si="44"/>
        <v>7200</v>
      </c>
      <c r="O62">
        <f t="shared" si="70"/>
        <v>1800</v>
      </c>
      <c r="P62" s="3" t="str">
        <f t="shared" si="17"/>
        <v/>
      </c>
      <c r="Q62">
        <f t="shared" si="71"/>
        <v>43200</v>
      </c>
      <c r="R62" s="17" t="str">
        <f t="shared" si="72"/>
        <v>102</v>
      </c>
      <c r="T62" s="466">
        <f t="shared" si="75"/>
        <v>2.7395833333333335</v>
      </c>
      <c r="U62" s="466">
        <f t="shared" si="75"/>
        <v>10.869791666666666</v>
      </c>
      <c r="V62">
        <f t="shared" si="63"/>
        <v>0.28444444444444444</v>
      </c>
      <c r="W62">
        <f t="shared" si="64"/>
        <v>11.044444444444444</v>
      </c>
      <c r="X62" s="500">
        <f t="shared" si="23"/>
        <v>422</v>
      </c>
      <c r="Y62" s="500">
        <f t="shared" si="73"/>
        <v>422</v>
      </c>
      <c r="Z62">
        <f t="shared" si="7"/>
        <v>2.5244444444444443</v>
      </c>
      <c r="AB62" s="477">
        <f t="shared" si="66"/>
        <v>11.044444444444444</v>
      </c>
      <c r="AC62" s="477">
        <f t="shared" si="66"/>
        <v>13.394236111111111</v>
      </c>
      <c r="AD62" s="477">
        <f t="shared" si="66"/>
        <v>24.438680555555557</v>
      </c>
      <c r="AE62" s="477">
        <f t="shared" si="66"/>
        <v>422</v>
      </c>
      <c r="AF62" s="477">
        <f t="shared" si="66"/>
        <v>433.04444444444442</v>
      </c>
      <c r="AG62" s="477">
        <f t="shared" si="66"/>
        <v>435.39423611111113</v>
      </c>
      <c r="AH62" s="477">
        <f t="shared" si="66"/>
        <v>446.43868055555555</v>
      </c>
      <c r="AI62" s="477">
        <f t="shared" si="66"/>
        <v>2.7395833333333335</v>
      </c>
      <c r="AJ62" s="477">
        <f t="shared" si="66"/>
        <v>13.784027777777778</v>
      </c>
      <c r="AK62" s="477">
        <f t="shared" si="66"/>
        <v>16.133819444444445</v>
      </c>
      <c r="AL62" s="477">
        <f t="shared" si="66"/>
        <v>27.178263888888889</v>
      </c>
      <c r="AM62" s="477">
        <f t="shared" si="66"/>
        <v>424.73958333333331</v>
      </c>
      <c r="AN62" s="477">
        <f t="shared" si="66"/>
        <v>435.78402777777774</v>
      </c>
      <c r="AO62" s="477">
        <f t="shared" si="66"/>
        <v>438.13381944444444</v>
      </c>
      <c r="AP62" s="477">
        <f t="shared" si="66"/>
        <v>449.17826388888886</v>
      </c>
      <c r="AQ62" s="477">
        <f t="shared" si="66"/>
        <v>0.28444444444444444</v>
      </c>
      <c r="AR62" s="477">
        <f t="shared" si="74"/>
        <v>11.328888888888889</v>
      </c>
      <c r="AS62" s="477">
        <f t="shared" si="74"/>
        <v>13.678680555555555</v>
      </c>
      <c r="AT62" s="477">
        <f t="shared" si="74"/>
        <v>24.723125</v>
      </c>
      <c r="AU62" s="477">
        <f t="shared" si="74"/>
        <v>422.28444444444443</v>
      </c>
      <c r="AV62" s="477">
        <f t="shared" si="74"/>
        <v>433.32888888888886</v>
      </c>
      <c r="AW62" s="477">
        <f t="shared" si="74"/>
        <v>435.67868055555556</v>
      </c>
      <c r="AX62" s="477">
        <f t="shared" si="74"/>
        <v>446.72312499999998</v>
      </c>
      <c r="AY62" s="477">
        <f t="shared" si="74"/>
        <v>3.024027777777778</v>
      </c>
      <c r="AZ62" s="477">
        <f t="shared" si="74"/>
        <v>14.068472222222223</v>
      </c>
      <c r="BA62" s="477">
        <f t="shared" si="74"/>
        <v>16.418263888888887</v>
      </c>
      <c r="BB62" s="477">
        <f t="shared" si="74"/>
        <v>27.462708333333332</v>
      </c>
      <c r="BC62" s="477">
        <f t="shared" si="74"/>
        <v>425.0240277777778</v>
      </c>
      <c r="BD62" s="477">
        <f t="shared" si="74"/>
        <v>436.06847222222223</v>
      </c>
      <c r="BE62" s="477">
        <f t="shared" si="74"/>
        <v>438.41826388888893</v>
      </c>
      <c r="BF62" s="477">
        <f t="shared" si="74"/>
        <v>449.46270833333335</v>
      </c>
    </row>
    <row r="63" spans="1:58">
      <c r="A63" s="498" t="s">
        <v>866</v>
      </c>
      <c r="B63" s="495">
        <f t="shared" si="67"/>
        <v>655078965</v>
      </c>
      <c r="C63" s="492" t="s">
        <v>8418</v>
      </c>
      <c r="D63" s="467"/>
      <c r="F63" s="17" t="str">
        <f>_xlfn.TEXTJOIN("+",TRUE,$C63:$D63)</f>
        <v>OFF</v>
      </c>
      <c r="G63" s="493">
        <f t="shared" si="11"/>
        <v>653116955</v>
      </c>
      <c r="H63" s="493">
        <f t="shared" si="12"/>
        <v>655078965</v>
      </c>
      <c r="I63" s="17">
        <f t="shared" si="13"/>
        <v>9</v>
      </c>
      <c r="J63" s="17">
        <f>IF($C63="OFF",0,J64+1)</f>
        <v>0</v>
      </c>
      <c r="L63">
        <f>IF($C63="ON","",IF($C63="N1",$D63,L62))</f>
        <v>180</v>
      </c>
      <c r="M63">
        <f>IF($C63="ON","",IF($C63="N2",$D63,IF($F63="MAC+103",3,IF($F63="MAC+104",2,M62))))</f>
        <v>3</v>
      </c>
      <c r="N63">
        <f t="shared" si="44"/>
        <v>7200</v>
      </c>
      <c r="O63">
        <f>IF($C63="ON","",IF($C63="STAT",$D63,O62))</f>
        <v>1800</v>
      </c>
      <c r="P63" s="3" t="str">
        <f t="shared" si="17"/>
        <v/>
      </c>
      <c r="Q63">
        <f>IF(F63="ON","",IF($F63="MAC+105",300,IF($F63="MAC+106",600,IF($F63="MAC+107",840,IF($F63="MAC+108",1200,IF($F63="MAC+109",1800,IF($F63="MAC+110",43200,Q62)))))))</f>
        <v>43200</v>
      </c>
      <c r="R63" s="17" t="str">
        <f>IF($C63="ON","",IF($F63="MAC+102","102",R62))</f>
        <v>102</v>
      </c>
      <c r="T63" s="466">
        <f>IF($M63="",0,T$1/64/$M63)</f>
        <v>2.7395833333333335</v>
      </c>
      <c r="U63" s="466">
        <f>IF($M63="",0,U$1/64/$M63)</f>
        <v>10.869791666666666</v>
      </c>
      <c r="V63">
        <f>IF($O63="",0,V$1/$O63)</f>
        <v>0.28444444444444444</v>
      </c>
      <c r="W63">
        <f>IF($L63="",0,W$1/$L63)</f>
        <v>11.044444444444444</v>
      </c>
      <c r="X63" s="500">
        <f t="shared" si="23"/>
        <v>422</v>
      </c>
      <c r="Y63" s="500">
        <f>IF($M63="",0,IF($Q63="",1,Q63/43200)*X63)</f>
        <v>422</v>
      </c>
      <c r="Z63">
        <f t="shared" si="7"/>
        <v>2.5244444444444443</v>
      </c>
      <c r="AB63" s="477">
        <f t="shared" si="66"/>
        <v>11.044444444444444</v>
      </c>
      <c r="AC63" s="477">
        <f t="shared" si="66"/>
        <v>13.394236111111111</v>
      </c>
      <c r="AD63" s="477">
        <f t="shared" si="66"/>
        <v>24.438680555555557</v>
      </c>
      <c r="AE63" s="477">
        <f t="shared" si="66"/>
        <v>422</v>
      </c>
      <c r="AF63" s="477">
        <f t="shared" si="66"/>
        <v>433.04444444444442</v>
      </c>
      <c r="AG63" s="477">
        <f t="shared" si="66"/>
        <v>435.39423611111113</v>
      </c>
      <c r="AH63" s="477">
        <f t="shared" si="66"/>
        <v>446.43868055555555</v>
      </c>
      <c r="AI63" s="477">
        <f t="shared" si="66"/>
        <v>2.7395833333333335</v>
      </c>
      <c r="AJ63" s="477">
        <f t="shared" si="66"/>
        <v>13.784027777777778</v>
      </c>
      <c r="AK63" s="477">
        <f t="shared" si="66"/>
        <v>16.133819444444445</v>
      </c>
      <c r="AL63" s="477">
        <f t="shared" si="66"/>
        <v>27.178263888888889</v>
      </c>
      <c r="AM63" s="477">
        <f t="shared" si="66"/>
        <v>424.73958333333331</v>
      </c>
      <c r="AN63" s="477">
        <f t="shared" si="66"/>
        <v>435.78402777777774</v>
      </c>
      <c r="AO63" s="477">
        <f t="shared" si="66"/>
        <v>438.13381944444444</v>
      </c>
      <c r="AP63" s="477">
        <f t="shared" si="66"/>
        <v>449.17826388888886</v>
      </c>
      <c r="AQ63" s="477">
        <f t="shared" si="66"/>
        <v>0.28444444444444444</v>
      </c>
      <c r="AR63" s="477">
        <f t="shared" si="74"/>
        <v>11.328888888888889</v>
      </c>
      <c r="AS63" s="477">
        <f t="shared" si="74"/>
        <v>13.678680555555555</v>
      </c>
      <c r="AT63" s="477">
        <f t="shared" si="74"/>
        <v>24.723125</v>
      </c>
      <c r="AU63" s="477">
        <f t="shared" si="74"/>
        <v>422.28444444444443</v>
      </c>
      <c r="AV63" s="477">
        <f t="shared" si="74"/>
        <v>433.32888888888886</v>
      </c>
      <c r="AW63" s="477">
        <f t="shared" si="74"/>
        <v>435.67868055555556</v>
      </c>
      <c r="AX63" s="477">
        <f t="shared" si="74"/>
        <v>446.72312499999998</v>
      </c>
      <c r="AY63" s="477">
        <f t="shared" si="74"/>
        <v>3.024027777777778</v>
      </c>
      <c r="AZ63" s="477">
        <f t="shared" si="74"/>
        <v>14.068472222222223</v>
      </c>
      <c r="BA63" s="477">
        <f t="shared" si="74"/>
        <v>16.418263888888887</v>
      </c>
      <c r="BB63" s="477">
        <f t="shared" si="74"/>
        <v>27.462708333333332</v>
      </c>
      <c r="BC63" s="477">
        <f t="shared" si="74"/>
        <v>425.0240277777778</v>
      </c>
      <c r="BD63" s="477">
        <f t="shared" si="74"/>
        <v>436.06847222222223</v>
      </c>
      <c r="BE63" s="477">
        <f t="shared" si="74"/>
        <v>438.41826388888893</v>
      </c>
      <c r="BF63" s="477">
        <f t="shared" si="74"/>
        <v>449.46270833333335</v>
      </c>
    </row>
    <row r="64" spans="1:58">
      <c r="A64" s="498" t="s">
        <v>866</v>
      </c>
      <c r="B64" s="495">
        <f>B54+86400+H54-G54</f>
        <v>655165365</v>
      </c>
      <c r="C64" s="492" t="s">
        <v>1148</v>
      </c>
      <c r="D64" s="467"/>
      <c r="F64" s="17" t="str">
        <f>_xlfn.TEXTJOIN("+",TRUE,$C64:$D64)</f>
        <v>ON</v>
      </c>
      <c r="G64" s="493">
        <f>IF($C64="ON",$B64,G63)</f>
        <v>655165365</v>
      </c>
      <c r="H64" s="493">
        <f>IF($C64="OFF",$B64,H65)</f>
        <v>657127375</v>
      </c>
      <c r="I64" s="17">
        <f>IF($C64="ON",0,I63+1)</f>
        <v>0</v>
      </c>
      <c r="J64" s="17">
        <f t="shared" si="5"/>
        <v>9</v>
      </c>
      <c r="L64" t="str">
        <f>IF($C64="ON","",IF($C64="N1",$D64,L63))</f>
        <v/>
      </c>
      <c r="M64" t="str">
        <f>IF($C64="ON","",IF($C64="N2",$D64,IF($F64="MAC+103",3,IF($F64="MAC+104",2,M63))))</f>
        <v/>
      </c>
      <c r="N64" t="str">
        <f t="shared" si="44"/>
        <v/>
      </c>
      <c r="O64" t="str">
        <f>IF($C64="ON","",IF($C64="STAT",$D64,O63))</f>
        <v/>
      </c>
      <c r="P64" s="3" t="str">
        <f>IF($C64="ON","",IF(AND($C64="MAC",105&lt;=$D64,$D64&lt;=110),"",IF(AND($C64="MAC",103&lt;=$D64,$D64&lt;=104),"disabled",P63)))</f>
        <v/>
      </c>
      <c r="Q64" t="str">
        <f>IF(F64="ON","",IF($F64="MAC+105",300,IF($F64="MAC+106",600,IF($F64="MAC+107",840,IF($F64="MAC+108",1200,IF($F64="MAC+109",1800,IF($F64="MAC+110",43200,Q63)))))))</f>
        <v/>
      </c>
      <c r="R64" s="17" t="str">
        <f>IF($C64="ON","",IF($F64="MAC+102","102",R63))</f>
        <v/>
      </c>
      <c r="T64" s="466">
        <f>IF($M64="",0,T$1/64/$M64)</f>
        <v>0</v>
      </c>
      <c r="U64" s="466">
        <f>IF($M64="",0,U$1/64/$M64)</f>
        <v>0</v>
      </c>
      <c r="V64">
        <f>IF($O64="",0,V$1/$O64)</f>
        <v>0</v>
      </c>
      <c r="W64">
        <f>IF($L64="",0,W$1/$L64)</f>
        <v>0</v>
      </c>
      <c r="X64" s="500">
        <f>IF(OR($M64="",$P64&lt;&gt;""),0,X$1/$M64)</f>
        <v>0</v>
      </c>
      <c r="Y64" s="500">
        <f>IF($M64="",0,IF($Q64="",1,Q64/43200)*X64)</f>
        <v>0</v>
      </c>
      <c r="Z64">
        <f t="shared" si="7"/>
        <v>0</v>
      </c>
      <c r="AB64" s="477">
        <f>IF(AB$3&lt;&gt;"",$V64,0)+IF(AB$4&lt;&gt;"",$T64,0)+IF(AB$5&lt;&gt;"",$Y64+IF($R64&lt;&gt;"102",$U64,0),0)+IF(AB$6&lt;&gt;"",$Z64+IF($R64="102",$U64,0),0)+IF(AB$7&lt;&gt;"",$W64,0)</f>
        <v>0</v>
      </c>
      <c r="AC64" s="477">
        <f t="shared" si="66"/>
        <v>0</v>
      </c>
      <c r="AD64" s="477">
        <f t="shared" si="66"/>
        <v>0</v>
      </c>
      <c r="AE64" s="477">
        <f t="shared" si="66"/>
        <v>0</v>
      </c>
      <c r="AF64" s="477">
        <f t="shared" si="66"/>
        <v>0</v>
      </c>
      <c r="AG64" s="477">
        <f t="shared" si="66"/>
        <v>0</v>
      </c>
      <c r="AH64" s="477">
        <f t="shared" si="66"/>
        <v>0</v>
      </c>
      <c r="AI64" s="477">
        <f t="shared" si="66"/>
        <v>0</v>
      </c>
      <c r="AJ64" s="477">
        <f t="shared" si="66"/>
        <v>0</v>
      </c>
      <c r="AK64" s="477">
        <f t="shared" si="66"/>
        <v>0</v>
      </c>
      <c r="AL64" s="477">
        <f t="shared" si="66"/>
        <v>0</v>
      </c>
      <c r="AM64" s="477">
        <f t="shared" si="66"/>
        <v>0</v>
      </c>
      <c r="AN64" s="477">
        <f t="shared" si="66"/>
        <v>0</v>
      </c>
      <c r="AO64" s="477">
        <f t="shared" si="66"/>
        <v>0</v>
      </c>
      <c r="AP64" s="477">
        <f t="shared" si="66"/>
        <v>0</v>
      </c>
      <c r="AQ64" s="477">
        <f t="shared" si="66"/>
        <v>0</v>
      </c>
      <c r="AR64" s="477">
        <f t="shared" si="74"/>
        <v>0</v>
      </c>
      <c r="AS64" s="477">
        <f t="shared" si="74"/>
        <v>0</v>
      </c>
      <c r="AT64" s="477">
        <f t="shared" si="74"/>
        <v>0</v>
      </c>
      <c r="AU64" s="477">
        <f t="shared" si="74"/>
        <v>0</v>
      </c>
      <c r="AV64" s="477">
        <f t="shared" si="74"/>
        <v>0</v>
      </c>
      <c r="AW64" s="477">
        <f t="shared" si="74"/>
        <v>0</v>
      </c>
      <c r="AX64" s="477">
        <f t="shared" si="74"/>
        <v>0</v>
      </c>
      <c r="AY64" s="477">
        <f t="shared" si="74"/>
        <v>0</v>
      </c>
      <c r="AZ64" s="477">
        <f t="shared" si="74"/>
        <v>0</v>
      </c>
      <c r="BA64" s="477">
        <f t="shared" si="74"/>
        <v>0</v>
      </c>
      <c r="BB64" s="477">
        <f t="shared" si="74"/>
        <v>0</v>
      </c>
      <c r="BC64" s="477">
        <f t="shared" si="74"/>
        <v>0</v>
      </c>
      <c r="BD64" s="477">
        <f t="shared" si="74"/>
        <v>0</v>
      </c>
      <c r="BE64" s="477">
        <f t="shared" si="74"/>
        <v>0</v>
      </c>
      <c r="BF64" s="477">
        <f t="shared" si="74"/>
        <v>0</v>
      </c>
    </row>
    <row r="65" spans="1:58">
      <c r="A65" s="499" t="s">
        <v>1288</v>
      </c>
      <c r="B65" s="495">
        <f t="shared" ref="B65:B73" si="76">B55+86400+H55-G55</f>
        <v>657125565</v>
      </c>
      <c r="C65" s="492" t="s">
        <v>8412</v>
      </c>
      <c r="D65" s="467">
        <v>111</v>
      </c>
      <c r="F65" s="17" t="str">
        <f t="shared" ref="F65:F72" si="77">_xlfn.TEXTJOIN("+",TRUE,$C65:$D65)</f>
        <v>MAC+111</v>
      </c>
      <c r="G65" s="493">
        <f t="shared" si="11"/>
        <v>655165365</v>
      </c>
      <c r="H65" s="493">
        <f t="shared" si="12"/>
        <v>657127375</v>
      </c>
      <c r="I65" s="17">
        <f t="shared" si="13"/>
        <v>1</v>
      </c>
      <c r="J65" s="17">
        <f t="shared" si="5"/>
        <v>8</v>
      </c>
      <c r="L65" t="str">
        <f t="shared" ref="L65:L72" si="78">IF($C65="ON","",IF($C65="N1",$D65,L64))</f>
        <v/>
      </c>
      <c r="M65" t="str">
        <f t="shared" ref="M65:M72" si="79">IF($C65="ON","",IF($C65="N2",$D65,IF($F65="MAC+103",3,IF($F65="MAC+104",2,M64))))</f>
        <v/>
      </c>
      <c r="N65" t="str">
        <f t="shared" si="44"/>
        <v/>
      </c>
      <c r="O65" t="str">
        <f t="shared" ref="O65:O72" si="80">IF($C65="ON","",IF($C65="STAT",$D65,O64))</f>
        <v/>
      </c>
      <c r="P65" s="3" t="str">
        <f t="shared" si="17"/>
        <v/>
      </c>
      <c r="Q65" t="str">
        <f t="shared" ref="Q65:Q72" si="81">IF(F65="ON","",IF($F65="MAC+105",300,IF($F65="MAC+106",600,IF($F65="MAC+107",840,IF($F65="MAC+108",1200,IF($F65="MAC+109",1800,IF($F65="MAC+110",43200,Q64)))))))</f>
        <v/>
      </c>
      <c r="R65" s="17" t="str">
        <f t="shared" ref="R65:R72" si="82">IF($C65="ON","",IF($F65="MAC+102","102",R64))</f>
        <v/>
      </c>
      <c r="T65" s="466">
        <f t="shared" ref="T65:U72" si="83">IF($M65="",0,T$1/64/$M65)</f>
        <v>0</v>
      </c>
      <c r="U65" s="466">
        <f t="shared" si="83"/>
        <v>0</v>
      </c>
      <c r="V65">
        <f t="shared" ref="V65:V72" si="84">IF($O65="",0,V$1/$O65)</f>
        <v>0</v>
      </c>
      <c r="W65">
        <f t="shared" ref="W65:W72" si="85">IF($L65="",0,W$1/$L65)</f>
        <v>0</v>
      </c>
      <c r="X65" s="500">
        <f t="shared" si="23"/>
        <v>0</v>
      </c>
      <c r="Y65" s="500">
        <f t="shared" ref="Y65:Y72" si="86">IF($M65="",0,IF($Q65="",1,Q65/43200)*X65)</f>
        <v>0</v>
      </c>
      <c r="Z65">
        <f t="shared" si="7"/>
        <v>0</v>
      </c>
      <c r="AB65" s="477">
        <f t="shared" si="66"/>
        <v>0</v>
      </c>
      <c r="AC65" s="477">
        <f t="shared" si="66"/>
        <v>0</v>
      </c>
      <c r="AD65" s="477">
        <f t="shared" si="66"/>
        <v>0</v>
      </c>
      <c r="AE65" s="477">
        <f t="shared" si="66"/>
        <v>0</v>
      </c>
      <c r="AF65" s="477">
        <f t="shared" si="66"/>
        <v>0</v>
      </c>
      <c r="AG65" s="477">
        <f t="shared" si="66"/>
        <v>0</v>
      </c>
      <c r="AH65" s="477">
        <f t="shared" si="66"/>
        <v>0</v>
      </c>
      <c r="AI65" s="477">
        <f t="shared" si="66"/>
        <v>0</v>
      </c>
      <c r="AJ65" s="477">
        <f t="shared" si="66"/>
        <v>0</v>
      </c>
      <c r="AK65" s="477">
        <f t="shared" si="66"/>
        <v>0</v>
      </c>
      <c r="AL65" s="477">
        <f t="shared" si="66"/>
        <v>0</v>
      </c>
      <c r="AM65" s="477">
        <f t="shared" si="66"/>
        <v>0</v>
      </c>
      <c r="AN65" s="477">
        <f t="shared" si="66"/>
        <v>0</v>
      </c>
      <c r="AO65" s="477">
        <f t="shared" si="66"/>
        <v>0</v>
      </c>
      <c r="AP65" s="477">
        <f t="shared" si="66"/>
        <v>0</v>
      </c>
      <c r="AQ65" s="477">
        <f t="shared" si="66"/>
        <v>0</v>
      </c>
      <c r="AR65" s="477">
        <f t="shared" si="74"/>
        <v>0</v>
      </c>
      <c r="AS65" s="477">
        <f t="shared" si="74"/>
        <v>0</v>
      </c>
      <c r="AT65" s="477">
        <f t="shared" si="74"/>
        <v>0</v>
      </c>
      <c r="AU65" s="477">
        <f t="shared" si="74"/>
        <v>0</v>
      </c>
      <c r="AV65" s="477">
        <f t="shared" si="74"/>
        <v>0</v>
      </c>
      <c r="AW65" s="477">
        <f t="shared" si="74"/>
        <v>0</v>
      </c>
      <c r="AX65" s="477">
        <f t="shared" si="74"/>
        <v>0</v>
      </c>
      <c r="AY65" s="477">
        <f t="shared" si="74"/>
        <v>0</v>
      </c>
      <c r="AZ65" s="477">
        <f t="shared" si="74"/>
        <v>0</v>
      </c>
      <c r="BA65" s="477">
        <f t="shared" si="74"/>
        <v>0</v>
      </c>
      <c r="BB65" s="477">
        <f t="shared" si="74"/>
        <v>0</v>
      </c>
      <c r="BC65" s="477">
        <f t="shared" si="74"/>
        <v>0</v>
      </c>
      <c r="BD65" s="477">
        <f t="shared" si="74"/>
        <v>0</v>
      </c>
      <c r="BE65" s="477">
        <f t="shared" si="74"/>
        <v>0</v>
      </c>
      <c r="BF65" s="477">
        <f t="shared" si="74"/>
        <v>0</v>
      </c>
    </row>
    <row r="66" spans="1:58">
      <c r="A66" s="499" t="s">
        <v>1517</v>
      </c>
      <c r="B66" s="495">
        <f t="shared" si="76"/>
        <v>657126165</v>
      </c>
      <c r="C66" s="492" t="s">
        <v>776</v>
      </c>
      <c r="D66" s="467">
        <v>360</v>
      </c>
      <c r="F66" s="17" t="str">
        <f t="shared" si="77"/>
        <v>N2+360</v>
      </c>
      <c r="G66" s="493">
        <f t="shared" si="11"/>
        <v>655165365</v>
      </c>
      <c r="H66" s="493">
        <f t="shared" si="12"/>
        <v>657127375</v>
      </c>
      <c r="I66" s="17">
        <f t="shared" si="13"/>
        <v>2</v>
      </c>
      <c r="J66" s="17">
        <f t="shared" si="5"/>
        <v>7</v>
      </c>
      <c r="L66" t="str">
        <f t="shared" si="78"/>
        <v/>
      </c>
      <c r="M66">
        <f t="shared" si="79"/>
        <v>360</v>
      </c>
      <c r="N66" t="str">
        <f t="shared" si="44"/>
        <v/>
      </c>
      <c r="O66" t="str">
        <f t="shared" si="80"/>
        <v/>
      </c>
      <c r="P66" s="3" t="str">
        <f t="shared" si="17"/>
        <v/>
      </c>
      <c r="Q66" t="str">
        <f t="shared" si="81"/>
        <v/>
      </c>
      <c r="R66" s="17" t="str">
        <f t="shared" si="82"/>
        <v/>
      </c>
      <c r="T66" s="466">
        <f t="shared" si="83"/>
        <v>2.282986111111111E-2</v>
      </c>
      <c r="U66" s="466">
        <f t="shared" si="83"/>
        <v>9.0581597222222227E-2</v>
      </c>
      <c r="V66">
        <f t="shared" si="84"/>
        <v>0</v>
      </c>
      <c r="W66">
        <f t="shared" si="85"/>
        <v>0</v>
      </c>
      <c r="X66" s="500">
        <f t="shared" si="23"/>
        <v>3.5166666666666666</v>
      </c>
      <c r="Y66" s="500">
        <f t="shared" si="86"/>
        <v>3.5166666666666666</v>
      </c>
      <c r="Z66">
        <f t="shared" si="7"/>
        <v>0</v>
      </c>
      <c r="AB66" s="477">
        <f t="shared" si="66"/>
        <v>0</v>
      </c>
      <c r="AC66" s="477">
        <f t="shared" si="66"/>
        <v>0</v>
      </c>
      <c r="AD66" s="477">
        <f t="shared" si="66"/>
        <v>0</v>
      </c>
      <c r="AE66" s="477">
        <f t="shared" si="66"/>
        <v>3.6072482638888888</v>
      </c>
      <c r="AF66" s="477">
        <f t="shared" si="66"/>
        <v>3.6072482638888888</v>
      </c>
      <c r="AG66" s="477">
        <f t="shared" si="66"/>
        <v>3.6072482638888888</v>
      </c>
      <c r="AH66" s="477">
        <f t="shared" si="66"/>
        <v>3.6072482638888888</v>
      </c>
      <c r="AI66" s="477">
        <f t="shared" si="66"/>
        <v>2.282986111111111E-2</v>
      </c>
      <c r="AJ66" s="477">
        <f t="shared" si="66"/>
        <v>2.282986111111111E-2</v>
      </c>
      <c r="AK66" s="477">
        <f t="shared" si="66"/>
        <v>2.282986111111111E-2</v>
      </c>
      <c r="AL66" s="477">
        <f t="shared" si="66"/>
        <v>2.282986111111111E-2</v>
      </c>
      <c r="AM66" s="477">
        <f t="shared" si="66"/>
        <v>3.6300781249999998</v>
      </c>
      <c r="AN66" s="477">
        <f t="shared" si="66"/>
        <v>3.6300781249999998</v>
      </c>
      <c r="AO66" s="477">
        <f t="shared" si="66"/>
        <v>3.6300781249999998</v>
      </c>
      <c r="AP66" s="477">
        <f t="shared" si="66"/>
        <v>3.6300781249999998</v>
      </c>
      <c r="AQ66" s="477">
        <f t="shared" si="66"/>
        <v>0</v>
      </c>
      <c r="AR66" s="477">
        <f t="shared" si="74"/>
        <v>0</v>
      </c>
      <c r="AS66" s="477">
        <f t="shared" si="74"/>
        <v>0</v>
      </c>
      <c r="AT66" s="477">
        <f t="shared" si="74"/>
        <v>0</v>
      </c>
      <c r="AU66" s="477">
        <f t="shared" si="74"/>
        <v>3.6072482638888888</v>
      </c>
      <c r="AV66" s="477">
        <f t="shared" si="74"/>
        <v>3.6072482638888888</v>
      </c>
      <c r="AW66" s="477">
        <f t="shared" si="74"/>
        <v>3.6072482638888888</v>
      </c>
      <c r="AX66" s="477">
        <f t="shared" si="74"/>
        <v>3.6072482638888888</v>
      </c>
      <c r="AY66" s="477">
        <f t="shared" si="74"/>
        <v>2.282986111111111E-2</v>
      </c>
      <c r="AZ66" s="477">
        <f t="shared" si="74"/>
        <v>2.282986111111111E-2</v>
      </c>
      <c r="BA66" s="477">
        <f t="shared" si="74"/>
        <v>2.282986111111111E-2</v>
      </c>
      <c r="BB66" s="477">
        <f t="shared" si="74"/>
        <v>2.282986111111111E-2</v>
      </c>
      <c r="BC66" s="477">
        <f t="shared" si="74"/>
        <v>3.6300781249999998</v>
      </c>
      <c r="BD66" s="477">
        <f t="shared" si="74"/>
        <v>3.6300781249999998</v>
      </c>
      <c r="BE66" s="477">
        <f t="shared" si="74"/>
        <v>3.6300781249999998</v>
      </c>
      <c r="BF66" s="477">
        <f t="shared" si="74"/>
        <v>3.6300781249999998</v>
      </c>
    </row>
    <row r="67" spans="1:58">
      <c r="A67" s="499" t="s">
        <v>1523</v>
      </c>
      <c r="B67" s="495">
        <f t="shared" si="76"/>
        <v>657126168</v>
      </c>
      <c r="C67" s="492" t="s">
        <v>12</v>
      </c>
      <c r="D67" s="467">
        <v>360</v>
      </c>
      <c r="F67" s="17" t="str">
        <f t="shared" si="77"/>
        <v>N1+360</v>
      </c>
      <c r="G67" s="493">
        <f t="shared" si="11"/>
        <v>655165365</v>
      </c>
      <c r="H67" s="493">
        <f t="shared" si="12"/>
        <v>657127375</v>
      </c>
      <c r="I67" s="17">
        <f t="shared" si="13"/>
        <v>3</v>
      </c>
      <c r="J67" s="17">
        <f t="shared" si="5"/>
        <v>6</v>
      </c>
      <c r="L67">
        <v>180</v>
      </c>
      <c r="M67">
        <f t="shared" si="79"/>
        <v>360</v>
      </c>
      <c r="N67" t="str">
        <f>IF($C67="ON","",IF($C67="N3",$D67,N66))</f>
        <v/>
      </c>
      <c r="O67" t="str">
        <f t="shared" si="80"/>
        <v/>
      </c>
      <c r="P67" s="3" t="str">
        <f t="shared" si="17"/>
        <v/>
      </c>
      <c r="Q67" t="str">
        <f t="shared" si="81"/>
        <v/>
      </c>
      <c r="R67" s="17" t="str">
        <f t="shared" si="82"/>
        <v/>
      </c>
      <c r="T67" s="466">
        <f t="shared" si="83"/>
        <v>2.282986111111111E-2</v>
      </c>
      <c r="U67" s="466">
        <f t="shared" si="83"/>
        <v>9.0581597222222227E-2</v>
      </c>
      <c r="V67">
        <f t="shared" si="84"/>
        <v>0</v>
      </c>
      <c r="W67">
        <f t="shared" si="85"/>
        <v>11.044444444444444</v>
      </c>
      <c r="X67" s="500">
        <f t="shared" si="23"/>
        <v>3.5166666666666666</v>
      </c>
      <c r="Y67" s="500">
        <f t="shared" si="86"/>
        <v>3.5166666666666666</v>
      </c>
      <c r="Z67">
        <f t="shared" si="7"/>
        <v>0</v>
      </c>
      <c r="AB67" s="477">
        <f t="shared" ref="AB67:AQ82" si="87">IF(AB$3&lt;&gt;"",$V67,0)+IF(AB$4&lt;&gt;"",$T67,0)+IF(AB$5&lt;&gt;"",$Y67+IF($R67&lt;&gt;"102",$U67,0),0)+IF(AB$6&lt;&gt;"",$Z67+IF($R67="102",$U67,0),0)+IF(AB$7&lt;&gt;"",$W67,0)</f>
        <v>11.044444444444444</v>
      </c>
      <c r="AC67" s="477">
        <f t="shared" si="87"/>
        <v>0</v>
      </c>
      <c r="AD67" s="477">
        <f t="shared" si="87"/>
        <v>11.044444444444444</v>
      </c>
      <c r="AE67" s="477">
        <f t="shared" si="87"/>
        <v>3.6072482638888888</v>
      </c>
      <c r="AF67" s="477">
        <f t="shared" si="87"/>
        <v>14.651692708333332</v>
      </c>
      <c r="AG67" s="477">
        <f t="shared" si="87"/>
        <v>3.6072482638888888</v>
      </c>
      <c r="AH67" s="477">
        <f t="shared" si="87"/>
        <v>14.651692708333332</v>
      </c>
      <c r="AI67" s="477">
        <f t="shared" si="87"/>
        <v>2.282986111111111E-2</v>
      </c>
      <c r="AJ67" s="477">
        <f t="shared" si="87"/>
        <v>11.067274305555555</v>
      </c>
      <c r="AK67" s="477">
        <f t="shared" si="87"/>
        <v>2.282986111111111E-2</v>
      </c>
      <c r="AL67" s="477">
        <f t="shared" si="87"/>
        <v>11.067274305555555</v>
      </c>
      <c r="AM67" s="477">
        <f t="shared" si="87"/>
        <v>3.6300781249999998</v>
      </c>
      <c r="AN67" s="477">
        <f t="shared" si="87"/>
        <v>14.674522569444445</v>
      </c>
      <c r="AO67" s="477">
        <f t="shared" si="87"/>
        <v>3.6300781249999998</v>
      </c>
      <c r="AP67" s="477">
        <f t="shared" si="87"/>
        <v>14.674522569444445</v>
      </c>
      <c r="AQ67" s="477">
        <f t="shared" si="87"/>
        <v>0</v>
      </c>
      <c r="AR67" s="477">
        <f t="shared" si="74"/>
        <v>11.044444444444444</v>
      </c>
      <c r="AS67" s="477">
        <f t="shared" si="74"/>
        <v>0</v>
      </c>
      <c r="AT67" s="477">
        <f t="shared" si="74"/>
        <v>11.044444444444444</v>
      </c>
      <c r="AU67" s="477">
        <f t="shared" si="74"/>
        <v>3.6072482638888888</v>
      </c>
      <c r="AV67" s="477">
        <f t="shared" si="74"/>
        <v>14.651692708333332</v>
      </c>
      <c r="AW67" s="477">
        <f t="shared" si="74"/>
        <v>3.6072482638888888</v>
      </c>
      <c r="AX67" s="477">
        <f t="shared" si="74"/>
        <v>14.651692708333332</v>
      </c>
      <c r="AY67" s="477">
        <f t="shared" si="74"/>
        <v>2.282986111111111E-2</v>
      </c>
      <c r="AZ67" s="477">
        <f t="shared" si="74"/>
        <v>11.067274305555555</v>
      </c>
      <c r="BA67" s="477">
        <f t="shared" si="74"/>
        <v>2.282986111111111E-2</v>
      </c>
      <c r="BB67" s="477">
        <f t="shared" si="74"/>
        <v>11.067274305555555</v>
      </c>
      <c r="BC67" s="477">
        <f t="shared" si="74"/>
        <v>3.6300781249999998</v>
      </c>
      <c r="BD67" s="477">
        <f t="shared" si="74"/>
        <v>14.674522569444445</v>
      </c>
      <c r="BE67" s="477">
        <f t="shared" si="74"/>
        <v>3.6300781249999998</v>
      </c>
      <c r="BF67" s="477">
        <f t="shared" si="74"/>
        <v>14.674522569444445</v>
      </c>
    </row>
    <row r="68" spans="1:58">
      <c r="A68" s="499" t="s">
        <v>1160</v>
      </c>
      <c r="B68" s="495">
        <f t="shared" si="76"/>
        <v>657126171</v>
      </c>
      <c r="C68" s="492" t="s">
        <v>773</v>
      </c>
      <c r="D68" s="467">
        <v>7200</v>
      </c>
      <c r="F68" s="17" t="str">
        <f t="shared" si="77"/>
        <v>N3+7200</v>
      </c>
      <c r="G68" s="493">
        <f t="shared" si="11"/>
        <v>655165365</v>
      </c>
      <c r="H68" s="493">
        <f t="shared" si="12"/>
        <v>657127375</v>
      </c>
      <c r="I68" s="17">
        <f t="shared" si="13"/>
        <v>4</v>
      </c>
      <c r="J68" s="17">
        <f t="shared" si="5"/>
        <v>5</v>
      </c>
      <c r="L68">
        <f t="shared" si="78"/>
        <v>180</v>
      </c>
      <c r="M68">
        <f t="shared" si="79"/>
        <v>360</v>
      </c>
      <c r="N68">
        <f t="shared" si="44"/>
        <v>7200</v>
      </c>
      <c r="O68" t="str">
        <f t="shared" si="80"/>
        <v/>
      </c>
      <c r="P68" s="3" t="str">
        <f t="shared" si="17"/>
        <v/>
      </c>
      <c r="Q68" t="str">
        <f t="shared" si="81"/>
        <v/>
      </c>
      <c r="R68" s="17" t="str">
        <f t="shared" si="82"/>
        <v/>
      </c>
      <c r="T68" s="466">
        <f t="shared" si="83"/>
        <v>2.282986111111111E-2</v>
      </c>
      <c r="U68" s="466">
        <f t="shared" si="83"/>
        <v>9.0581597222222227E-2</v>
      </c>
      <c r="V68">
        <f t="shared" si="84"/>
        <v>0</v>
      </c>
      <c r="W68">
        <f t="shared" si="85"/>
        <v>11.044444444444444</v>
      </c>
      <c r="X68" s="500">
        <f t="shared" si="23"/>
        <v>3.5166666666666666</v>
      </c>
      <c r="Y68" s="500">
        <f t="shared" si="86"/>
        <v>3.5166666666666666</v>
      </c>
      <c r="Z68">
        <f t="shared" si="7"/>
        <v>2.5244444444444443</v>
      </c>
      <c r="AB68" s="477">
        <f t="shared" si="87"/>
        <v>11.044444444444444</v>
      </c>
      <c r="AC68" s="477">
        <f t="shared" si="87"/>
        <v>2.5244444444444443</v>
      </c>
      <c r="AD68" s="477">
        <f t="shared" si="87"/>
        <v>13.568888888888889</v>
      </c>
      <c r="AE68" s="477">
        <f t="shared" si="87"/>
        <v>3.6072482638888888</v>
      </c>
      <c r="AF68" s="477">
        <f t="shared" si="87"/>
        <v>14.651692708333332</v>
      </c>
      <c r="AG68" s="477">
        <f t="shared" si="87"/>
        <v>6.1316927083333326</v>
      </c>
      <c r="AH68" s="477">
        <f t="shared" si="87"/>
        <v>17.176137152777777</v>
      </c>
      <c r="AI68" s="477">
        <f t="shared" si="87"/>
        <v>2.282986111111111E-2</v>
      </c>
      <c r="AJ68" s="477">
        <f t="shared" si="87"/>
        <v>11.067274305555555</v>
      </c>
      <c r="AK68" s="477">
        <f t="shared" si="87"/>
        <v>2.5472743055555553</v>
      </c>
      <c r="AL68" s="477">
        <f t="shared" si="87"/>
        <v>13.59171875</v>
      </c>
      <c r="AM68" s="477">
        <f t="shared" si="87"/>
        <v>3.6300781249999998</v>
      </c>
      <c r="AN68" s="477">
        <f t="shared" si="87"/>
        <v>14.674522569444445</v>
      </c>
      <c r="AO68" s="477">
        <f t="shared" si="87"/>
        <v>6.1545225694444436</v>
      </c>
      <c r="AP68" s="477">
        <f t="shared" si="87"/>
        <v>17.19896701388889</v>
      </c>
      <c r="AQ68" s="477">
        <f t="shared" si="87"/>
        <v>0</v>
      </c>
      <c r="AR68" s="477">
        <f t="shared" si="74"/>
        <v>11.044444444444444</v>
      </c>
      <c r="AS68" s="477">
        <f t="shared" si="74"/>
        <v>2.5244444444444443</v>
      </c>
      <c r="AT68" s="477">
        <f t="shared" si="74"/>
        <v>13.568888888888889</v>
      </c>
      <c r="AU68" s="477">
        <f t="shared" si="74"/>
        <v>3.6072482638888888</v>
      </c>
      <c r="AV68" s="477">
        <f t="shared" si="74"/>
        <v>14.651692708333332</v>
      </c>
      <c r="AW68" s="477">
        <f t="shared" si="74"/>
        <v>6.1316927083333326</v>
      </c>
      <c r="AX68" s="477">
        <f t="shared" si="74"/>
        <v>17.176137152777777</v>
      </c>
      <c r="AY68" s="477">
        <f t="shared" si="74"/>
        <v>2.282986111111111E-2</v>
      </c>
      <c r="AZ68" s="477">
        <f t="shared" si="74"/>
        <v>11.067274305555555</v>
      </c>
      <c r="BA68" s="477">
        <f t="shared" si="74"/>
        <v>2.5472743055555553</v>
      </c>
      <c r="BB68" s="477">
        <f t="shared" si="74"/>
        <v>13.59171875</v>
      </c>
      <c r="BC68" s="477">
        <f t="shared" si="74"/>
        <v>3.6300781249999998</v>
      </c>
      <c r="BD68" s="477">
        <f t="shared" si="74"/>
        <v>14.674522569444445</v>
      </c>
      <c r="BE68" s="477">
        <f t="shared" si="74"/>
        <v>6.1545225694444436</v>
      </c>
      <c r="BF68" s="477">
        <f t="shared" si="74"/>
        <v>17.19896701388889</v>
      </c>
    </row>
    <row r="69" spans="1:58">
      <c r="A69" s="499" t="s">
        <v>1164</v>
      </c>
      <c r="B69" s="495">
        <f t="shared" si="76"/>
        <v>657126174</v>
      </c>
      <c r="C69" s="492" t="s">
        <v>8411</v>
      </c>
      <c r="D69" s="467">
        <v>1800</v>
      </c>
      <c r="F69" s="17" t="str">
        <f t="shared" si="77"/>
        <v>STAT+1800</v>
      </c>
      <c r="G69" s="493">
        <f t="shared" si="11"/>
        <v>655165365</v>
      </c>
      <c r="H69" s="493">
        <f t="shared" si="12"/>
        <v>657127375</v>
      </c>
      <c r="I69" s="17">
        <f t="shared" si="13"/>
        <v>5</v>
      </c>
      <c r="J69" s="17">
        <f t="shared" si="5"/>
        <v>4</v>
      </c>
      <c r="L69">
        <f t="shared" si="78"/>
        <v>180</v>
      </c>
      <c r="M69">
        <f t="shared" si="79"/>
        <v>360</v>
      </c>
      <c r="N69">
        <f t="shared" si="44"/>
        <v>7200</v>
      </c>
      <c r="O69">
        <f t="shared" si="80"/>
        <v>1800</v>
      </c>
      <c r="P69" s="3" t="str">
        <f t="shared" si="17"/>
        <v/>
      </c>
      <c r="Q69" t="str">
        <f t="shared" si="81"/>
        <v/>
      </c>
      <c r="R69" s="17" t="str">
        <f t="shared" si="82"/>
        <v/>
      </c>
      <c r="T69" s="466">
        <f t="shared" si="83"/>
        <v>2.282986111111111E-2</v>
      </c>
      <c r="U69" s="466">
        <f t="shared" si="83"/>
        <v>9.0581597222222227E-2</v>
      </c>
      <c r="V69">
        <f t="shared" si="84"/>
        <v>0.28444444444444444</v>
      </c>
      <c r="W69">
        <f t="shared" si="85"/>
        <v>11.044444444444444</v>
      </c>
      <c r="X69" s="500">
        <f t="shared" si="23"/>
        <v>3.5166666666666666</v>
      </c>
      <c r="Y69" s="500">
        <f t="shared" si="86"/>
        <v>3.5166666666666666</v>
      </c>
      <c r="Z69">
        <f t="shared" si="7"/>
        <v>2.5244444444444443</v>
      </c>
      <c r="AB69" s="477">
        <f t="shared" si="87"/>
        <v>11.044444444444444</v>
      </c>
      <c r="AC69" s="477">
        <f t="shared" si="87"/>
        <v>2.5244444444444443</v>
      </c>
      <c r="AD69" s="477">
        <f t="shared" si="87"/>
        <v>13.568888888888889</v>
      </c>
      <c r="AE69" s="477">
        <f t="shared" si="87"/>
        <v>3.6072482638888888</v>
      </c>
      <c r="AF69" s="477">
        <f t="shared" si="87"/>
        <v>14.651692708333332</v>
      </c>
      <c r="AG69" s="477">
        <f t="shared" si="87"/>
        <v>6.1316927083333326</v>
      </c>
      <c r="AH69" s="477">
        <f t="shared" si="87"/>
        <v>17.176137152777777</v>
      </c>
      <c r="AI69" s="477">
        <f t="shared" si="87"/>
        <v>2.282986111111111E-2</v>
      </c>
      <c r="AJ69" s="477">
        <f t="shared" si="87"/>
        <v>11.067274305555555</v>
      </c>
      <c r="AK69" s="477">
        <f t="shared" si="87"/>
        <v>2.5472743055555553</v>
      </c>
      <c r="AL69" s="477">
        <f t="shared" si="87"/>
        <v>13.59171875</v>
      </c>
      <c r="AM69" s="477">
        <f t="shared" si="87"/>
        <v>3.6300781249999998</v>
      </c>
      <c r="AN69" s="477">
        <f t="shared" si="87"/>
        <v>14.674522569444445</v>
      </c>
      <c r="AO69" s="477">
        <f t="shared" si="87"/>
        <v>6.1545225694444436</v>
      </c>
      <c r="AP69" s="477">
        <f t="shared" si="87"/>
        <v>17.19896701388889</v>
      </c>
      <c r="AQ69" s="477">
        <f t="shared" si="87"/>
        <v>0.28444444444444444</v>
      </c>
      <c r="AR69" s="477">
        <f t="shared" si="74"/>
        <v>11.328888888888889</v>
      </c>
      <c r="AS69" s="477">
        <f t="shared" si="74"/>
        <v>2.8088888888888888</v>
      </c>
      <c r="AT69" s="477">
        <f t="shared" si="74"/>
        <v>13.853333333333333</v>
      </c>
      <c r="AU69" s="477">
        <f t="shared" si="74"/>
        <v>3.8916927083333333</v>
      </c>
      <c r="AV69" s="477">
        <f t="shared" si="74"/>
        <v>14.936137152777778</v>
      </c>
      <c r="AW69" s="477">
        <f t="shared" si="74"/>
        <v>6.4161371527777771</v>
      </c>
      <c r="AX69" s="477">
        <f t="shared" si="74"/>
        <v>17.460581597222223</v>
      </c>
      <c r="AY69" s="477">
        <f t="shared" si="74"/>
        <v>0.30727430555555557</v>
      </c>
      <c r="AZ69" s="477">
        <f t="shared" si="74"/>
        <v>11.35171875</v>
      </c>
      <c r="BA69" s="477">
        <f t="shared" si="74"/>
        <v>2.8317187499999998</v>
      </c>
      <c r="BB69" s="477">
        <f t="shared" si="74"/>
        <v>13.876163194444445</v>
      </c>
      <c r="BC69" s="477">
        <f t="shared" si="74"/>
        <v>3.9145225694444443</v>
      </c>
      <c r="BD69" s="477">
        <f t="shared" si="74"/>
        <v>14.958967013888888</v>
      </c>
      <c r="BE69" s="477">
        <f t="shared" si="74"/>
        <v>6.4389670138888881</v>
      </c>
      <c r="BF69" s="477">
        <f t="shared" si="74"/>
        <v>17.483411458333332</v>
      </c>
    </row>
    <row r="70" spans="1:58">
      <c r="A70" s="499" t="s">
        <v>1533</v>
      </c>
      <c r="B70" s="495">
        <f t="shared" si="76"/>
        <v>657126765</v>
      </c>
      <c r="C70" s="492" t="s">
        <v>8412</v>
      </c>
      <c r="D70" s="467">
        <v>104</v>
      </c>
      <c r="F70" s="17" t="str">
        <f t="shared" si="77"/>
        <v>MAC+104</v>
      </c>
      <c r="G70" s="493">
        <f t="shared" si="11"/>
        <v>655165365</v>
      </c>
      <c r="H70" s="493">
        <f t="shared" si="12"/>
        <v>657127375</v>
      </c>
      <c r="I70" s="17">
        <f t="shared" si="13"/>
        <v>6</v>
      </c>
      <c r="J70" s="17">
        <f t="shared" si="5"/>
        <v>3</v>
      </c>
      <c r="L70">
        <f t="shared" si="78"/>
        <v>180</v>
      </c>
      <c r="M70">
        <f t="shared" si="79"/>
        <v>2</v>
      </c>
      <c r="N70">
        <f t="shared" si="44"/>
        <v>7200</v>
      </c>
      <c r="O70">
        <f t="shared" si="80"/>
        <v>1800</v>
      </c>
      <c r="P70" s="3" t="str">
        <f t="shared" si="17"/>
        <v>disabled</v>
      </c>
      <c r="Q70" t="str">
        <f t="shared" si="81"/>
        <v/>
      </c>
      <c r="R70" s="17" t="str">
        <f t="shared" si="82"/>
        <v/>
      </c>
      <c r="T70" s="466">
        <f t="shared" si="83"/>
        <v>4.109375</v>
      </c>
      <c r="U70" s="466">
        <f t="shared" si="83"/>
        <v>16.3046875</v>
      </c>
      <c r="V70">
        <f t="shared" si="84"/>
        <v>0.28444444444444444</v>
      </c>
      <c r="W70">
        <f t="shared" si="85"/>
        <v>11.044444444444444</v>
      </c>
      <c r="X70" s="500">
        <f t="shared" si="23"/>
        <v>0</v>
      </c>
      <c r="Y70" s="500">
        <f t="shared" si="86"/>
        <v>0</v>
      </c>
      <c r="Z70">
        <f t="shared" si="7"/>
        <v>2.5244444444444443</v>
      </c>
      <c r="AB70" s="477">
        <f t="shared" si="87"/>
        <v>11.044444444444444</v>
      </c>
      <c r="AC70" s="477">
        <f t="shared" si="87"/>
        <v>2.5244444444444443</v>
      </c>
      <c r="AD70" s="477">
        <f t="shared" si="87"/>
        <v>13.568888888888889</v>
      </c>
      <c r="AE70" s="477">
        <f t="shared" si="87"/>
        <v>16.3046875</v>
      </c>
      <c r="AF70" s="477">
        <f t="shared" si="87"/>
        <v>27.349131944444444</v>
      </c>
      <c r="AG70" s="477">
        <f t="shared" si="87"/>
        <v>18.829131944444445</v>
      </c>
      <c r="AH70" s="477">
        <f t="shared" si="87"/>
        <v>29.873576388888889</v>
      </c>
      <c r="AI70" s="477">
        <f t="shared" si="87"/>
        <v>4.109375</v>
      </c>
      <c r="AJ70" s="477">
        <f t="shared" si="87"/>
        <v>15.153819444444444</v>
      </c>
      <c r="AK70" s="477">
        <f t="shared" si="87"/>
        <v>6.6338194444444447</v>
      </c>
      <c r="AL70" s="477">
        <f t="shared" si="87"/>
        <v>17.678263888888889</v>
      </c>
      <c r="AM70" s="477">
        <f t="shared" si="87"/>
        <v>20.4140625</v>
      </c>
      <c r="AN70" s="477">
        <f t="shared" si="87"/>
        <v>31.458506944444444</v>
      </c>
      <c r="AO70" s="477">
        <f t="shared" si="87"/>
        <v>22.938506944444445</v>
      </c>
      <c r="AP70" s="477">
        <f t="shared" si="87"/>
        <v>33.982951388888893</v>
      </c>
      <c r="AQ70" s="477">
        <f t="shared" si="87"/>
        <v>0.28444444444444444</v>
      </c>
      <c r="AR70" s="477">
        <f t="shared" si="74"/>
        <v>11.328888888888889</v>
      </c>
      <c r="AS70" s="477">
        <f t="shared" si="74"/>
        <v>2.8088888888888888</v>
      </c>
      <c r="AT70" s="477">
        <f t="shared" si="74"/>
        <v>13.853333333333333</v>
      </c>
      <c r="AU70" s="477">
        <f t="shared" si="74"/>
        <v>16.589131944444443</v>
      </c>
      <c r="AV70" s="477">
        <f t="shared" si="74"/>
        <v>27.633576388888887</v>
      </c>
      <c r="AW70" s="477">
        <f t="shared" si="74"/>
        <v>19.113576388888887</v>
      </c>
      <c r="AX70" s="477">
        <f t="shared" si="74"/>
        <v>30.158020833333332</v>
      </c>
      <c r="AY70" s="477">
        <f t="shared" si="74"/>
        <v>4.3938194444444445</v>
      </c>
      <c r="AZ70" s="477">
        <f t="shared" si="74"/>
        <v>15.438263888888889</v>
      </c>
      <c r="BA70" s="477">
        <f t="shared" si="74"/>
        <v>6.9182638888888892</v>
      </c>
      <c r="BB70" s="477">
        <f t="shared" si="74"/>
        <v>17.962708333333332</v>
      </c>
      <c r="BC70" s="477">
        <f t="shared" si="74"/>
        <v>20.698506944444446</v>
      </c>
      <c r="BD70" s="477">
        <f t="shared" si="74"/>
        <v>31.742951388888891</v>
      </c>
      <c r="BE70" s="477">
        <f t="shared" si="74"/>
        <v>23.222951388888891</v>
      </c>
      <c r="BF70" s="477">
        <f t="shared" si="74"/>
        <v>34.267395833333339</v>
      </c>
    </row>
    <row r="71" spans="1:58">
      <c r="A71" s="499" t="s">
        <v>8444</v>
      </c>
      <c r="B71" s="495">
        <f t="shared" si="76"/>
        <v>657127365</v>
      </c>
      <c r="C71" s="492" t="s">
        <v>8412</v>
      </c>
      <c r="D71" s="467">
        <v>110</v>
      </c>
      <c r="F71" s="17" t="str">
        <f t="shared" si="77"/>
        <v>MAC+110</v>
      </c>
      <c r="G71" s="493">
        <f t="shared" si="11"/>
        <v>655165365</v>
      </c>
      <c r="H71" s="493">
        <f t="shared" si="12"/>
        <v>657127375</v>
      </c>
      <c r="I71" s="17">
        <f t="shared" si="13"/>
        <v>7</v>
      </c>
      <c r="J71" s="17">
        <f t="shared" si="5"/>
        <v>2</v>
      </c>
      <c r="L71">
        <f t="shared" si="78"/>
        <v>180</v>
      </c>
      <c r="M71">
        <f t="shared" si="79"/>
        <v>2</v>
      </c>
      <c r="N71">
        <f t="shared" si="44"/>
        <v>7200</v>
      </c>
      <c r="O71">
        <f t="shared" si="80"/>
        <v>1800</v>
      </c>
      <c r="P71" s="3" t="str">
        <f t="shared" si="17"/>
        <v/>
      </c>
      <c r="Q71">
        <f t="shared" si="81"/>
        <v>43200</v>
      </c>
      <c r="R71" s="17" t="str">
        <f t="shared" si="82"/>
        <v/>
      </c>
      <c r="T71" s="466">
        <f t="shared" si="83"/>
        <v>4.109375</v>
      </c>
      <c r="U71" s="466">
        <f t="shared" si="83"/>
        <v>16.3046875</v>
      </c>
      <c r="V71">
        <f t="shared" si="84"/>
        <v>0.28444444444444444</v>
      </c>
      <c r="W71">
        <f t="shared" si="85"/>
        <v>11.044444444444444</v>
      </c>
      <c r="X71" s="500">
        <f t="shared" si="23"/>
        <v>633</v>
      </c>
      <c r="Y71" s="500">
        <f t="shared" si="86"/>
        <v>633</v>
      </c>
      <c r="Z71">
        <f t="shared" si="7"/>
        <v>2.5244444444444443</v>
      </c>
      <c r="AB71" s="477">
        <f t="shared" si="87"/>
        <v>11.044444444444444</v>
      </c>
      <c r="AC71" s="477">
        <f t="shared" si="87"/>
        <v>2.5244444444444443</v>
      </c>
      <c r="AD71" s="477">
        <f t="shared" si="87"/>
        <v>13.568888888888889</v>
      </c>
      <c r="AE71" s="477">
        <f t="shared" si="87"/>
        <v>649.3046875</v>
      </c>
      <c r="AF71" s="477">
        <f t="shared" si="87"/>
        <v>660.34913194444448</v>
      </c>
      <c r="AG71" s="477">
        <f t="shared" si="87"/>
        <v>651.8291319444445</v>
      </c>
      <c r="AH71" s="477">
        <f t="shared" si="87"/>
        <v>662.87357638888898</v>
      </c>
      <c r="AI71" s="477">
        <f t="shared" si="87"/>
        <v>4.109375</v>
      </c>
      <c r="AJ71" s="477">
        <f t="shared" si="87"/>
        <v>15.153819444444444</v>
      </c>
      <c r="AK71" s="477">
        <f t="shared" si="87"/>
        <v>6.6338194444444447</v>
      </c>
      <c r="AL71" s="477">
        <f t="shared" si="87"/>
        <v>17.678263888888889</v>
      </c>
      <c r="AM71" s="477">
        <f t="shared" si="87"/>
        <v>653.4140625</v>
      </c>
      <c r="AN71" s="477">
        <f t="shared" si="87"/>
        <v>664.45850694444448</v>
      </c>
      <c r="AO71" s="477">
        <f t="shared" si="87"/>
        <v>655.9385069444445</v>
      </c>
      <c r="AP71" s="477">
        <f t="shared" si="87"/>
        <v>666.98295138888898</v>
      </c>
      <c r="AQ71" s="477">
        <f t="shared" si="87"/>
        <v>0.28444444444444444</v>
      </c>
      <c r="AR71" s="477">
        <f t="shared" ref="AR71:BF82" si="88">IF(AR$3&lt;&gt;"",$V71,0)+IF(AR$4&lt;&gt;"",$T71,0)+IF(AR$5&lt;&gt;"",$Y71+IF($R71&lt;&gt;"102",$U71,0),0)+IF(AR$6&lt;&gt;"",$Z71+IF($R71="102",$U71,0),0)+IF(AR$7&lt;&gt;"",$W71,0)</f>
        <v>11.328888888888889</v>
      </c>
      <c r="AS71" s="477">
        <f t="shared" si="88"/>
        <v>2.8088888888888888</v>
      </c>
      <c r="AT71" s="477">
        <f t="shared" si="88"/>
        <v>13.853333333333333</v>
      </c>
      <c r="AU71" s="477">
        <f t="shared" si="88"/>
        <v>649.58913194444449</v>
      </c>
      <c r="AV71" s="477">
        <f t="shared" si="88"/>
        <v>660.63357638888897</v>
      </c>
      <c r="AW71" s="477">
        <f t="shared" si="88"/>
        <v>652.11357638888899</v>
      </c>
      <c r="AX71" s="477">
        <f t="shared" si="88"/>
        <v>663.15802083333347</v>
      </c>
      <c r="AY71" s="477">
        <f t="shared" si="88"/>
        <v>4.3938194444444445</v>
      </c>
      <c r="AZ71" s="477">
        <f t="shared" si="88"/>
        <v>15.438263888888889</v>
      </c>
      <c r="BA71" s="477">
        <f t="shared" si="88"/>
        <v>6.9182638888888892</v>
      </c>
      <c r="BB71" s="477">
        <f t="shared" si="88"/>
        <v>17.962708333333332</v>
      </c>
      <c r="BC71" s="477">
        <f t="shared" si="88"/>
        <v>653.69850694444449</v>
      </c>
      <c r="BD71" s="477">
        <f t="shared" si="88"/>
        <v>664.74295138888897</v>
      </c>
      <c r="BE71" s="477">
        <f t="shared" si="88"/>
        <v>656.22295138888899</v>
      </c>
      <c r="BF71" s="477">
        <f t="shared" si="88"/>
        <v>667.26739583333347</v>
      </c>
    </row>
    <row r="72" spans="1:58">
      <c r="A72" s="499" t="s">
        <v>2584</v>
      </c>
      <c r="B72" s="495">
        <f t="shared" si="76"/>
        <v>657127370</v>
      </c>
      <c r="C72" s="492" t="s">
        <v>8412</v>
      </c>
      <c r="D72" s="467">
        <v>102</v>
      </c>
      <c r="F72" s="17" t="str">
        <f t="shared" si="77"/>
        <v>MAC+102</v>
      </c>
      <c r="G72" s="493">
        <f t="shared" si="11"/>
        <v>655165365</v>
      </c>
      <c r="H72" s="493">
        <f t="shared" si="12"/>
        <v>657127375</v>
      </c>
      <c r="I72" s="17">
        <f t="shared" si="13"/>
        <v>8</v>
      </c>
      <c r="J72" s="17">
        <f t="shared" si="5"/>
        <v>1</v>
      </c>
      <c r="L72">
        <f t="shared" si="78"/>
        <v>180</v>
      </c>
      <c r="M72">
        <f t="shared" si="79"/>
        <v>2</v>
      </c>
      <c r="N72">
        <f t="shared" si="44"/>
        <v>7200</v>
      </c>
      <c r="O72">
        <f t="shared" si="80"/>
        <v>1800</v>
      </c>
      <c r="P72" s="3" t="str">
        <f t="shared" si="17"/>
        <v/>
      </c>
      <c r="Q72">
        <f t="shared" si="81"/>
        <v>43200</v>
      </c>
      <c r="R72" s="17" t="str">
        <f t="shared" si="82"/>
        <v>102</v>
      </c>
      <c r="T72" s="466">
        <f t="shared" si="83"/>
        <v>4.109375</v>
      </c>
      <c r="U72" s="466">
        <f t="shared" si="83"/>
        <v>16.3046875</v>
      </c>
      <c r="V72">
        <f t="shared" si="84"/>
        <v>0.28444444444444444</v>
      </c>
      <c r="W72">
        <f t="shared" si="85"/>
        <v>11.044444444444444</v>
      </c>
      <c r="X72" s="500">
        <f t="shared" si="23"/>
        <v>633</v>
      </c>
      <c r="Y72" s="500">
        <f t="shared" si="86"/>
        <v>633</v>
      </c>
      <c r="Z72">
        <f t="shared" si="7"/>
        <v>2.5244444444444443</v>
      </c>
      <c r="AB72" s="477">
        <f t="shared" si="87"/>
        <v>11.044444444444444</v>
      </c>
      <c r="AC72" s="477">
        <f t="shared" si="87"/>
        <v>18.829131944444445</v>
      </c>
      <c r="AD72" s="477">
        <f t="shared" si="87"/>
        <v>29.873576388888889</v>
      </c>
      <c r="AE72" s="477">
        <f t="shared" si="87"/>
        <v>633</v>
      </c>
      <c r="AF72" s="477">
        <f t="shared" si="87"/>
        <v>644.04444444444448</v>
      </c>
      <c r="AG72" s="477">
        <f t="shared" si="87"/>
        <v>651.8291319444445</v>
      </c>
      <c r="AH72" s="477">
        <f t="shared" si="87"/>
        <v>662.87357638888898</v>
      </c>
      <c r="AI72" s="477">
        <f t="shared" si="87"/>
        <v>4.109375</v>
      </c>
      <c r="AJ72" s="477">
        <f t="shared" si="87"/>
        <v>15.153819444444444</v>
      </c>
      <c r="AK72" s="477">
        <f t="shared" si="87"/>
        <v>22.938506944444445</v>
      </c>
      <c r="AL72" s="477">
        <f t="shared" si="87"/>
        <v>33.982951388888893</v>
      </c>
      <c r="AM72" s="477">
        <f t="shared" si="87"/>
        <v>637.109375</v>
      </c>
      <c r="AN72" s="477">
        <f t="shared" si="87"/>
        <v>648.15381944444448</v>
      </c>
      <c r="AO72" s="477">
        <f t="shared" si="87"/>
        <v>655.9385069444445</v>
      </c>
      <c r="AP72" s="477">
        <f t="shared" si="87"/>
        <v>666.98295138888898</v>
      </c>
      <c r="AQ72" s="477">
        <f t="shared" si="87"/>
        <v>0.28444444444444444</v>
      </c>
      <c r="AR72" s="477">
        <f t="shared" si="88"/>
        <v>11.328888888888889</v>
      </c>
      <c r="AS72" s="477">
        <f t="shared" si="88"/>
        <v>19.113576388888887</v>
      </c>
      <c r="AT72" s="477">
        <f t="shared" si="88"/>
        <v>30.158020833333332</v>
      </c>
      <c r="AU72" s="477">
        <f t="shared" si="88"/>
        <v>633.28444444444449</v>
      </c>
      <c r="AV72" s="477">
        <f t="shared" si="88"/>
        <v>644.32888888888897</v>
      </c>
      <c r="AW72" s="477">
        <f t="shared" si="88"/>
        <v>652.11357638888899</v>
      </c>
      <c r="AX72" s="477">
        <f t="shared" si="88"/>
        <v>663.15802083333347</v>
      </c>
      <c r="AY72" s="477">
        <f t="shared" si="88"/>
        <v>4.3938194444444445</v>
      </c>
      <c r="AZ72" s="477">
        <f t="shared" si="88"/>
        <v>15.438263888888889</v>
      </c>
      <c r="BA72" s="477">
        <f t="shared" si="88"/>
        <v>23.222951388888887</v>
      </c>
      <c r="BB72" s="477">
        <f t="shared" si="88"/>
        <v>34.267395833333332</v>
      </c>
      <c r="BC72" s="477">
        <f t="shared" si="88"/>
        <v>637.39381944444449</v>
      </c>
      <c r="BD72" s="477">
        <f t="shared" si="88"/>
        <v>648.43826388888897</v>
      </c>
      <c r="BE72" s="477">
        <f t="shared" si="88"/>
        <v>656.22295138888899</v>
      </c>
      <c r="BF72" s="477">
        <f t="shared" si="88"/>
        <v>667.26739583333347</v>
      </c>
    </row>
    <row r="73" spans="1:58">
      <c r="A73" s="498" t="s">
        <v>866</v>
      </c>
      <c r="B73" s="495">
        <f t="shared" si="76"/>
        <v>657127375</v>
      </c>
      <c r="C73" s="492" t="s">
        <v>8418</v>
      </c>
      <c r="D73" s="467"/>
      <c r="F73" s="17" t="str">
        <f>_xlfn.TEXTJOIN("+",TRUE,$C73:$D73)</f>
        <v>OFF</v>
      </c>
      <c r="G73" s="493">
        <f t="shared" si="11"/>
        <v>655165365</v>
      </c>
      <c r="H73" s="493">
        <f t="shared" si="12"/>
        <v>657127375</v>
      </c>
      <c r="I73" s="17">
        <f t="shared" si="13"/>
        <v>9</v>
      </c>
      <c r="J73" s="17">
        <f>IF($C73="OFF",0,J74+1)</f>
        <v>0</v>
      </c>
      <c r="L73">
        <f>IF($C73="ON","",IF($C73="N1",$D73,L72))</f>
        <v>180</v>
      </c>
      <c r="M73">
        <f>IF($C73="ON","",IF($C73="N2",$D73,IF($F73="MAC+103",3,IF($F73="MAC+104",2,M72))))</f>
        <v>2</v>
      </c>
      <c r="N73">
        <f t="shared" si="44"/>
        <v>7200</v>
      </c>
      <c r="O73">
        <f>IF($C73="ON","",IF($C73="STAT",$D73,O72))</f>
        <v>1800</v>
      </c>
      <c r="P73" s="3" t="str">
        <f t="shared" si="17"/>
        <v/>
      </c>
      <c r="Q73">
        <f>IF(F73="ON","",IF($F73="MAC+105",300,IF($F73="MAC+106",600,IF($F73="MAC+107",840,IF($F73="MAC+108",1200,IF($F73="MAC+109",1800,IF($F73="MAC+110",43200,Q72)))))))</f>
        <v>43200</v>
      </c>
      <c r="R73" s="17" t="str">
        <f>IF($C73="ON","",IF($F73="MAC+102","102",R72))</f>
        <v>102</v>
      </c>
      <c r="T73" s="466">
        <f>IF($M73="",0,T$1/64/$M73)</f>
        <v>4.109375</v>
      </c>
      <c r="U73" s="466">
        <f>IF($M73="",0,U$1/64/$M73)</f>
        <v>16.3046875</v>
      </c>
      <c r="V73">
        <f>IF($O73="",0,V$1/$O73)</f>
        <v>0.28444444444444444</v>
      </c>
      <c r="W73">
        <f>IF($L73="",0,W$1/$L73)</f>
        <v>11.044444444444444</v>
      </c>
      <c r="X73" s="500">
        <f t="shared" si="23"/>
        <v>633</v>
      </c>
      <c r="Y73" s="500">
        <f>IF($M73="",0,IF($Q73="",1,Q73/43200)*X73)</f>
        <v>633</v>
      </c>
      <c r="Z73">
        <f t="shared" si="7"/>
        <v>2.5244444444444443</v>
      </c>
      <c r="AB73" s="477">
        <f t="shared" si="87"/>
        <v>11.044444444444444</v>
      </c>
      <c r="AC73" s="477">
        <f t="shared" si="87"/>
        <v>18.829131944444445</v>
      </c>
      <c r="AD73" s="477">
        <f t="shared" si="87"/>
        <v>29.873576388888889</v>
      </c>
      <c r="AE73" s="477">
        <f t="shared" si="87"/>
        <v>633</v>
      </c>
      <c r="AF73" s="477">
        <f t="shared" si="87"/>
        <v>644.04444444444448</v>
      </c>
      <c r="AG73" s="477">
        <f t="shared" si="87"/>
        <v>651.8291319444445</v>
      </c>
      <c r="AH73" s="477">
        <f t="shared" si="87"/>
        <v>662.87357638888898</v>
      </c>
      <c r="AI73" s="477">
        <f t="shared" si="87"/>
        <v>4.109375</v>
      </c>
      <c r="AJ73" s="477">
        <f t="shared" si="87"/>
        <v>15.153819444444444</v>
      </c>
      <c r="AK73" s="477">
        <f t="shared" si="87"/>
        <v>22.938506944444445</v>
      </c>
      <c r="AL73" s="477">
        <f t="shared" si="87"/>
        <v>33.982951388888893</v>
      </c>
      <c r="AM73" s="477">
        <f t="shared" si="87"/>
        <v>637.109375</v>
      </c>
      <c r="AN73" s="477">
        <f t="shared" si="87"/>
        <v>648.15381944444448</v>
      </c>
      <c r="AO73" s="477">
        <f t="shared" si="87"/>
        <v>655.9385069444445</v>
      </c>
      <c r="AP73" s="477">
        <f t="shared" si="87"/>
        <v>666.98295138888898</v>
      </c>
      <c r="AQ73" s="477">
        <f t="shared" si="87"/>
        <v>0.28444444444444444</v>
      </c>
      <c r="AR73" s="477">
        <f t="shared" si="88"/>
        <v>11.328888888888889</v>
      </c>
      <c r="AS73" s="477">
        <f t="shared" si="88"/>
        <v>19.113576388888887</v>
      </c>
      <c r="AT73" s="477">
        <f t="shared" si="88"/>
        <v>30.158020833333332</v>
      </c>
      <c r="AU73" s="477">
        <f t="shared" si="88"/>
        <v>633.28444444444449</v>
      </c>
      <c r="AV73" s="477">
        <f t="shared" si="88"/>
        <v>644.32888888888897</v>
      </c>
      <c r="AW73" s="477">
        <f t="shared" si="88"/>
        <v>652.11357638888899</v>
      </c>
      <c r="AX73" s="477">
        <f t="shared" si="88"/>
        <v>663.15802083333347</v>
      </c>
      <c r="AY73" s="477">
        <f t="shared" si="88"/>
        <v>4.3938194444444445</v>
      </c>
      <c r="AZ73" s="477">
        <f t="shared" si="88"/>
        <v>15.438263888888889</v>
      </c>
      <c r="BA73" s="477">
        <f t="shared" si="88"/>
        <v>23.222951388888887</v>
      </c>
      <c r="BB73" s="477">
        <f t="shared" si="88"/>
        <v>34.267395833333332</v>
      </c>
      <c r="BC73" s="477">
        <f t="shared" si="88"/>
        <v>637.39381944444449</v>
      </c>
      <c r="BD73" s="477">
        <f t="shared" si="88"/>
        <v>648.43826388888897</v>
      </c>
      <c r="BE73" s="477">
        <f t="shared" si="88"/>
        <v>656.22295138888899</v>
      </c>
      <c r="BF73" s="477">
        <f t="shared" si="88"/>
        <v>667.26739583333347</v>
      </c>
    </row>
    <row r="74" spans="1:58">
      <c r="A74" s="498" t="s">
        <v>866</v>
      </c>
      <c r="B74" s="495">
        <f>B64+86400+H64-G64</f>
        <v>657213775</v>
      </c>
      <c r="C74" s="492" t="s">
        <v>1148</v>
      </c>
      <c r="D74" s="467"/>
      <c r="F74" s="17" t="str">
        <f>_xlfn.TEXTJOIN("+",TRUE,$C74:$D74)</f>
        <v>ON</v>
      </c>
      <c r="G74" s="493">
        <f>IF($C74="ON",$B74,G73)</f>
        <v>657213775</v>
      </c>
      <c r="H74" s="493">
        <f>IF($C74="OFF",$B74,H75)</f>
        <v>0</v>
      </c>
      <c r="I74" s="17">
        <f>IF($C74="ON",0,I73+1)</f>
        <v>0</v>
      </c>
      <c r="J74" s="17">
        <f t="shared" si="5"/>
        <v>9</v>
      </c>
      <c r="L74" t="str">
        <f>IF($C74="ON","",IF($C74="N1",$D74,L73))</f>
        <v/>
      </c>
      <c r="M74" t="str">
        <f>IF($C74="ON","",IF($C74="N2",$D74,IF($F74="MAC+103",3,IF($F74="MAC+104",2,M73))))</f>
        <v/>
      </c>
      <c r="N74" t="str">
        <f t="shared" si="44"/>
        <v/>
      </c>
      <c r="O74" t="str">
        <f>IF($C74="ON","",IF($C74="STAT",$D74,O73))</f>
        <v/>
      </c>
      <c r="P74" s="3" t="str">
        <f>IF($C74="ON","",IF(AND($C74="MAC",105&lt;=$D74,$D74&lt;=110),"",IF(AND($C74="MAC",103&lt;=$D74,$D74&lt;=104),"disabled",P73)))</f>
        <v/>
      </c>
      <c r="Q74" t="str">
        <f>IF(F74="ON","",IF($F74="MAC+105",300,IF($F74="MAC+106",600,IF($F74="MAC+107",840,IF($F74="MAC+108",1200,IF($F74="MAC+109",1800,IF($F74="MAC+110",43200,Q73)))))))</f>
        <v/>
      </c>
      <c r="R74" s="17" t="str">
        <f>IF($C74="ON","",IF($F74="MAC+102","102",R73))</f>
        <v/>
      </c>
      <c r="T74" s="466">
        <f>IF($M74="",0,T$1/64/$M74)</f>
        <v>0</v>
      </c>
      <c r="U74" s="466">
        <f>IF($M74="",0,U$1/64/$M74)</f>
        <v>0</v>
      </c>
      <c r="V74">
        <f>IF($O74="",0,V$1/$O74)</f>
        <v>0</v>
      </c>
      <c r="W74">
        <f>IF($L74="",0,W$1/$L74)</f>
        <v>0</v>
      </c>
      <c r="X74" s="500">
        <f>IF(OR($M74="",$P74&lt;&gt;""),0,X$1/$M74)</f>
        <v>0</v>
      </c>
      <c r="Y74" s="500">
        <f>IF($M74="",0,IF($Q74="",1,Q74/43200)*X74)</f>
        <v>0</v>
      </c>
      <c r="Z74">
        <f t="shared" si="7"/>
        <v>0</v>
      </c>
      <c r="AB74" s="477">
        <f>IF(AB$3&lt;&gt;"",$V74,0)+IF(AB$4&lt;&gt;"",$T74,0)+IF(AB$5&lt;&gt;"",$Y74+IF($R74&lt;&gt;"102",$U74,0),0)+IF(AB$6&lt;&gt;"",$Z74+IF($R74="102",$U74,0),0)+IF(AB$7&lt;&gt;"",$W74,0)</f>
        <v>0</v>
      </c>
      <c r="AC74" s="477">
        <f t="shared" si="87"/>
        <v>0</v>
      </c>
      <c r="AD74" s="477">
        <f t="shared" si="87"/>
        <v>0</v>
      </c>
      <c r="AE74" s="477">
        <f t="shared" si="87"/>
        <v>0</v>
      </c>
      <c r="AF74" s="477">
        <f t="shared" si="87"/>
        <v>0</v>
      </c>
      <c r="AG74" s="477">
        <f t="shared" si="87"/>
        <v>0</v>
      </c>
      <c r="AH74" s="477">
        <f t="shared" si="87"/>
        <v>0</v>
      </c>
      <c r="AI74" s="477">
        <f t="shared" si="87"/>
        <v>0</v>
      </c>
      <c r="AJ74" s="477">
        <f t="shared" si="87"/>
        <v>0</v>
      </c>
      <c r="AK74" s="477">
        <f t="shared" si="87"/>
        <v>0</v>
      </c>
      <c r="AL74" s="477">
        <f t="shared" si="87"/>
        <v>0</v>
      </c>
      <c r="AM74" s="477">
        <f t="shared" si="87"/>
        <v>0</v>
      </c>
      <c r="AN74" s="477">
        <f t="shared" si="87"/>
        <v>0</v>
      </c>
      <c r="AO74" s="477">
        <f t="shared" si="87"/>
        <v>0</v>
      </c>
      <c r="AP74" s="477">
        <f t="shared" si="87"/>
        <v>0</v>
      </c>
      <c r="AQ74" s="477">
        <f t="shared" si="87"/>
        <v>0</v>
      </c>
      <c r="AR74" s="477">
        <f t="shared" si="88"/>
        <v>0</v>
      </c>
      <c r="AS74" s="477">
        <f t="shared" si="88"/>
        <v>0</v>
      </c>
      <c r="AT74" s="477">
        <f t="shared" si="88"/>
        <v>0</v>
      </c>
      <c r="AU74" s="477">
        <f t="shared" si="88"/>
        <v>0</v>
      </c>
      <c r="AV74" s="477">
        <f t="shared" si="88"/>
        <v>0</v>
      </c>
      <c r="AW74" s="477">
        <f t="shared" si="88"/>
        <v>0</v>
      </c>
      <c r="AX74" s="477">
        <f t="shared" si="88"/>
        <v>0</v>
      </c>
      <c r="AY74" s="477">
        <f t="shared" si="88"/>
        <v>0</v>
      </c>
      <c r="AZ74" s="477">
        <f t="shared" si="88"/>
        <v>0</v>
      </c>
      <c r="BA74" s="477">
        <f t="shared" si="88"/>
        <v>0</v>
      </c>
      <c r="BB74" s="477">
        <f t="shared" si="88"/>
        <v>0</v>
      </c>
      <c r="BC74" s="477">
        <f t="shared" si="88"/>
        <v>0</v>
      </c>
      <c r="BD74" s="477">
        <f t="shared" si="88"/>
        <v>0</v>
      </c>
      <c r="BE74" s="477">
        <f t="shared" si="88"/>
        <v>0</v>
      </c>
      <c r="BF74" s="477">
        <f t="shared" si="88"/>
        <v>0</v>
      </c>
    </row>
    <row r="75" spans="1:58">
      <c r="A75" s="499" t="s">
        <v>1288</v>
      </c>
      <c r="B75" s="495">
        <f t="shared" ref="B75:B82" si="89">B65+86400+H65-G65</f>
        <v>659173975</v>
      </c>
      <c r="C75" s="492" t="s">
        <v>8412</v>
      </c>
      <c r="D75" s="467">
        <v>111</v>
      </c>
      <c r="F75" s="17" t="str">
        <f t="shared" ref="F75:F82" si="90">_xlfn.TEXTJOIN("+",TRUE,$C75:$D75)</f>
        <v>MAC+111</v>
      </c>
      <c r="G75" s="493">
        <f t="shared" si="11"/>
        <v>657213775</v>
      </c>
      <c r="H75" s="493">
        <f t="shared" si="12"/>
        <v>0</v>
      </c>
      <c r="I75" s="17">
        <f t="shared" si="13"/>
        <v>1</v>
      </c>
      <c r="J75" s="17">
        <f t="shared" si="5"/>
        <v>8</v>
      </c>
      <c r="L75" t="str">
        <f t="shared" ref="L75:L82" si="91">IF($C75="ON","",IF($C75="N1",$D75,L74))</f>
        <v/>
      </c>
      <c r="M75" t="str">
        <f t="shared" ref="M75:M82" si="92">IF($C75="ON","",IF($C75="N2",$D75,IF($F75="MAC+103",3,IF($F75="MAC+104",2,M74))))</f>
        <v/>
      </c>
      <c r="N75" t="str">
        <f t="shared" si="44"/>
        <v/>
      </c>
      <c r="O75" t="str">
        <f t="shared" ref="O75:O82" si="93">IF($C75="ON","",IF($C75="STAT",$D75,O74))</f>
        <v/>
      </c>
      <c r="P75" s="3" t="str">
        <f t="shared" si="17"/>
        <v/>
      </c>
      <c r="Q75" t="str">
        <f t="shared" ref="Q75:Q82" si="94">IF(F75="ON","",IF($F75="MAC+105",300,IF($F75="MAC+106",600,IF($F75="MAC+107",840,IF($F75="MAC+108",1200,IF($F75="MAC+109",1800,IF($F75="MAC+110",43200,Q74)))))))</f>
        <v/>
      </c>
      <c r="R75" s="17" t="str">
        <f t="shared" ref="R75:R82" si="95">IF($C75="ON","",IF($F75="MAC+102","102",R74))</f>
        <v/>
      </c>
      <c r="T75" s="466">
        <f t="shared" ref="T75:U82" si="96">IF($M75="",0,T$1/64/$M75)</f>
        <v>0</v>
      </c>
      <c r="U75" s="466">
        <f t="shared" si="96"/>
        <v>0</v>
      </c>
      <c r="V75">
        <f t="shared" ref="V75:V82" si="97">IF($O75="",0,V$1/$O75)</f>
        <v>0</v>
      </c>
      <c r="W75">
        <f t="shared" ref="W75:W82" si="98">IF($L75="",0,W$1/$L75)</f>
        <v>0</v>
      </c>
      <c r="X75" s="500">
        <f t="shared" si="23"/>
        <v>0</v>
      </c>
      <c r="Y75" s="500">
        <f t="shared" ref="Y75:Y82" si="99">IF($M75="",0,IF($Q75="",1,Q75/43200)*X75)</f>
        <v>0</v>
      </c>
      <c r="Z75">
        <f t="shared" si="7"/>
        <v>0</v>
      </c>
      <c r="AB75" s="477">
        <f t="shared" si="87"/>
        <v>0</v>
      </c>
      <c r="AC75" s="477">
        <f t="shared" si="87"/>
        <v>0</v>
      </c>
      <c r="AD75" s="477">
        <f t="shared" si="87"/>
        <v>0</v>
      </c>
      <c r="AE75" s="477">
        <f t="shared" si="87"/>
        <v>0</v>
      </c>
      <c r="AF75" s="477">
        <f t="shared" si="87"/>
        <v>0</v>
      </c>
      <c r="AG75" s="477">
        <f t="shared" si="87"/>
        <v>0</v>
      </c>
      <c r="AH75" s="477">
        <f t="shared" si="87"/>
        <v>0</v>
      </c>
      <c r="AI75" s="477">
        <f t="shared" si="87"/>
        <v>0</v>
      </c>
      <c r="AJ75" s="477">
        <f t="shared" si="87"/>
        <v>0</v>
      </c>
      <c r="AK75" s="477">
        <f t="shared" si="87"/>
        <v>0</v>
      </c>
      <c r="AL75" s="477">
        <f t="shared" si="87"/>
        <v>0</v>
      </c>
      <c r="AM75" s="477">
        <f t="shared" si="87"/>
        <v>0</v>
      </c>
      <c r="AN75" s="477">
        <f t="shared" si="87"/>
        <v>0</v>
      </c>
      <c r="AO75" s="477">
        <f t="shared" si="87"/>
        <v>0</v>
      </c>
      <c r="AP75" s="477">
        <f t="shared" si="87"/>
        <v>0</v>
      </c>
      <c r="AQ75" s="477">
        <f t="shared" si="87"/>
        <v>0</v>
      </c>
      <c r="AR75" s="477">
        <f t="shared" si="88"/>
        <v>0</v>
      </c>
      <c r="AS75" s="477">
        <f t="shared" si="88"/>
        <v>0</v>
      </c>
      <c r="AT75" s="477">
        <f t="shared" si="88"/>
        <v>0</v>
      </c>
      <c r="AU75" s="477">
        <f t="shared" si="88"/>
        <v>0</v>
      </c>
      <c r="AV75" s="477">
        <f t="shared" si="88"/>
        <v>0</v>
      </c>
      <c r="AW75" s="477">
        <f t="shared" si="88"/>
        <v>0</v>
      </c>
      <c r="AX75" s="477">
        <f t="shared" si="88"/>
        <v>0</v>
      </c>
      <c r="AY75" s="477">
        <f t="shared" si="88"/>
        <v>0</v>
      </c>
      <c r="AZ75" s="477">
        <f t="shared" si="88"/>
        <v>0</v>
      </c>
      <c r="BA75" s="477">
        <f t="shared" si="88"/>
        <v>0</v>
      </c>
      <c r="BB75" s="477">
        <f t="shared" si="88"/>
        <v>0</v>
      </c>
      <c r="BC75" s="477">
        <f t="shared" si="88"/>
        <v>0</v>
      </c>
      <c r="BD75" s="477">
        <f t="shared" si="88"/>
        <v>0</v>
      </c>
      <c r="BE75" s="477">
        <f t="shared" si="88"/>
        <v>0</v>
      </c>
      <c r="BF75" s="477">
        <f t="shared" si="88"/>
        <v>0</v>
      </c>
    </row>
    <row r="76" spans="1:58">
      <c r="A76" s="499" t="s">
        <v>1517</v>
      </c>
      <c r="B76" s="495">
        <f t="shared" si="89"/>
        <v>659174575</v>
      </c>
      <c r="C76" s="492" t="s">
        <v>776</v>
      </c>
      <c r="D76" s="467">
        <v>360</v>
      </c>
      <c r="F76" s="17" t="str">
        <f t="shared" si="90"/>
        <v>N2+360</v>
      </c>
      <c r="G76" s="493">
        <f t="shared" si="11"/>
        <v>657213775</v>
      </c>
      <c r="H76" s="493">
        <f t="shared" si="12"/>
        <v>0</v>
      </c>
      <c r="I76" s="17">
        <f t="shared" si="13"/>
        <v>2</v>
      </c>
      <c r="J76" s="17">
        <f t="shared" si="5"/>
        <v>7</v>
      </c>
      <c r="L76" t="str">
        <f t="shared" si="91"/>
        <v/>
      </c>
      <c r="M76">
        <f t="shared" si="92"/>
        <v>360</v>
      </c>
      <c r="N76" t="str">
        <f t="shared" si="44"/>
        <v/>
      </c>
      <c r="O76" t="str">
        <f t="shared" si="93"/>
        <v/>
      </c>
      <c r="P76" s="3" t="str">
        <f t="shared" si="17"/>
        <v/>
      </c>
      <c r="Q76" t="str">
        <f t="shared" si="94"/>
        <v/>
      </c>
      <c r="R76" s="17" t="str">
        <f t="shared" si="95"/>
        <v/>
      </c>
      <c r="T76" s="466">
        <f t="shared" si="96"/>
        <v>2.282986111111111E-2</v>
      </c>
      <c r="U76" s="466">
        <f t="shared" si="96"/>
        <v>9.0581597222222227E-2</v>
      </c>
      <c r="V76">
        <f t="shared" si="97"/>
        <v>0</v>
      </c>
      <c r="W76">
        <f t="shared" si="98"/>
        <v>0</v>
      </c>
      <c r="X76" s="500">
        <f t="shared" si="23"/>
        <v>3.5166666666666666</v>
      </c>
      <c r="Y76" s="500">
        <f t="shared" si="99"/>
        <v>3.5166666666666666</v>
      </c>
      <c r="Z76">
        <f t="shared" si="7"/>
        <v>0</v>
      </c>
      <c r="AB76" s="477">
        <f t="shared" si="87"/>
        <v>0</v>
      </c>
      <c r="AC76" s="477">
        <f t="shared" si="87"/>
        <v>0</v>
      </c>
      <c r="AD76" s="477">
        <f t="shared" si="87"/>
        <v>0</v>
      </c>
      <c r="AE76" s="477">
        <f t="shared" si="87"/>
        <v>3.6072482638888888</v>
      </c>
      <c r="AF76" s="477">
        <f t="shared" si="87"/>
        <v>3.6072482638888888</v>
      </c>
      <c r="AG76" s="477">
        <f t="shared" si="87"/>
        <v>3.6072482638888888</v>
      </c>
      <c r="AH76" s="477">
        <f t="shared" si="87"/>
        <v>3.6072482638888888</v>
      </c>
      <c r="AI76" s="477">
        <f t="shared" si="87"/>
        <v>2.282986111111111E-2</v>
      </c>
      <c r="AJ76" s="477">
        <f t="shared" si="87"/>
        <v>2.282986111111111E-2</v>
      </c>
      <c r="AK76" s="477">
        <f t="shared" si="87"/>
        <v>2.282986111111111E-2</v>
      </c>
      <c r="AL76" s="477">
        <f t="shared" si="87"/>
        <v>2.282986111111111E-2</v>
      </c>
      <c r="AM76" s="477">
        <f t="shared" si="87"/>
        <v>3.6300781249999998</v>
      </c>
      <c r="AN76" s="477">
        <f t="shared" si="87"/>
        <v>3.6300781249999998</v>
      </c>
      <c r="AO76" s="477">
        <f t="shared" si="87"/>
        <v>3.6300781249999998</v>
      </c>
      <c r="AP76" s="477">
        <f t="shared" si="87"/>
        <v>3.6300781249999998</v>
      </c>
      <c r="AQ76" s="477">
        <f t="shared" si="87"/>
        <v>0</v>
      </c>
      <c r="AR76" s="477">
        <f t="shared" si="88"/>
        <v>0</v>
      </c>
      <c r="AS76" s="477">
        <f t="shared" si="88"/>
        <v>0</v>
      </c>
      <c r="AT76" s="477">
        <f t="shared" si="88"/>
        <v>0</v>
      </c>
      <c r="AU76" s="477">
        <f t="shared" si="88"/>
        <v>3.6072482638888888</v>
      </c>
      <c r="AV76" s="477">
        <f t="shared" si="88"/>
        <v>3.6072482638888888</v>
      </c>
      <c r="AW76" s="477">
        <f t="shared" si="88"/>
        <v>3.6072482638888888</v>
      </c>
      <c r="AX76" s="477">
        <f t="shared" si="88"/>
        <v>3.6072482638888888</v>
      </c>
      <c r="AY76" s="477">
        <f t="shared" si="88"/>
        <v>2.282986111111111E-2</v>
      </c>
      <c r="AZ76" s="477">
        <f t="shared" si="88"/>
        <v>2.282986111111111E-2</v>
      </c>
      <c r="BA76" s="477">
        <f t="shared" si="88"/>
        <v>2.282986111111111E-2</v>
      </c>
      <c r="BB76" s="477">
        <f t="shared" si="88"/>
        <v>2.282986111111111E-2</v>
      </c>
      <c r="BC76" s="477">
        <f t="shared" si="88"/>
        <v>3.6300781249999998</v>
      </c>
      <c r="BD76" s="477">
        <f t="shared" si="88"/>
        <v>3.6300781249999998</v>
      </c>
      <c r="BE76" s="477">
        <f t="shared" si="88"/>
        <v>3.6300781249999998</v>
      </c>
      <c r="BF76" s="477">
        <f t="shared" si="88"/>
        <v>3.6300781249999998</v>
      </c>
    </row>
    <row r="77" spans="1:58">
      <c r="A77" s="499" t="s">
        <v>1523</v>
      </c>
      <c r="B77" s="495">
        <f t="shared" si="89"/>
        <v>659174578</v>
      </c>
      <c r="C77" s="492" t="s">
        <v>12</v>
      </c>
      <c r="D77" s="467">
        <v>360</v>
      </c>
      <c r="F77" s="17" t="str">
        <f t="shared" si="90"/>
        <v>N1+360</v>
      </c>
      <c r="G77" s="493">
        <f t="shared" si="11"/>
        <v>657213775</v>
      </c>
      <c r="H77" s="493">
        <f t="shared" si="12"/>
        <v>0</v>
      </c>
      <c r="I77" s="17">
        <f t="shared" si="13"/>
        <v>3</v>
      </c>
      <c r="J77" s="17">
        <f t="shared" si="5"/>
        <v>6</v>
      </c>
      <c r="L77">
        <v>180</v>
      </c>
      <c r="M77">
        <f t="shared" si="92"/>
        <v>360</v>
      </c>
      <c r="N77" t="str">
        <f>IF($C77="ON","",IF($C77="N3",$D77,N76))</f>
        <v/>
      </c>
      <c r="O77" t="str">
        <f t="shared" si="93"/>
        <v/>
      </c>
      <c r="P77" s="3" t="str">
        <f t="shared" si="17"/>
        <v/>
      </c>
      <c r="Q77" t="str">
        <f t="shared" si="94"/>
        <v/>
      </c>
      <c r="R77" s="17" t="str">
        <f t="shared" si="95"/>
        <v/>
      </c>
      <c r="T77" s="466">
        <f t="shared" si="96"/>
        <v>2.282986111111111E-2</v>
      </c>
      <c r="U77" s="466">
        <f t="shared" si="96"/>
        <v>9.0581597222222227E-2</v>
      </c>
      <c r="V77">
        <f t="shared" si="97"/>
        <v>0</v>
      </c>
      <c r="W77">
        <f t="shared" si="98"/>
        <v>11.044444444444444</v>
      </c>
      <c r="X77" s="500">
        <f t="shared" si="23"/>
        <v>3.5166666666666666</v>
      </c>
      <c r="Y77" s="500">
        <f t="shared" si="99"/>
        <v>3.5166666666666666</v>
      </c>
      <c r="Z77">
        <f t="shared" si="7"/>
        <v>0</v>
      </c>
      <c r="AB77" s="477">
        <f t="shared" si="87"/>
        <v>11.044444444444444</v>
      </c>
      <c r="AC77" s="477">
        <f t="shared" si="87"/>
        <v>0</v>
      </c>
      <c r="AD77" s="477">
        <f t="shared" si="87"/>
        <v>11.044444444444444</v>
      </c>
      <c r="AE77" s="477">
        <f t="shared" si="87"/>
        <v>3.6072482638888888</v>
      </c>
      <c r="AF77" s="477">
        <f t="shared" si="87"/>
        <v>14.651692708333332</v>
      </c>
      <c r="AG77" s="477">
        <f t="shared" si="87"/>
        <v>3.6072482638888888</v>
      </c>
      <c r="AH77" s="477">
        <f t="shared" si="87"/>
        <v>14.651692708333332</v>
      </c>
      <c r="AI77" s="477">
        <f t="shared" si="87"/>
        <v>2.282986111111111E-2</v>
      </c>
      <c r="AJ77" s="477">
        <f t="shared" si="87"/>
        <v>11.067274305555555</v>
      </c>
      <c r="AK77" s="477">
        <f t="shared" si="87"/>
        <v>2.282986111111111E-2</v>
      </c>
      <c r="AL77" s="477">
        <f t="shared" si="87"/>
        <v>11.067274305555555</v>
      </c>
      <c r="AM77" s="477">
        <f t="shared" si="87"/>
        <v>3.6300781249999998</v>
      </c>
      <c r="AN77" s="477">
        <f t="shared" si="87"/>
        <v>14.674522569444445</v>
      </c>
      <c r="AO77" s="477">
        <f t="shared" si="87"/>
        <v>3.6300781249999998</v>
      </c>
      <c r="AP77" s="477">
        <f t="shared" si="87"/>
        <v>14.674522569444445</v>
      </c>
      <c r="AQ77" s="477">
        <f t="shared" si="87"/>
        <v>0</v>
      </c>
      <c r="AR77" s="477">
        <f t="shared" si="88"/>
        <v>11.044444444444444</v>
      </c>
      <c r="AS77" s="477">
        <f t="shared" si="88"/>
        <v>0</v>
      </c>
      <c r="AT77" s="477">
        <f t="shared" si="88"/>
        <v>11.044444444444444</v>
      </c>
      <c r="AU77" s="477">
        <f t="shared" si="88"/>
        <v>3.6072482638888888</v>
      </c>
      <c r="AV77" s="477">
        <f t="shared" si="88"/>
        <v>14.651692708333332</v>
      </c>
      <c r="AW77" s="477">
        <f t="shared" si="88"/>
        <v>3.6072482638888888</v>
      </c>
      <c r="AX77" s="477">
        <f t="shared" si="88"/>
        <v>14.651692708333332</v>
      </c>
      <c r="AY77" s="477">
        <f t="shared" si="88"/>
        <v>2.282986111111111E-2</v>
      </c>
      <c r="AZ77" s="477">
        <f t="shared" si="88"/>
        <v>11.067274305555555</v>
      </c>
      <c r="BA77" s="477">
        <f t="shared" si="88"/>
        <v>2.282986111111111E-2</v>
      </c>
      <c r="BB77" s="477">
        <f t="shared" si="88"/>
        <v>11.067274305555555</v>
      </c>
      <c r="BC77" s="477">
        <f t="shared" si="88"/>
        <v>3.6300781249999998</v>
      </c>
      <c r="BD77" s="477">
        <f t="shared" si="88"/>
        <v>14.674522569444445</v>
      </c>
      <c r="BE77" s="477">
        <f t="shared" si="88"/>
        <v>3.6300781249999998</v>
      </c>
      <c r="BF77" s="477">
        <f t="shared" si="88"/>
        <v>14.674522569444445</v>
      </c>
    </row>
    <row r="78" spans="1:58">
      <c r="A78" s="499" t="s">
        <v>1160</v>
      </c>
      <c r="B78" s="495">
        <f t="shared" si="89"/>
        <v>659174581</v>
      </c>
      <c r="C78" s="492" t="s">
        <v>773</v>
      </c>
      <c r="D78" s="467">
        <v>7200</v>
      </c>
      <c r="F78" s="17" t="str">
        <f t="shared" si="90"/>
        <v>N3+7200</v>
      </c>
      <c r="G78" s="493">
        <f t="shared" si="11"/>
        <v>657213775</v>
      </c>
      <c r="H78" s="493">
        <f t="shared" si="12"/>
        <v>0</v>
      </c>
      <c r="I78" s="17">
        <f t="shared" si="13"/>
        <v>4</v>
      </c>
      <c r="J78" s="17">
        <f t="shared" ref="J78:J82" si="100">IF($C78="OFF",0,J79+1)</f>
        <v>5</v>
      </c>
      <c r="L78">
        <f t="shared" si="91"/>
        <v>180</v>
      </c>
      <c r="M78">
        <f t="shared" si="92"/>
        <v>360</v>
      </c>
      <c r="N78">
        <f t="shared" si="44"/>
        <v>7200</v>
      </c>
      <c r="O78" t="str">
        <f t="shared" si="93"/>
        <v/>
      </c>
      <c r="P78" s="3" t="str">
        <f t="shared" si="17"/>
        <v/>
      </c>
      <c r="Q78" t="str">
        <f t="shared" si="94"/>
        <v/>
      </c>
      <c r="R78" s="17" t="str">
        <f t="shared" si="95"/>
        <v/>
      </c>
      <c r="T78" s="466">
        <f t="shared" si="96"/>
        <v>2.282986111111111E-2</v>
      </c>
      <c r="U78" s="466">
        <f t="shared" si="96"/>
        <v>9.0581597222222227E-2</v>
      </c>
      <c r="V78">
        <f t="shared" si="97"/>
        <v>0</v>
      </c>
      <c r="W78">
        <f t="shared" si="98"/>
        <v>11.044444444444444</v>
      </c>
      <c r="X78" s="500">
        <f t="shared" si="23"/>
        <v>3.5166666666666666</v>
      </c>
      <c r="Y78" s="500">
        <f t="shared" si="99"/>
        <v>3.5166666666666666</v>
      </c>
      <c r="Z78">
        <f t="shared" ref="Z78:Z82" si="101">IF($N78="",0,Z$1/$N78)</f>
        <v>2.5244444444444443</v>
      </c>
      <c r="AB78" s="477">
        <f t="shared" si="87"/>
        <v>11.044444444444444</v>
      </c>
      <c r="AC78" s="477">
        <f t="shared" si="87"/>
        <v>2.5244444444444443</v>
      </c>
      <c r="AD78" s="477">
        <f t="shared" si="87"/>
        <v>13.568888888888889</v>
      </c>
      <c r="AE78" s="477">
        <f t="shared" si="87"/>
        <v>3.6072482638888888</v>
      </c>
      <c r="AF78" s="477">
        <f t="shared" si="87"/>
        <v>14.651692708333332</v>
      </c>
      <c r="AG78" s="477">
        <f t="shared" si="87"/>
        <v>6.1316927083333326</v>
      </c>
      <c r="AH78" s="477">
        <f t="shared" si="87"/>
        <v>17.176137152777777</v>
      </c>
      <c r="AI78" s="477">
        <f t="shared" si="87"/>
        <v>2.282986111111111E-2</v>
      </c>
      <c r="AJ78" s="477">
        <f t="shared" si="87"/>
        <v>11.067274305555555</v>
      </c>
      <c r="AK78" s="477">
        <f t="shared" si="87"/>
        <v>2.5472743055555553</v>
      </c>
      <c r="AL78" s="477">
        <f t="shared" si="87"/>
        <v>13.59171875</v>
      </c>
      <c r="AM78" s="477">
        <f t="shared" si="87"/>
        <v>3.6300781249999998</v>
      </c>
      <c r="AN78" s="477">
        <f t="shared" si="87"/>
        <v>14.674522569444445</v>
      </c>
      <c r="AO78" s="477">
        <f t="shared" si="87"/>
        <v>6.1545225694444436</v>
      </c>
      <c r="AP78" s="477">
        <f t="shared" si="87"/>
        <v>17.19896701388889</v>
      </c>
      <c r="AQ78" s="477">
        <f t="shared" si="87"/>
        <v>0</v>
      </c>
      <c r="AR78" s="477">
        <f t="shared" si="88"/>
        <v>11.044444444444444</v>
      </c>
      <c r="AS78" s="477">
        <f t="shared" si="88"/>
        <v>2.5244444444444443</v>
      </c>
      <c r="AT78" s="477">
        <f t="shared" si="88"/>
        <v>13.568888888888889</v>
      </c>
      <c r="AU78" s="477">
        <f t="shared" si="88"/>
        <v>3.6072482638888888</v>
      </c>
      <c r="AV78" s="477">
        <f t="shared" si="88"/>
        <v>14.651692708333332</v>
      </c>
      <c r="AW78" s="477">
        <f t="shared" si="88"/>
        <v>6.1316927083333326</v>
      </c>
      <c r="AX78" s="477">
        <f t="shared" si="88"/>
        <v>17.176137152777777</v>
      </c>
      <c r="AY78" s="477">
        <f t="shared" si="88"/>
        <v>2.282986111111111E-2</v>
      </c>
      <c r="AZ78" s="477">
        <f t="shared" si="88"/>
        <v>11.067274305555555</v>
      </c>
      <c r="BA78" s="477">
        <f t="shared" si="88"/>
        <v>2.5472743055555553</v>
      </c>
      <c r="BB78" s="477">
        <f t="shared" si="88"/>
        <v>13.59171875</v>
      </c>
      <c r="BC78" s="477">
        <f t="shared" si="88"/>
        <v>3.6300781249999998</v>
      </c>
      <c r="BD78" s="477">
        <f t="shared" si="88"/>
        <v>14.674522569444445</v>
      </c>
      <c r="BE78" s="477">
        <f t="shared" si="88"/>
        <v>6.1545225694444436</v>
      </c>
      <c r="BF78" s="477">
        <f t="shared" si="88"/>
        <v>17.19896701388889</v>
      </c>
    </row>
    <row r="79" spans="1:58">
      <c r="A79" s="499" t="s">
        <v>1164</v>
      </c>
      <c r="B79" s="495">
        <f t="shared" si="89"/>
        <v>659174584</v>
      </c>
      <c r="C79" s="492" t="s">
        <v>8411</v>
      </c>
      <c r="D79" s="467">
        <v>1800</v>
      </c>
      <c r="F79" s="17" t="str">
        <f t="shared" si="90"/>
        <v>STAT+1800</v>
      </c>
      <c r="G79" s="493">
        <f t="shared" ref="G79:G82" si="102">IF($C79="ON",$B79,G78)</f>
        <v>657213775</v>
      </c>
      <c r="H79" s="493">
        <f t="shared" ref="H79:H82" si="103">IF($C79="OFF",$B79,H80)</f>
        <v>0</v>
      </c>
      <c r="I79" s="17">
        <f t="shared" ref="I79:I82" si="104">IF($C79="ON",0,I78+1)</f>
        <v>5</v>
      </c>
      <c r="J79" s="17">
        <f t="shared" si="100"/>
        <v>4</v>
      </c>
      <c r="L79">
        <f t="shared" si="91"/>
        <v>180</v>
      </c>
      <c r="M79">
        <f t="shared" si="92"/>
        <v>360</v>
      </c>
      <c r="N79">
        <f t="shared" si="44"/>
        <v>7200</v>
      </c>
      <c r="O79">
        <f t="shared" si="93"/>
        <v>1800</v>
      </c>
      <c r="P79" s="3" t="str">
        <f t="shared" ref="P79:P82" si="105">IF($C79="ON","",IF(AND($C79="MAC",105&lt;=$D79,$D79&lt;=110),"",IF(AND($C79="MAC",103&lt;=$D79,$D79&lt;=104),"disabled",P78)))</f>
        <v/>
      </c>
      <c r="Q79" t="str">
        <f t="shared" si="94"/>
        <v/>
      </c>
      <c r="R79" s="17" t="str">
        <f t="shared" si="95"/>
        <v/>
      </c>
      <c r="T79" s="466">
        <f t="shared" si="96"/>
        <v>2.282986111111111E-2</v>
      </c>
      <c r="U79" s="466">
        <f t="shared" si="96"/>
        <v>9.0581597222222227E-2</v>
      </c>
      <c r="V79">
        <f t="shared" si="97"/>
        <v>0.28444444444444444</v>
      </c>
      <c r="W79">
        <f t="shared" si="98"/>
        <v>11.044444444444444</v>
      </c>
      <c r="X79" s="500">
        <f t="shared" ref="X79:X82" si="106">IF(OR($M79="",$P79&lt;&gt;""),0,X$1/$M79)</f>
        <v>3.5166666666666666</v>
      </c>
      <c r="Y79" s="500">
        <f t="shared" si="99"/>
        <v>3.5166666666666666</v>
      </c>
      <c r="Z79">
        <f t="shared" si="101"/>
        <v>2.5244444444444443</v>
      </c>
      <c r="AB79" s="477">
        <f t="shared" si="87"/>
        <v>11.044444444444444</v>
      </c>
      <c r="AC79" s="477">
        <f t="shared" si="87"/>
        <v>2.5244444444444443</v>
      </c>
      <c r="AD79" s="477">
        <f t="shared" si="87"/>
        <v>13.568888888888889</v>
      </c>
      <c r="AE79" s="477">
        <f t="shared" si="87"/>
        <v>3.6072482638888888</v>
      </c>
      <c r="AF79" s="477">
        <f t="shared" si="87"/>
        <v>14.651692708333332</v>
      </c>
      <c r="AG79" s="477">
        <f t="shared" si="87"/>
        <v>6.1316927083333326</v>
      </c>
      <c r="AH79" s="477">
        <f t="shared" si="87"/>
        <v>17.176137152777777</v>
      </c>
      <c r="AI79" s="477">
        <f t="shared" si="87"/>
        <v>2.282986111111111E-2</v>
      </c>
      <c r="AJ79" s="477">
        <f t="shared" si="87"/>
        <v>11.067274305555555</v>
      </c>
      <c r="AK79" s="477">
        <f t="shared" si="87"/>
        <v>2.5472743055555553</v>
      </c>
      <c r="AL79" s="477">
        <f t="shared" si="87"/>
        <v>13.59171875</v>
      </c>
      <c r="AM79" s="477">
        <f t="shared" si="87"/>
        <v>3.6300781249999998</v>
      </c>
      <c r="AN79" s="477">
        <f t="shared" si="87"/>
        <v>14.674522569444445</v>
      </c>
      <c r="AO79" s="477">
        <f t="shared" si="87"/>
        <v>6.1545225694444436</v>
      </c>
      <c r="AP79" s="477">
        <f t="shared" si="87"/>
        <v>17.19896701388889</v>
      </c>
      <c r="AQ79" s="477">
        <f t="shared" si="87"/>
        <v>0.28444444444444444</v>
      </c>
      <c r="AR79" s="477">
        <f t="shared" si="88"/>
        <v>11.328888888888889</v>
      </c>
      <c r="AS79" s="477">
        <f t="shared" si="88"/>
        <v>2.8088888888888888</v>
      </c>
      <c r="AT79" s="477">
        <f t="shared" si="88"/>
        <v>13.853333333333333</v>
      </c>
      <c r="AU79" s="477">
        <f t="shared" si="88"/>
        <v>3.8916927083333333</v>
      </c>
      <c r="AV79" s="477">
        <f t="shared" si="88"/>
        <v>14.936137152777778</v>
      </c>
      <c r="AW79" s="477">
        <f t="shared" si="88"/>
        <v>6.4161371527777771</v>
      </c>
      <c r="AX79" s="477">
        <f t="shared" si="88"/>
        <v>17.460581597222223</v>
      </c>
      <c r="AY79" s="477">
        <f t="shared" si="88"/>
        <v>0.30727430555555557</v>
      </c>
      <c r="AZ79" s="477">
        <f t="shared" si="88"/>
        <v>11.35171875</v>
      </c>
      <c r="BA79" s="477">
        <f t="shared" si="88"/>
        <v>2.8317187499999998</v>
      </c>
      <c r="BB79" s="477">
        <f t="shared" si="88"/>
        <v>13.876163194444445</v>
      </c>
      <c r="BC79" s="477">
        <f t="shared" si="88"/>
        <v>3.9145225694444443</v>
      </c>
      <c r="BD79" s="477">
        <f t="shared" si="88"/>
        <v>14.958967013888888</v>
      </c>
      <c r="BE79" s="477">
        <f t="shared" si="88"/>
        <v>6.4389670138888881</v>
      </c>
      <c r="BF79" s="477">
        <f t="shared" si="88"/>
        <v>17.483411458333332</v>
      </c>
    </row>
    <row r="80" spans="1:58">
      <c r="A80" s="499" t="s">
        <v>1533</v>
      </c>
      <c r="B80" s="495">
        <f t="shared" si="89"/>
        <v>659175175</v>
      </c>
      <c r="C80" s="492" t="s">
        <v>8412</v>
      </c>
      <c r="D80" s="467">
        <v>104</v>
      </c>
      <c r="F80" s="17" t="str">
        <f t="shared" si="90"/>
        <v>MAC+104</v>
      </c>
      <c r="G80" s="493">
        <f t="shared" si="102"/>
        <v>657213775</v>
      </c>
      <c r="H80" s="493">
        <f t="shared" si="103"/>
        <v>0</v>
      </c>
      <c r="I80" s="17">
        <f t="shared" si="104"/>
        <v>6</v>
      </c>
      <c r="J80" s="17">
        <f t="shared" si="100"/>
        <v>3</v>
      </c>
      <c r="L80">
        <f t="shared" si="91"/>
        <v>180</v>
      </c>
      <c r="M80">
        <f t="shared" si="92"/>
        <v>2</v>
      </c>
      <c r="N80">
        <f t="shared" si="44"/>
        <v>7200</v>
      </c>
      <c r="O80">
        <f t="shared" si="93"/>
        <v>1800</v>
      </c>
      <c r="P80" s="3" t="str">
        <f t="shared" si="105"/>
        <v>disabled</v>
      </c>
      <c r="Q80" t="str">
        <f t="shared" si="94"/>
        <v/>
      </c>
      <c r="R80" s="17" t="str">
        <f t="shared" si="95"/>
        <v/>
      </c>
      <c r="T80" s="466">
        <f t="shared" si="96"/>
        <v>4.109375</v>
      </c>
      <c r="U80" s="466">
        <f t="shared" si="96"/>
        <v>16.3046875</v>
      </c>
      <c r="V80">
        <f t="shared" si="97"/>
        <v>0.28444444444444444</v>
      </c>
      <c r="W80">
        <f t="shared" si="98"/>
        <v>11.044444444444444</v>
      </c>
      <c r="X80" s="500">
        <f t="shared" si="106"/>
        <v>0</v>
      </c>
      <c r="Y80" s="500">
        <f t="shared" si="99"/>
        <v>0</v>
      </c>
      <c r="Z80">
        <f t="shared" si="101"/>
        <v>2.5244444444444443</v>
      </c>
      <c r="AB80" s="477">
        <f t="shared" si="87"/>
        <v>11.044444444444444</v>
      </c>
      <c r="AC80" s="477">
        <f t="shared" si="87"/>
        <v>2.5244444444444443</v>
      </c>
      <c r="AD80" s="477">
        <f t="shared" si="87"/>
        <v>13.568888888888889</v>
      </c>
      <c r="AE80" s="477">
        <f t="shared" si="87"/>
        <v>16.3046875</v>
      </c>
      <c r="AF80" s="477">
        <f t="shared" si="87"/>
        <v>27.349131944444444</v>
      </c>
      <c r="AG80" s="477">
        <f t="shared" si="87"/>
        <v>18.829131944444445</v>
      </c>
      <c r="AH80" s="477">
        <f t="shared" si="87"/>
        <v>29.873576388888889</v>
      </c>
      <c r="AI80" s="477">
        <f t="shared" si="87"/>
        <v>4.109375</v>
      </c>
      <c r="AJ80" s="477">
        <f t="shared" si="87"/>
        <v>15.153819444444444</v>
      </c>
      <c r="AK80" s="477">
        <f t="shared" si="87"/>
        <v>6.6338194444444447</v>
      </c>
      <c r="AL80" s="477">
        <f t="shared" si="87"/>
        <v>17.678263888888889</v>
      </c>
      <c r="AM80" s="477">
        <f t="shared" si="87"/>
        <v>20.4140625</v>
      </c>
      <c r="AN80" s="477">
        <f t="shared" si="87"/>
        <v>31.458506944444444</v>
      </c>
      <c r="AO80" s="477">
        <f t="shared" si="87"/>
        <v>22.938506944444445</v>
      </c>
      <c r="AP80" s="477">
        <f t="shared" si="87"/>
        <v>33.982951388888893</v>
      </c>
      <c r="AQ80" s="477">
        <f t="shared" si="87"/>
        <v>0.28444444444444444</v>
      </c>
      <c r="AR80" s="477">
        <f t="shared" si="88"/>
        <v>11.328888888888889</v>
      </c>
      <c r="AS80" s="477">
        <f t="shared" si="88"/>
        <v>2.8088888888888888</v>
      </c>
      <c r="AT80" s="477">
        <f t="shared" si="88"/>
        <v>13.853333333333333</v>
      </c>
      <c r="AU80" s="477">
        <f t="shared" si="88"/>
        <v>16.589131944444443</v>
      </c>
      <c r="AV80" s="477">
        <f t="shared" si="88"/>
        <v>27.633576388888887</v>
      </c>
      <c r="AW80" s="477">
        <f t="shared" si="88"/>
        <v>19.113576388888887</v>
      </c>
      <c r="AX80" s="477">
        <f t="shared" si="88"/>
        <v>30.158020833333332</v>
      </c>
      <c r="AY80" s="477">
        <f t="shared" si="88"/>
        <v>4.3938194444444445</v>
      </c>
      <c r="AZ80" s="477">
        <f t="shared" si="88"/>
        <v>15.438263888888889</v>
      </c>
      <c r="BA80" s="477">
        <f t="shared" si="88"/>
        <v>6.9182638888888892</v>
      </c>
      <c r="BB80" s="477">
        <f t="shared" si="88"/>
        <v>17.962708333333332</v>
      </c>
      <c r="BC80" s="477">
        <f t="shared" si="88"/>
        <v>20.698506944444446</v>
      </c>
      <c r="BD80" s="477">
        <f t="shared" si="88"/>
        <v>31.742951388888891</v>
      </c>
      <c r="BE80" s="477">
        <f t="shared" si="88"/>
        <v>23.222951388888891</v>
      </c>
      <c r="BF80" s="477">
        <f t="shared" si="88"/>
        <v>34.267395833333339</v>
      </c>
    </row>
    <row r="81" spans="1:58">
      <c r="A81" s="499" t="s">
        <v>8444</v>
      </c>
      <c r="B81" s="495">
        <f t="shared" si="89"/>
        <v>659175775</v>
      </c>
      <c r="C81" s="492" t="s">
        <v>8412</v>
      </c>
      <c r="D81" s="467">
        <v>110</v>
      </c>
      <c r="F81" s="17" t="str">
        <f t="shared" si="90"/>
        <v>MAC+110</v>
      </c>
      <c r="G81" s="493">
        <f t="shared" si="102"/>
        <v>657213775</v>
      </c>
      <c r="H81" s="493">
        <f t="shared" si="103"/>
        <v>0</v>
      </c>
      <c r="I81" s="17">
        <f t="shared" si="104"/>
        <v>7</v>
      </c>
      <c r="J81" s="17">
        <f t="shared" si="100"/>
        <v>2</v>
      </c>
      <c r="L81">
        <f t="shared" si="91"/>
        <v>180</v>
      </c>
      <c r="M81">
        <f t="shared" si="92"/>
        <v>2</v>
      </c>
      <c r="N81">
        <f t="shared" si="44"/>
        <v>7200</v>
      </c>
      <c r="O81">
        <f t="shared" si="93"/>
        <v>1800</v>
      </c>
      <c r="P81" s="3" t="str">
        <f t="shared" si="105"/>
        <v/>
      </c>
      <c r="Q81">
        <f t="shared" si="94"/>
        <v>43200</v>
      </c>
      <c r="R81" s="17" t="str">
        <f t="shared" si="95"/>
        <v/>
      </c>
      <c r="T81" s="466">
        <f t="shared" si="96"/>
        <v>4.109375</v>
      </c>
      <c r="U81" s="466">
        <f t="shared" si="96"/>
        <v>16.3046875</v>
      </c>
      <c r="V81">
        <f t="shared" si="97"/>
        <v>0.28444444444444444</v>
      </c>
      <c r="W81">
        <f t="shared" si="98"/>
        <v>11.044444444444444</v>
      </c>
      <c r="X81" s="500">
        <f t="shared" si="106"/>
        <v>633</v>
      </c>
      <c r="Y81" s="500">
        <f t="shared" si="99"/>
        <v>633</v>
      </c>
      <c r="Z81">
        <f t="shared" si="101"/>
        <v>2.5244444444444443</v>
      </c>
      <c r="AB81" s="477">
        <f t="shared" si="87"/>
        <v>11.044444444444444</v>
      </c>
      <c r="AC81" s="477">
        <f t="shared" si="87"/>
        <v>2.5244444444444443</v>
      </c>
      <c r="AD81" s="477">
        <f t="shared" si="87"/>
        <v>13.568888888888889</v>
      </c>
      <c r="AE81" s="477">
        <f t="shared" si="87"/>
        <v>649.3046875</v>
      </c>
      <c r="AF81" s="477">
        <f t="shared" si="87"/>
        <v>660.34913194444448</v>
      </c>
      <c r="AG81" s="477">
        <f t="shared" si="87"/>
        <v>651.8291319444445</v>
      </c>
      <c r="AH81" s="477">
        <f t="shared" si="87"/>
        <v>662.87357638888898</v>
      </c>
      <c r="AI81" s="477">
        <f t="shared" si="87"/>
        <v>4.109375</v>
      </c>
      <c r="AJ81" s="477">
        <f t="shared" si="87"/>
        <v>15.153819444444444</v>
      </c>
      <c r="AK81" s="477">
        <f t="shared" si="87"/>
        <v>6.6338194444444447</v>
      </c>
      <c r="AL81" s="477">
        <f t="shared" si="87"/>
        <v>17.678263888888889</v>
      </c>
      <c r="AM81" s="477">
        <f t="shared" si="87"/>
        <v>653.4140625</v>
      </c>
      <c r="AN81" s="477">
        <f t="shared" si="87"/>
        <v>664.45850694444448</v>
      </c>
      <c r="AO81" s="477">
        <f t="shared" si="87"/>
        <v>655.9385069444445</v>
      </c>
      <c r="AP81" s="477">
        <f t="shared" si="87"/>
        <v>666.98295138888898</v>
      </c>
      <c r="AQ81" s="477">
        <f t="shared" si="87"/>
        <v>0.28444444444444444</v>
      </c>
      <c r="AR81" s="477">
        <f t="shared" si="88"/>
        <v>11.328888888888889</v>
      </c>
      <c r="AS81" s="477">
        <f t="shared" si="88"/>
        <v>2.8088888888888888</v>
      </c>
      <c r="AT81" s="477">
        <f t="shared" si="88"/>
        <v>13.853333333333333</v>
      </c>
      <c r="AU81" s="477">
        <f t="shared" si="88"/>
        <v>649.58913194444449</v>
      </c>
      <c r="AV81" s="477">
        <f t="shared" si="88"/>
        <v>660.63357638888897</v>
      </c>
      <c r="AW81" s="477">
        <f t="shared" si="88"/>
        <v>652.11357638888899</v>
      </c>
      <c r="AX81" s="477">
        <f t="shared" si="88"/>
        <v>663.15802083333347</v>
      </c>
      <c r="AY81" s="477">
        <f t="shared" si="88"/>
        <v>4.3938194444444445</v>
      </c>
      <c r="AZ81" s="477">
        <f t="shared" si="88"/>
        <v>15.438263888888889</v>
      </c>
      <c r="BA81" s="477">
        <f t="shared" si="88"/>
        <v>6.9182638888888892</v>
      </c>
      <c r="BB81" s="477">
        <f t="shared" si="88"/>
        <v>17.962708333333332</v>
      </c>
      <c r="BC81" s="477">
        <f t="shared" si="88"/>
        <v>653.69850694444449</v>
      </c>
      <c r="BD81" s="477">
        <f t="shared" si="88"/>
        <v>664.74295138888897</v>
      </c>
      <c r="BE81" s="477">
        <f t="shared" si="88"/>
        <v>656.22295138888899</v>
      </c>
      <c r="BF81" s="477">
        <f t="shared" si="88"/>
        <v>667.26739583333347</v>
      </c>
    </row>
    <row r="82" spans="1:58">
      <c r="A82" s="499" t="s">
        <v>2584</v>
      </c>
      <c r="B82" s="495">
        <f t="shared" si="89"/>
        <v>659175780</v>
      </c>
      <c r="C82" s="492" t="s">
        <v>8412</v>
      </c>
      <c r="D82" s="467">
        <v>102</v>
      </c>
      <c r="F82" s="17" t="str">
        <f t="shared" si="90"/>
        <v>MAC+102</v>
      </c>
      <c r="G82" s="493">
        <f t="shared" si="102"/>
        <v>657213775</v>
      </c>
      <c r="H82" s="493">
        <f t="shared" si="103"/>
        <v>0</v>
      </c>
      <c r="I82" s="17">
        <f t="shared" si="104"/>
        <v>8</v>
      </c>
      <c r="J82" s="17">
        <f t="shared" si="100"/>
        <v>1</v>
      </c>
      <c r="L82">
        <f t="shared" si="91"/>
        <v>180</v>
      </c>
      <c r="M82">
        <f t="shared" si="92"/>
        <v>2</v>
      </c>
      <c r="N82">
        <f t="shared" si="44"/>
        <v>7200</v>
      </c>
      <c r="O82">
        <f t="shared" si="93"/>
        <v>1800</v>
      </c>
      <c r="P82" s="3" t="str">
        <f t="shared" si="105"/>
        <v/>
      </c>
      <c r="Q82">
        <f t="shared" si="94"/>
        <v>43200</v>
      </c>
      <c r="R82" s="17" t="str">
        <f t="shared" si="95"/>
        <v>102</v>
      </c>
      <c r="T82" s="466">
        <f t="shared" si="96"/>
        <v>4.109375</v>
      </c>
      <c r="U82" s="466">
        <f t="shared" si="96"/>
        <v>16.3046875</v>
      </c>
      <c r="V82">
        <f t="shared" si="97"/>
        <v>0.28444444444444444</v>
      </c>
      <c r="W82">
        <f t="shared" si="98"/>
        <v>11.044444444444444</v>
      </c>
      <c r="X82" s="500">
        <f t="shared" si="106"/>
        <v>633</v>
      </c>
      <c r="Y82" s="500">
        <f t="shared" si="99"/>
        <v>633</v>
      </c>
      <c r="Z82">
        <f t="shared" si="101"/>
        <v>2.5244444444444443</v>
      </c>
      <c r="AB82" s="477">
        <f t="shared" si="87"/>
        <v>11.044444444444444</v>
      </c>
      <c r="AC82" s="477">
        <f t="shared" si="87"/>
        <v>18.829131944444445</v>
      </c>
      <c r="AD82" s="477">
        <f t="shared" si="87"/>
        <v>29.873576388888889</v>
      </c>
      <c r="AE82" s="477">
        <f t="shared" si="87"/>
        <v>633</v>
      </c>
      <c r="AF82" s="477">
        <f t="shared" si="87"/>
        <v>644.04444444444448</v>
      </c>
      <c r="AG82" s="477">
        <f t="shared" si="87"/>
        <v>651.8291319444445</v>
      </c>
      <c r="AH82" s="477">
        <f t="shared" si="87"/>
        <v>662.87357638888898</v>
      </c>
      <c r="AI82" s="477">
        <f t="shared" si="87"/>
        <v>4.109375</v>
      </c>
      <c r="AJ82" s="477">
        <f t="shared" si="87"/>
        <v>15.153819444444444</v>
      </c>
      <c r="AK82" s="477">
        <f t="shared" si="87"/>
        <v>22.938506944444445</v>
      </c>
      <c r="AL82" s="477">
        <f t="shared" si="87"/>
        <v>33.982951388888893</v>
      </c>
      <c r="AM82" s="477">
        <f t="shared" si="87"/>
        <v>637.109375</v>
      </c>
      <c r="AN82" s="477">
        <f t="shared" si="87"/>
        <v>648.15381944444448</v>
      </c>
      <c r="AO82" s="477">
        <f t="shared" si="87"/>
        <v>655.9385069444445</v>
      </c>
      <c r="AP82" s="477">
        <f t="shared" si="87"/>
        <v>666.98295138888898</v>
      </c>
      <c r="AQ82" s="477">
        <f t="shared" si="87"/>
        <v>0.28444444444444444</v>
      </c>
      <c r="AR82" s="477">
        <f t="shared" si="88"/>
        <v>11.328888888888889</v>
      </c>
      <c r="AS82" s="477">
        <f t="shared" si="88"/>
        <v>19.113576388888887</v>
      </c>
      <c r="AT82" s="477">
        <f t="shared" si="88"/>
        <v>30.158020833333332</v>
      </c>
      <c r="AU82" s="477">
        <f t="shared" si="88"/>
        <v>633.28444444444449</v>
      </c>
      <c r="AV82" s="477">
        <f t="shared" si="88"/>
        <v>644.32888888888897</v>
      </c>
      <c r="AW82" s="477">
        <f t="shared" si="88"/>
        <v>652.11357638888899</v>
      </c>
      <c r="AX82" s="477">
        <f t="shared" si="88"/>
        <v>663.15802083333347</v>
      </c>
      <c r="AY82" s="477">
        <f t="shared" si="88"/>
        <v>4.3938194444444445</v>
      </c>
      <c r="AZ82" s="477">
        <f t="shared" si="88"/>
        <v>15.438263888888889</v>
      </c>
      <c r="BA82" s="477">
        <f t="shared" si="88"/>
        <v>23.222951388888887</v>
      </c>
      <c r="BB82" s="477">
        <f t="shared" si="88"/>
        <v>34.267395833333332</v>
      </c>
      <c r="BC82" s="477">
        <f t="shared" si="88"/>
        <v>637.39381944444449</v>
      </c>
      <c r="BD82" s="477">
        <f t="shared" si="88"/>
        <v>648.43826388888897</v>
      </c>
      <c r="BE82" s="477">
        <f t="shared" si="88"/>
        <v>656.22295138888899</v>
      </c>
      <c r="BF82" s="477">
        <f t="shared" si="88"/>
        <v>667.26739583333347</v>
      </c>
    </row>
  </sheetData>
  <conditionalFormatting sqref="AC8:BF8">
    <cfRule type="expression" dxfId="37" priority="7">
      <formula>IF(AC8&lt;&gt;(AB8+1),TRUE,FALSE)</formula>
    </cfRule>
  </conditionalFormatting>
  <conditionalFormatting sqref="AB1:BF1048576">
    <cfRule type="expression" dxfId="36" priority="3">
      <formula>IF(AB$12&lt;&gt;"",TRUE,FALSE)</formula>
    </cfRule>
  </conditionalFormatting>
  <conditionalFormatting sqref="A14:BF10000">
    <cfRule type="expression" dxfId="35" priority="2">
      <formula>IF($C14="ON",TRUE,FALSE)</formula>
    </cfRule>
  </conditionalFormatting>
  <conditionalFormatting sqref="A14:BF100000">
    <cfRule type="expression" dxfId="34" priority="1">
      <formula>IF($C14="OFF",TRUE,FALSE)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02" t="s">
        <v>1</v>
      </c>
      <c r="I3" s="502"/>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03" t="s">
        <v>22</v>
      </c>
      <c r="G21" s="503"/>
      <c r="H21" s="503"/>
      <c r="I21" s="503"/>
    </row>
    <row r="22" spans="3:25" ht="18">
      <c r="F22" s="504" t="s">
        <v>23</v>
      </c>
      <c r="G22" s="504"/>
      <c r="H22" s="504"/>
      <c r="I22" s="29">
        <v>20</v>
      </c>
      <c r="O22" s="30"/>
    </row>
    <row r="23" spans="3:25" ht="15">
      <c r="F23" s="501" t="s">
        <v>24</v>
      </c>
      <c r="G23" s="501"/>
      <c r="H23" s="501"/>
      <c r="I23" s="29">
        <f>0.7*I22/10</f>
        <v>1.4</v>
      </c>
    </row>
    <row r="24" spans="3:25" ht="15">
      <c r="F24" s="501" t="s">
        <v>25</v>
      </c>
      <c r="G24" s="501"/>
      <c r="H24" s="501"/>
      <c r="I24" s="29">
        <v>2</v>
      </c>
    </row>
    <row r="25" spans="3:25" ht="15">
      <c r="F25" s="501" t="s">
        <v>26</v>
      </c>
      <c r="G25" s="501"/>
      <c r="H25" s="501"/>
      <c r="I25" s="29">
        <v>0</v>
      </c>
    </row>
    <row r="26" spans="3:25" ht="15">
      <c r="F26" s="501" t="s">
        <v>27</v>
      </c>
      <c r="G26" s="501"/>
      <c r="H26" s="501"/>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02" t="s">
        <v>1</v>
      </c>
      <c r="I33" s="502"/>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03" t="s">
        <v>22</v>
      </c>
      <c r="G51" s="503"/>
      <c r="H51" s="503"/>
      <c r="I51" s="503"/>
      <c r="K51" t="s">
        <v>33</v>
      </c>
      <c r="L51" t="s">
        <v>34</v>
      </c>
    </row>
    <row r="52" spans="3:25" ht="18">
      <c r="F52" s="504" t="s">
        <v>23</v>
      </c>
      <c r="G52" s="504"/>
      <c r="H52" s="504"/>
      <c r="I52" s="29">
        <v>20</v>
      </c>
      <c r="K52">
        <v>1</v>
      </c>
      <c r="L52">
        <v>2</v>
      </c>
      <c r="O52" s="30"/>
    </row>
    <row r="53" spans="3:25" ht="15">
      <c r="F53" s="501" t="s">
        <v>24</v>
      </c>
      <c r="G53" s="501"/>
      <c r="H53" s="501"/>
      <c r="I53" s="29">
        <f>0.7*I52/10</f>
        <v>1.4</v>
      </c>
      <c r="K53">
        <v>3</v>
      </c>
      <c r="L53">
        <v>6</v>
      </c>
      <c r="M53" t="str">
        <f>IF((K53/L53)=INT(K53/L53), "good", "bad")</f>
        <v>bad</v>
      </c>
    </row>
    <row r="54" spans="3:25" ht="15">
      <c r="F54" s="501" t="s">
        <v>25</v>
      </c>
      <c r="G54" s="501"/>
      <c r="H54" s="501"/>
      <c r="I54" s="29">
        <v>2</v>
      </c>
      <c r="K54">
        <v>1</v>
      </c>
      <c r="L54">
        <v>2</v>
      </c>
      <c r="M54" t="str">
        <f>IF((K54/L54)=INT(K54/L54), "good", "bad")</f>
        <v>bad</v>
      </c>
    </row>
    <row r="55" spans="3:25" ht="15">
      <c r="F55" s="501" t="s">
        <v>26</v>
      </c>
      <c r="G55" s="501"/>
      <c r="H55" s="501"/>
      <c r="I55" s="29">
        <v>0</v>
      </c>
      <c r="K55">
        <v>1</v>
      </c>
      <c r="L55">
        <v>2</v>
      </c>
      <c r="M55" t="str">
        <f>IF((K55/L55)=INT(K55/L55), "good", "bad")</f>
        <v>bad</v>
      </c>
    </row>
    <row r="56" spans="3:25" ht="15">
      <c r="F56" s="501" t="s">
        <v>27</v>
      </c>
      <c r="G56" s="501"/>
      <c r="H56" s="501"/>
      <c r="I56" s="29">
        <v>0</v>
      </c>
    </row>
    <row r="58" spans="3:25" ht="15">
      <c r="Y58" t="s">
        <v>28</v>
      </c>
    </row>
    <row r="60" spans="3:25" ht="15">
      <c r="C60" s="6" t="s">
        <v>35</v>
      </c>
      <c r="D60" s="7"/>
      <c r="E60" s="6"/>
      <c r="F60" s="8"/>
      <c r="G60" s="8"/>
      <c r="H60" s="8"/>
      <c r="I60" s="9"/>
      <c r="J60" s="9"/>
      <c r="K60" s="8"/>
      <c r="L60" s="8"/>
      <c r="M60" s="8"/>
      <c r="N60" s="10"/>
      <c r="O60" s="9"/>
      <c r="P60" s="9"/>
    </row>
    <row r="61" spans="3:25" ht="15">
      <c r="H61" s="502" t="s">
        <v>1</v>
      </c>
      <c r="I61" s="502"/>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03" t="s">
        <v>22</v>
      </c>
      <c r="G79" s="503"/>
      <c r="H79" s="503"/>
      <c r="I79" s="503"/>
    </row>
    <row r="80" spans="6:18" ht="18">
      <c r="F80" s="504" t="s">
        <v>23</v>
      </c>
      <c r="G80" s="504"/>
      <c r="H80" s="504"/>
      <c r="I80" s="29">
        <v>20</v>
      </c>
      <c r="O80" s="30"/>
    </row>
    <row r="81" spans="3:25" ht="15">
      <c r="F81" s="501" t="s">
        <v>24</v>
      </c>
      <c r="G81" s="501"/>
      <c r="H81" s="501"/>
      <c r="I81" s="29">
        <f>0.7*I80/10</f>
        <v>1.4</v>
      </c>
    </row>
    <row r="82" spans="3:25" ht="15">
      <c r="F82" s="501" t="s">
        <v>25</v>
      </c>
      <c r="G82" s="501"/>
      <c r="H82" s="501"/>
      <c r="I82" s="29">
        <v>2</v>
      </c>
    </row>
    <row r="83" spans="3:25" ht="15">
      <c r="F83" s="501" t="s">
        <v>26</v>
      </c>
      <c r="G83" s="501"/>
      <c r="H83" s="501"/>
      <c r="I83" s="29">
        <v>0</v>
      </c>
    </row>
    <row r="84" spans="3:25" ht="15">
      <c r="F84" s="501" t="s">
        <v>27</v>
      </c>
      <c r="G84" s="501"/>
      <c r="H84" s="501"/>
      <c r="I84" s="29">
        <v>0</v>
      </c>
    </row>
    <row r="86" spans="3:25" ht="15">
      <c r="Y86" t="s">
        <v>28</v>
      </c>
    </row>
    <row r="90" spans="3:25" ht="15">
      <c r="C90" s="6" t="s">
        <v>36</v>
      </c>
      <c r="D90" s="7"/>
      <c r="E90" s="6"/>
      <c r="F90" s="8"/>
      <c r="G90" s="8"/>
      <c r="H90" s="8"/>
      <c r="I90" s="9"/>
      <c r="J90" s="9"/>
      <c r="K90" s="8"/>
      <c r="L90" s="8"/>
      <c r="M90" s="8"/>
      <c r="N90" s="10"/>
      <c r="O90" s="9"/>
      <c r="P90" s="9"/>
    </row>
    <row r="91" spans="3:25" ht="15">
      <c r="H91" s="502" t="s">
        <v>1</v>
      </c>
      <c r="I91" s="502"/>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03" t="s">
        <v>22</v>
      </c>
      <c r="G109" s="503"/>
      <c r="H109" s="503"/>
      <c r="I109" s="503"/>
    </row>
    <row r="110" spans="6:18" ht="18">
      <c r="F110" s="504" t="s">
        <v>23</v>
      </c>
      <c r="G110" s="504"/>
      <c r="H110" s="504"/>
      <c r="I110" s="29">
        <v>20</v>
      </c>
      <c r="O110" s="30"/>
    </row>
    <row r="111" spans="6:18" ht="15">
      <c r="F111" s="501" t="s">
        <v>24</v>
      </c>
      <c r="G111" s="501"/>
      <c r="H111" s="501"/>
      <c r="I111" s="29">
        <f>0.7*I110/10</f>
        <v>1.4</v>
      </c>
    </row>
    <row r="112" spans="6:18" ht="15">
      <c r="F112" s="501" t="s">
        <v>25</v>
      </c>
      <c r="G112" s="501"/>
      <c r="H112" s="501"/>
      <c r="I112" s="29">
        <v>2</v>
      </c>
    </row>
    <row r="113" spans="3:17" ht="15">
      <c r="F113" s="501" t="s">
        <v>26</v>
      </c>
      <c r="G113" s="501"/>
      <c r="H113" s="501"/>
      <c r="I113" s="29">
        <v>2</v>
      </c>
    </row>
    <row r="114" spans="3:17" ht="15">
      <c r="F114" s="501" t="s">
        <v>27</v>
      </c>
      <c r="G114" s="501"/>
      <c r="H114" s="501"/>
      <c r="I114" s="29">
        <v>2</v>
      </c>
    </row>
    <row r="119" spans="3:17" ht="15">
      <c r="C119" s="6" t="s">
        <v>38</v>
      </c>
      <c r="D119" s="7"/>
      <c r="E119" s="6"/>
      <c r="F119" s="8"/>
      <c r="G119" s="8"/>
      <c r="H119" s="8"/>
      <c r="I119" s="9"/>
      <c r="J119" s="9"/>
      <c r="K119" s="8"/>
      <c r="L119" s="8"/>
      <c r="M119" s="8"/>
      <c r="N119" s="10"/>
      <c r="O119" s="9"/>
      <c r="P119" s="9"/>
    </row>
    <row r="120" spans="3:17" ht="15">
      <c r="H120" s="502" t="s">
        <v>1</v>
      </c>
      <c r="I120" s="502"/>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03" t="s">
        <v>22</v>
      </c>
      <c r="G138" s="503"/>
      <c r="H138" s="503"/>
      <c r="I138" s="503"/>
    </row>
    <row r="139" spans="6:18" ht="18">
      <c r="F139" s="504" t="s">
        <v>23</v>
      </c>
      <c r="G139" s="504"/>
      <c r="H139" s="504"/>
      <c r="I139" s="29">
        <v>20</v>
      </c>
      <c r="O139" s="30"/>
    </row>
    <row r="140" spans="6:18" ht="15">
      <c r="F140" s="501" t="s">
        <v>24</v>
      </c>
      <c r="G140" s="501"/>
      <c r="H140" s="501"/>
      <c r="I140" s="29">
        <f>0.7*I139/10</f>
        <v>1.4</v>
      </c>
    </row>
    <row r="141" spans="6:18" ht="15">
      <c r="F141" s="501" t="s">
        <v>25</v>
      </c>
      <c r="G141" s="501"/>
      <c r="H141" s="501"/>
      <c r="I141" s="29">
        <v>2</v>
      </c>
    </row>
    <row r="142" spans="6:18" ht="15">
      <c r="F142" s="501" t="s">
        <v>26</v>
      </c>
      <c r="G142" s="501"/>
      <c r="H142" s="501"/>
      <c r="I142" s="29">
        <v>1</v>
      </c>
    </row>
    <row r="143" spans="6:18" ht="15">
      <c r="F143" s="501" t="s">
        <v>27</v>
      </c>
      <c r="G143" s="501"/>
      <c r="H143" s="501"/>
      <c r="I143" s="29">
        <v>1</v>
      </c>
    </row>
    <row r="149" spans="3:17" ht="15">
      <c r="C149" s="6" t="s">
        <v>39</v>
      </c>
      <c r="D149" s="7"/>
      <c r="E149" s="6"/>
      <c r="F149" s="8"/>
      <c r="G149" s="8"/>
      <c r="H149" s="8"/>
      <c r="I149" s="9"/>
      <c r="J149" s="9"/>
      <c r="K149" s="8"/>
      <c r="L149" s="8"/>
      <c r="M149" s="8"/>
      <c r="N149" s="10"/>
      <c r="O149" s="9"/>
      <c r="P149" s="9"/>
    </row>
    <row r="150" spans="3:17" ht="15">
      <c r="H150" s="502" t="s">
        <v>1</v>
      </c>
      <c r="I150" s="502"/>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03" t="s">
        <v>22</v>
      </c>
      <c r="G168" s="503"/>
      <c r="H168" s="503"/>
      <c r="I168" s="503"/>
    </row>
    <row r="169" spans="6:18" ht="18">
      <c r="F169" s="504" t="s">
        <v>23</v>
      </c>
      <c r="G169" s="504"/>
      <c r="H169" s="504"/>
      <c r="I169" s="29">
        <v>20</v>
      </c>
      <c r="O169" s="30"/>
    </row>
    <row r="170" spans="6:18" ht="15">
      <c r="F170" s="501" t="s">
        <v>24</v>
      </c>
      <c r="G170" s="501"/>
      <c r="H170" s="501"/>
      <c r="I170" s="29">
        <f>0.7*I169/10</f>
        <v>1.4</v>
      </c>
    </row>
    <row r="171" spans="6:18" ht="15">
      <c r="F171" s="501" t="s">
        <v>25</v>
      </c>
      <c r="G171" s="501"/>
      <c r="H171" s="501"/>
      <c r="I171" s="29">
        <v>2</v>
      </c>
    </row>
    <row r="172" spans="6:18" ht="15">
      <c r="F172" s="501" t="s">
        <v>26</v>
      </c>
      <c r="G172" s="501"/>
      <c r="H172" s="501"/>
      <c r="I172" s="29">
        <v>1</v>
      </c>
    </row>
    <row r="173" spans="6:18" ht="15">
      <c r="F173" s="501" t="s">
        <v>27</v>
      </c>
      <c r="G173" s="501"/>
      <c r="H173" s="501"/>
      <c r="I173" s="29">
        <v>1</v>
      </c>
    </row>
    <row r="178" spans="3:17" ht="15">
      <c r="C178" s="6" t="s">
        <v>40</v>
      </c>
      <c r="D178" s="7"/>
      <c r="E178" s="6"/>
      <c r="F178" s="8"/>
      <c r="G178" s="8"/>
      <c r="H178" s="8"/>
      <c r="I178" s="9"/>
      <c r="J178" s="9"/>
      <c r="K178" s="8"/>
      <c r="L178" s="8"/>
      <c r="M178" s="8"/>
      <c r="N178" s="10"/>
      <c r="O178" s="9"/>
      <c r="P178" s="9"/>
    </row>
    <row r="179" spans="3:17" ht="15">
      <c r="H179" s="502" t="s">
        <v>1</v>
      </c>
      <c r="I179" s="502"/>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03" t="s">
        <v>22</v>
      </c>
      <c r="G197" s="503"/>
      <c r="H197" s="503"/>
      <c r="I197" s="503"/>
    </row>
    <row r="198" spans="6:19" ht="18">
      <c r="F198" s="504" t="s">
        <v>23</v>
      </c>
      <c r="G198" s="504"/>
      <c r="H198" s="504"/>
      <c r="I198" s="29">
        <v>20</v>
      </c>
      <c r="O198" s="30"/>
    </row>
    <row r="199" spans="6:19" ht="15">
      <c r="F199" s="501" t="s">
        <v>24</v>
      </c>
      <c r="G199" s="501"/>
      <c r="H199" s="501"/>
      <c r="I199" s="29">
        <f>0.7*I198/10</f>
        <v>1.4</v>
      </c>
    </row>
    <row r="200" spans="6:19" ht="15">
      <c r="F200" s="501" t="s">
        <v>25</v>
      </c>
      <c r="G200" s="501"/>
      <c r="H200" s="501"/>
      <c r="I200" s="29">
        <v>2</v>
      </c>
    </row>
    <row r="201" spans="6:19" ht="15">
      <c r="F201" s="501" t="s">
        <v>26</v>
      </c>
      <c r="G201" s="501"/>
      <c r="H201" s="501"/>
      <c r="I201" s="29">
        <v>1</v>
      </c>
    </row>
    <row r="202" spans="6:19" ht="15">
      <c r="F202" s="501" t="s">
        <v>27</v>
      </c>
      <c r="G202" s="501"/>
      <c r="H202" s="501"/>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02" t="s">
        <v>1</v>
      </c>
      <c r="I219" s="502"/>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03" t="s">
        <v>22</v>
      </c>
      <c r="G237" s="503"/>
      <c r="H237" s="503"/>
      <c r="I237" s="503"/>
    </row>
    <row r="238" spans="6:19" ht="18">
      <c r="F238" s="504" t="s">
        <v>23</v>
      </c>
      <c r="G238" s="504"/>
      <c r="H238" s="504"/>
      <c r="I238" s="29">
        <v>20</v>
      </c>
      <c r="O238" s="30"/>
      <c r="P238" s="40" t="s">
        <v>47</v>
      </c>
      <c r="Q238" s="41"/>
      <c r="R238" s="42">
        <f>P235</f>
        <v>643.01035679999995</v>
      </c>
      <c r="S238" s="43" t="s">
        <v>42</v>
      </c>
    </row>
    <row r="239" spans="6:19" ht="15">
      <c r="F239" s="501" t="s">
        <v>24</v>
      </c>
      <c r="G239" s="501"/>
      <c r="H239" s="501"/>
      <c r="I239" s="29">
        <f>0.7*I238/10</f>
        <v>1.4</v>
      </c>
    </row>
    <row r="240" spans="6:19" ht="15">
      <c r="F240" s="501" t="s">
        <v>25</v>
      </c>
      <c r="G240" s="501"/>
      <c r="H240" s="501"/>
      <c r="I240" s="29">
        <v>2</v>
      </c>
    </row>
    <row r="241" spans="3:19" ht="15">
      <c r="F241" s="501" t="s">
        <v>26</v>
      </c>
      <c r="G241" s="501"/>
      <c r="H241" s="501"/>
      <c r="I241" s="29">
        <v>20</v>
      </c>
    </row>
    <row r="242" spans="3:19" ht="15">
      <c r="F242" s="501" t="s">
        <v>27</v>
      </c>
      <c r="G242" s="501"/>
      <c r="H242" s="501"/>
      <c r="I242" s="29">
        <v>8</v>
      </c>
    </row>
    <row r="246" spans="3:19" ht="15">
      <c r="C246" s="6" t="s">
        <v>48</v>
      </c>
      <c r="D246" s="7"/>
      <c r="E246" s="6"/>
      <c r="F246" s="8"/>
      <c r="G246" s="8"/>
      <c r="H246" s="8"/>
      <c r="I246" s="9"/>
      <c r="J246" s="9"/>
      <c r="K246" s="8"/>
      <c r="L246" s="8"/>
      <c r="M246" s="8"/>
      <c r="N246" s="10"/>
      <c r="O246" s="9"/>
      <c r="P246" s="9"/>
    </row>
    <row r="247" spans="3:19" ht="15">
      <c r="H247" s="502" t="s">
        <v>1</v>
      </c>
      <c r="I247" s="502"/>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03" t="s">
        <v>22</v>
      </c>
      <c r="G265" s="503"/>
      <c r="H265" s="503"/>
      <c r="I265" s="503"/>
      <c r="K265" s="54" t="s">
        <v>58</v>
      </c>
      <c r="L265" s="55"/>
      <c r="M265" s="55"/>
      <c r="N265" s="56"/>
      <c r="O265" s="57" t="s">
        <v>59</v>
      </c>
      <c r="P265" s="57" t="s">
        <v>60</v>
      </c>
      <c r="Q265" s="58"/>
      <c r="S265" s="59" t="s">
        <v>61</v>
      </c>
      <c r="T265" s="60"/>
      <c r="U265" s="55"/>
      <c r="V265" s="56"/>
      <c r="W265" s="57" t="s">
        <v>59</v>
      </c>
      <c r="X265" s="57" t="s">
        <v>60</v>
      </c>
      <c r="Y265" s="58"/>
    </row>
    <row r="266" spans="6:25" ht="18">
      <c r="F266" s="504" t="s">
        <v>23</v>
      </c>
      <c r="G266" s="504"/>
      <c r="H266" s="504"/>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01" t="s">
        <v>24</v>
      </c>
      <c r="G267" s="501"/>
      <c r="H267" s="501"/>
      <c r="I267" s="29">
        <f>0.7*I266/10</f>
        <v>1.4</v>
      </c>
      <c r="K267" s="61"/>
      <c r="L267" s="46"/>
      <c r="M267" s="46"/>
      <c r="N267" s="46"/>
      <c r="O267" s="66" t="s">
        <v>62</v>
      </c>
      <c r="P267" s="46"/>
      <c r="Q267" s="64"/>
      <c r="S267" s="61"/>
      <c r="T267" s="65"/>
      <c r="U267" s="46"/>
      <c r="V267" s="46"/>
      <c r="W267" s="66" t="s">
        <v>62</v>
      </c>
      <c r="X267" s="62"/>
      <c r="Y267" s="64"/>
    </row>
    <row r="268" spans="6:25" ht="15">
      <c r="F268" s="501" t="s">
        <v>25</v>
      </c>
      <c r="G268" s="501"/>
      <c r="H268" s="501"/>
      <c r="I268" s="29">
        <v>2</v>
      </c>
      <c r="K268" s="61"/>
      <c r="L268" s="67"/>
      <c r="M268" s="46"/>
      <c r="N268" s="46"/>
      <c r="O268" s="68">
        <f>Q238/86400</f>
        <v>0</v>
      </c>
      <c r="P268" s="46"/>
      <c r="Q268" s="64"/>
      <c r="S268" s="61"/>
      <c r="T268" s="69"/>
      <c r="U268" s="46"/>
      <c r="V268" s="46"/>
      <c r="W268" s="68">
        <f>Y238/86400</f>
        <v>0</v>
      </c>
      <c r="X268" s="46"/>
      <c r="Y268" s="64"/>
    </row>
    <row r="269" spans="6:25" ht="15">
      <c r="F269" s="501" t="s">
        <v>63</v>
      </c>
      <c r="G269" s="501"/>
      <c r="H269" s="501"/>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01" t="s">
        <v>71</v>
      </c>
      <c r="G270" s="501"/>
      <c r="H270" s="501"/>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opLeftCell="A11" zoomScaleNormal="100" workbookViewId="0">
      <pane ySplit="2970" topLeftCell="A265" activePane="bottomLeft"/>
      <selection activeCell="V10" sqref="V10"/>
      <selection pane="bottomLeft" activeCell="L265" sqref="L265"/>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59 E61:K1048576 E60:H60 J60:K60">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09" t="s">
        <v>1781</v>
      </c>
      <c r="C25" s="509"/>
      <c r="D25" s="509"/>
      <c r="E25" s="509"/>
      <c r="F25" s="509"/>
      <c r="G25" s="509"/>
      <c r="H25" s="509"/>
      <c r="I25" s="509"/>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14" t="s">
        <v>1791</v>
      </c>
      <c r="K30" s="514"/>
      <c r="L30" s="514"/>
      <c r="M30" s="514"/>
      <c r="N30" s="514"/>
    </row>
    <row r="31" spans="2:22">
      <c r="B31" s="339" t="s">
        <v>1765</v>
      </c>
      <c r="C31" s="339" t="s">
        <v>1766</v>
      </c>
      <c r="D31" s="339">
        <f>$E$8</f>
        <v>1632</v>
      </c>
      <c r="E31" s="339" t="s">
        <v>1790</v>
      </c>
      <c r="F31" s="339">
        <v>0</v>
      </c>
      <c r="G31" s="339">
        <f>D31*F31</f>
        <v>0</v>
      </c>
      <c r="H31" s="339">
        <v>0</v>
      </c>
      <c r="I31" s="339">
        <f>G31*H31/1000000</f>
        <v>0</v>
      </c>
      <c r="J31" s="514"/>
      <c r="K31" s="514"/>
      <c r="L31" s="514"/>
      <c r="M31" s="514"/>
      <c r="N31" s="514"/>
    </row>
    <row r="32" spans="2:22" ht="15.75">
      <c r="B32" s="513"/>
      <c r="C32" s="513"/>
      <c r="D32" s="513"/>
      <c r="E32" s="513"/>
      <c r="F32" s="513"/>
      <c r="G32" s="513"/>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09" t="s">
        <v>1793</v>
      </c>
      <c r="C38" s="509"/>
      <c r="D38" s="509"/>
      <c r="E38" s="509"/>
      <c r="F38" s="509"/>
      <c r="G38" s="509"/>
      <c r="H38" s="509"/>
      <c r="I38" s="509"/>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15" t="s">
        <v>1794</v>
      </c>
      <c r="K43" s="515"/>
      <c r="L43" s="515"/>
      <c r="M43" s="515"/>
      <c r="N43" s="515"/>
      <c r="O43" s="276"/>
    </row>
    <row r="44" spans="2:16">
      <c r="B44" s="339" t="s">
        <v>1765</v>
      </c>
      <c r="C44" s="339" t="s">
        <v>1766</v>
      </c>
      <c r="D44" s="339">
        <f>$E$8</f>
        <v>1632</v>
      </c>
      <c r="E44" s="339" t="s">
        <v>1755</v>
      </c>
      <c r="F44" s="339">
        <f>$M$4*$F$8</f>
        <v>7.2916666666666659E-4</v>
      </c>
      <c r="G44" s="339">
        <f>D44*F44</f>
        <v>1.19</v>
      </c>
      <c r="H44" s="339">
        <v>86400</v>
      </c>
      <c r="I44" s="339">
        <f>G44*H44/1000000</f>
        <v>0.102816</v>
      </c>
      <c r="J44" s="515"/>
      <c r="K44" s="515"/>
      <c r="L44" s="515"/>
      <c r="M44" s="515"/>
      <c r="N44" s="515"/>
      <c r="O44" s="276"/>
    </row>
    <row r="45" spans="2:16">
      <c r="B45" s="513"/>
      <c r="C45" s="513"/>
      <c r="D45" s="513"/>
      <c r="E45" s="513"/>
      <c r="F45" s="513"/>
      <c r="G45" s="513"/>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09" t="s">
        <v>1795</v>
      </c>
      <c r="C47" s="509"/>
      <c r="D47" s="509"/>
      <c r="E47" s="509"/>
      <c r="F47" s="509"/>
      <c r="G47" s="509"/>
      <c r="H47" s="509"/>
      <c r="I47" s="509"/>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13"/>
      <c r="C54" s="513"/>
      <c r="D54" s="513"/>
      <c r="E54" s="513"/>
      <c r="F54" s="513"/>
      <c r="G54" s="513"/>
      <c r="H54" s="343" t="s">
        <v>1792</v>
      </c>
      <c r="I54" s="343">
        <f>SUM(I49:I53)</f>
        <v>12.231428210526317</v>
      </c>
      <c r="J54" s="91">
        <f>I54*1000000/86400</f>
        <v>141.56745614035088</v>
      </c>
      <c r="K54">
        <f>J54/8</f>
        <v>17.695932017543861</v>
      </c>
    </row>
    <row r="55" spans="2:11">
      <c r="I55" s="91"/>
      <c r="J55" s="3" t="s">
        <v>6</v>
      </c>
      <c r="K55" s="3" t="s">
        <v>4119</v>
      </c>
    </row>
    <row r="56" spans="2:11" ht="18.75">
      <c r="B56" s="509" t="s">
        <v>1796</v>
      </c>
      <c r="C56" s="509"/>
      <c r="D56" s="509"/>
      <c r="E56" s="509"/>
      <c r="F56" s="509"/>
      <c r="G56" s="509"/>
      <c r="H56" s="509"/>
      <c r="I56" s="509"/>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13"/>
      <c r="C63" s="513"/>
      <c r="D63" s="513"/>
      <c r="E63" s="513"/>
      <c r="F63" s="513"/>
      <c r="G63" s="513"/>
      <c r="H63" s="343" t="s">
        <v>1792</v>
      </c>
      <c r="I63" s="343">
        <f>SUM(I58:I62)</f>
        <v>4.9738282105263156</v>
      </c>
      <c r="J63" s="91">
        <f>I63*1000000/86400</f>
        <v>57.56745614035087</v>
      </c>
      <c r="K63">
        <f>J63/8</f>
        <v>7.1959320175438588</v>
      </c>
    </row>
    <row r="64" spans="2:11">
      <c r="I64" s="91"/>
      <c r="J64" s="3" t="s">
        <v>6</v>
      </c>
      <c r="K64" s="3" t="s">
        <v>4119</v>
      </c>
    </row>
    <row r="65" spans="2:11" ht="18.75">
      <c r="B65" s="509" t="s">
        <v>1797</v>
      </c>
      <c r="C65" s="509"/>
      <c r="D65" s="509"/>
      <c r="E65" s="509"/>
      <c r="F65" s="509"/>
      <c r="G65" s="509"/>
      <c r="H65" s="509"/>
      <c r="I65" s="509"/>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13"/>
      <c r="C72" s="513"/>
      <c r="D72" s="513"/>
      <c r="E72" s="513"/>
      <c r="F72" s="513"/>
      <c r="G72" s="513"/>
      <c r="H72" s="343" t="s">
        <v>1792</v>
      </c>
      <c r="I72" s="343">
        <f>SUM(I67:I71)</f>
        <v>2.5546282105263156</v>
      </c>
      <c r="J72" s="91">
        <f>I72*1000000/86400</f>
        <v>29.567456140350874</v>
      </c>
      <c r="K72" s="397">
        <f>J72/8</f>
        <v>3.6959320175438592</v>
      </c>
    </row>
    <row r="73" spans="2:11">
      <c r="J73" s="3" t="s">
        <v>6</v>
      </c>
      <c r="K73" s="3" t="s">
        <v>4119</v>
      </c>
    </row>
    <row r="74" spans="2:11" ht="18.75">
      <c r="B74" s="509" t="s">
        <v>1798</v>
      </c>
      <c r="C74" s="509"/>
      <c r="D74" s="509"/>
      <c r="E74" s="509"/>
      <c r="F74" s="509"/>
      <c r="G74" s="509"/>
      <c r="H74" s="509"/>
      <c r="I74" s="509"/>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13"/>
      <c r="C81" s="513"/>
      <c r="D81" s="513"/>
      <c r="E81" s="513"/>
      <c r="F81" s="513"/>
      <c r="G81" s="513"/>
      <c r="H81" s="343" t="s">
        <v>1792</v>
      </c>
      <c r="I81" s="343">
        <f>SUM(I76:I80)</f>
        <v>1.3450282105263158</v>
      </c>
      <c r="J81" s="91">
        <f>I81*1000000/86400</f>
        <v>15.567456140350876</v>
      </c>
      <c r="K81">
        <f>J81/8</f>
        <v>1.9459320175438595</v>
      </c>
    </row>
    <row r="82" spans="2:11">
      <c r="I82" s="91"/>
      <c r="J82" s="3" t="s">
        <v>6</v>
      </c>
      <c r="K82" s="3" t="s">
        <v>4119</v>
      </c>
    </row>
    <row r="83" spans="2:11" ht="18.75">
      <c r="B83" s="509" t="s">
        <v>1799</v>
      </c>
      <c r="C83" s="509"/>
      <c r="D83" s="509"/>
      <c r="E83" s="509"/>
      <c r="F83" s="509"/>
      <c r="G83" s="509"/>
      <c r="H83" s="509"/>
      <c r="I83" s="509"/>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09" t="s">
        <v>1800</v>
      </c>
      <c r="C92" s="509"/>
      <c r="D92" s="509"/>
      <c r="E92" s="509"/>
      <c r="F92" s="509"/>
      <c r="G92" s="509"/>
      <c r="H92" s="509"/>
      <c r="I92" s="509"/>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13"/>
      <c r="C99" s="513"/>
      <c r="D99" s="513"/>
      <c r="E99" s="513"/>
      <c r="F99" s="513"/>
      <c r="G99" s="513"/>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09" t="s">
        <v>1801</v>
      </c>
      <c r="C101" s="509"/>
      <c r="D101" s="509"/>
      <c r="E101" s="509"/>
      <c r="F101" s="509"/>
      <c r="G101" s="509"/>
      <c r="H101" s="509"/>
      <c r="I101" s="509"/>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13"/>
      <c r="C108" s="513"/>
      <c r="D108" s="513"/>
      <c r="E108" s="513"/>
      <c r="F108" s="513"/>
      <c r="G108" s="513"/>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09" t="s">
        <v>1802</v>
      </c>
      <c r="C110" s="509"/>
      <c r="D110" s="509"/>
      <c r="E110" s="509"/>
      <c r="F110" s="509"/>
      <c r="G110" s="509"/>
      <c r="H110" s="509"/>
      <c r="I110" s="509"/>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13"/>
      <c r="C117" s="513"/>
      <c r="D117" s="513"/>
      <c r="E117" s="513"/>
      <c r="F117" s="513"/>
      <c r="G117" s="513"/>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09" t="s">
        <v>1803</v>
      </c>
      <c r="C119" s="509"/>
      <c r="D119" s="509"/>
      <c r="E119" s="509"/>
      <c r="F119" s="509"/>
      <c r="G119" s="509"/>
      <c r="H119" s="509"/>
      <c r="I119" s="509"/>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13"/>
      <c r="C126" s="513"/>
      <c r="D126" s="513"/>
      <c r="E126" s="513"/>
      <c r="F126" s="513"/>
      <c r="G126" s="513"/>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09" t="s">
        <v>1804</v>
      </c>
      <c r="C128" s="509"/>
      <c r="D128" s="509"/>
      <c r="E128" s="509"/>
      <c r="F128" s="509"/>
      <c r="G128" s="509"/>
      <c r="H128" s="509"/>
      <c r="I128" s="509"/>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13"/>
      <c r="C135" s="513"/>
      <c r="D135" s="513"/>
      <c r="E135" s="513"/>
      <c r="F135" s="513"/>
      <c r="G135" s="513"/>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09" t="s">
        <v>1805</v>
      </c>
      <c r="C137" s="509"/>
      <c r="D137" s="509"/>
      <c r="E137" s="509"/>
      <c r="F137" s="509"/>
      <c r="G137" s="509"/>
      <c r="H137" s="509"/>
      <c r="I137" s="509"/>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10"/>
      <c r="C144" s="510"/>
      <c r="D144" s="510"/>
      <c r="E144" s="510"/>
      <c r="F144" s="510"/>
      <c r="G144" s="510"/>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11" t="s">
        <v>1806</v>
      </c>
      <c r="C149" s="511"/>
      <c r="D149" s="511"/>
      <c r="E149" s="511"/>
      <c r="F149" s="511"/>
      <c r="G149" s="511"/>
      <c r="H149" s="511"/>
      <c r="I149" s="511"/>
      <c r="J149" s="512" t="s">
        <v>1807</v>
      </c>
      <c r="K149" s="512"/>
      <c r="L149" s="512"/>
      <c r="M149" s="512"/>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13"/>
      <c r="C156" s="513"/>
      <c r="D156" s="513"/>
      <c r="E156" s="513"/>
      <c r="F156" s="513"/>
      <c r="G156" s="513"/>
      <c r="H156" s="343" t="s">
        <v>1792</v>
      </c>
      <c r="I156" s="343">
        <f>SUM(I151:I155)+(15000/1000000)</f>
        <v>6.351</v>
      </c>
      <c r="J156" s="91"/>
    </row>
    <row r="162" spans="2:7" ht="72" customHeight="1">
      <c r="B162" s="506" t="s">
        <v>1808</v>
      </c>
      <c r="C162" s="349" t="s">
        <v>1809</v>
      </c>
      <c r="D162" s="350" t="s">
        <v>1810</v>
      </c>
      <c r="E162" s="507" t="s">
        <v>1811</v>
      </c>
      <c r="F162" s="507"/>
      <c r="G162" s="507"/>
    </row>
    <row r="163" spans="2:7" ht="78.75" customHeight="1">
      <c r="B163" s="506"/>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06" t="s">
        <v>1808</v>
      </c>
      <c r="C179" s="349" t="s">
        <v>1809</v>
      </c>
      <c r="D179" s="350" t="s">
        <v>1810</v>
      </c>
    </row>
    <row r="180" spans="2:11" ht="36">
      <c r="B180" s="506"/>
      <c r="C180" s="1" t="s">
        <v>1814</v>
      </c>
      <c r="D180" s="350" t="s">
        <v>1815</v>
      </c>
    </row>
    <row r="181" spans="2:11" ht="36">
      <c r="B181" s="351" t="s">
        <v>1816</v>
      </c>
      <c r="C181" s="356">
        <f>$I$32</f>
        <v>24.222884210526313</v>
      </c>
      <c r="D181" s="356">
        <f>C181*365.25/1000</f>
        <v>8.847408457894737</v>
      </c>
    </row>
    <row r="189" spans="2:11" ht="21" customHeight="1">
      <c r="B189" s="508" t="s">
        <v>1817</v>
      </c>
      <c r="C189" s="508"/>
      <c r="D189" s="508"/>
      <c r="E189" s="508"/>
      <c r="F189" s="508"/>
      <c r="G189" s="508"/>
      <c r="H189" s="508"/>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05" t="s">
        <v>1819</v>
      </c>
      <c r="C197" s="505"/>
      <c r="D197" s="505"/>
      <c r="F197" s="505" t="s">
        <v>1819</v>
      </c>
      <c r="G197" s="505"/>
      <c r="H197" s="505"/>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05" t="s">
        <v>1826</v>
      </c>
      <c r="C204" s="505"/>
      <c r="D204" s="505"/>
      <c r="F204" s="505" t="s">
        <v>1826</v>
      </c>
      <c r="G204" s="505"/>
      <c r="H204" s="505"/>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02" t="s">
        <v>1</v>
      </c>
      <c r="I3" s="502"/>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03" t="s">
        <v>22</v>
      </c>
      <c r="G21" s="503"/>
      <c r="H21" s="503"/>
      <c r="I21" s="503"/>
    </row>
    <row r="22" spans="3:25" ht="18">
      <c r="F22" s="504" t="s">
        <v>23</v>
      </c>
      <c r="G22" s="504"/>
      <c r="H22" s="504"/>
      <c r="I22" s="29">
        <v>20</v>
      </c>
      <c r="O22" s="30"/>
    </row>
    <row r="23" spans="3:25" ht="15">
      <c r="F23" s="501" t="s">
        <v>24</v>
      </c>
      <c r="G23" s="501"/>
      <c r="H23" s="501"/>
      <c r="I23" s="29">
        <f>0.7*I22/10</f>
        <v>1.4</v>
      </c>
    </row>
    <row r="24" spans="3:25" ht="15">
      <c r="F24" s="501" t="s">
        <v>25</v>
      </c>
      <c r="G24" s="501"/>
      <c r="H24" s="501"/>
      <c r="I24" s="29">
        <v>2</v>
      </c>
    </row>
    <row r="25" spans="3:25" ht="15">
      <c r="F25" s="501" t="s">
        <v>26</v>
      </c>
      <c r="G25" s="501"/>
      <c r="H25" s="501"/>
      <c r="I25" s="29">
        <v>0</v>
      </c>
    </row>
    <row r="26" spans="3:25" ht="15">
      <c r="F26" s="501" t="s">
        <v>27</v>
      </c>
      <c r="G26" s="501"/>
      <c r="H26" s="501"/>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02" t="s">
        <v>1</v>
      </c>
      <c r="I33" s="502"/>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03" t="s">
        <v>22</v>
      </c>
      <c r="G51" s="503"/>
      <c r="H51" s="503"/>
      <c r="I51" s="503"/>
      <c r="K51" t="s">
        <v>33</v>
      </c>
      <c r="L51" t="s">
        <v>34</v>
      </c>
    </row>
    <row r="52" spans="3:25" ht="18">
      <c r="F52" s="504" t="s">
        <v>23</v>
      </c>
      <c r="G52" s="504"/>
      <c r="H52" s="504"/>
      <c r="I52" s="29">
        <v>20</v>
      </c>
      <c r="K52">
        <v>1</v>
      </c>
      <c r="L52">
        <v>2</v>
      </c>
      <c r="O52" s="30"/>
    </row>
    <row r="53" spans="3:25" ht="15">
      <c r="F53" s="501" t="s">
        <v>24</v>
      </c>
      <c r="G53" s="501"/>
      <c r="H53" s="501"/>
      <c r="I53" s="29">
        <f>0.7*I52/10</f>
        <v>1.4</v>
      </c>
      <c r="K53">
        <v>3</v>
      </c>
      <c r="L53">
        <v>6</v>
      </c>
      <c r="M53" t="str">
        <f>IF((K53/L53)=INT(K53/L53), "good", "bad")</f>
        <v>bad</v>
      </c>
    </row>
    <row r="54" spans="3:25" ht="15">
      <c r="F54" s="501" t="s">
        <v>25</v>
      </c>
      <c r="G54" s="501"/>
      <c r="H54" s="501"/>
      <c r="I54" s="29">
        <v>2</v>
      </c>
      <c r="K54">
        <v>1</v>
      </c>
      <c r="L54">
        <v>2</v>
      </c>
      <c r="M54" t="str">
        <f>IF((K54/L54)=INT(K54/L54), "good", "bad")</f>
        <v>bad</v>
      </c>
    </row>
    <row r="55" spans="3:25" ht="15">
      <c r="F55" s="501" t="s">
        <v>26</v>
      </c>
      <c r="G55" s="501"/>
      <c r="H55" s="501"/>
      <c r="I55" s="29">
        <v>0</v>
      </c>
      <c r="K55">
        <v>1</v>
      </c>
      <c r="L55">
        <v>2</v>
      </c>
      <c r="M55" t="str">
        <f>IF((K55/L55)=INT(K55/L55), "good", "bad")</f>
        <v>bad</v>
      </c>
    </row>
    <row r="56" spans="3:25" ht="15">
      <c r="F56" s="501" t="s">
        <v>27</v>
      </c>
      <c r="G56" s="501"/>
      <c r="H56" s="501"/>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02" t="s">
        <v>1</v>
      </c>
      <c r="I61" s="502"/>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03" t="s">
        <v>22</v>
      </c>
      <c r="G79" s="503"/>
      <c r="H79" s="503"/>
      <c r="I79" s="503"/>
    </row>
    <row r="80" spans="6:18" ht="18">
      <c r="F80" s="504" t="s">
        <v>23</v>
      </c>
      <c r="G80" s="504"/>
      <c r="H80" s="504"/>
      <c r="I80" s="29">
        <v>20</v>
      </c>
      <c r="O80" s="30"/>
    </row>
    <row r="81" spans="3:25" ht="15">
      <c r="F81" s="501" t="s">
        <v>24</v>
      </c>
      <c r="G81" s="501"/>
      <c r="H81" s="501"/>
      <c r="I81" s="29">
        <f>0.7*I80/10</f>
        <v>1.4</v>
      </c>
    </row>
    <row r="82" spans="3:25" ht="15">
      <c r="F82" s="501" t="s">
        <v>25</v>
      </c>
      <c r="G82" s="501"/>
      <c r="H82" s="501"/>
      <c r="I82" s="29">
        <v>2</v>
      </c>
    </row>
    <row r="83" spans="3:25" ht="15">
      <c r="F83" s="501" t="s">
        <v>26</v>
      </c>
      <c r="G83" s="501"/>
      <c r="H83" s="501"/>
      <c r="I83" s="29">
        <v>0</v>
      </c>
    </row>
    <row r="84" spans="3:25" ht="15">
      <c r="F84" s="501" t="s">
        <v>27</v>
      </c>
      <c r="G84" s="501"/>
      <c r="H84" s="501"/>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02" t="s">
        <v>1</v>
      </c>
      <c r="I91" s="502"/>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03" t="s">
        <v>22</v>
      </c>
      <c r="G109" s="503"/>
      <c r="H109" s="503"/>
      <c r="I109" s="503"/>
    </row>
    <row r="110" spans="6:18" ht="18">
      <c r="F110" s="504" t="s">
        <v>23</v>
      </c>
      <c r="G110" s="504"/>
      <c r="H110" s="504"/>
      <c r="I110" s="29">
        <v>20</v>
      </c>
      <c r="O110" s="30"/>
    </row>
    <row r="111" spans="6:18" ht="15">
      <c r="F111" s="501" t="s">
        <v>24</v>
      </c>
      <c r="G111" s="501"/>
      <c r="H111" s="501"/>
      <c r="I111" s="29">
        <f>0.7*I110/10</f>
        <v>1.4</v>
      </c>
    </row>
    <row r="112" spans="6:18" ht="15">
      <c r="F112" s="501" t="s">
        <v>25</v>
      </c>
      <c r="G112" s="501"/>
      <c r="H112" s="501"/>
      <c r="I112" s="29">
        <v>2</v>
      </c>
    </row>
    <row r="113" spans="3:17" ht="15">
      <c r="F113" s="501" t="s">
        <v>26</v>
      </c>
      <c r="G113" s="501"/>
      <c r="H113" s="501"/>
      <c r="I113" s="29">
        <v>2</v>
      </c>
    </row>
    <row r="114" spans="3:17" ht="15">
      <c r="F114" s="501" t="s">
        <v>27</v>
      </c>
      <c r="G114" s="501"/>
      <c r="H114" s="501"/>
      <c r="I114" s="29">
        <v>2</v>
      </c>
    </row>
    <row r="115" spans="3:17" ht="15"/>
    <row r="119" spans="3:17" ht="15">
      <c r="C119" s="6" t="s">
        <v>38</v>
      </c>
      <c r="D119" s="6"/>
      <c r="E119" s="6"/>
      <c r="F119" s="8"/>
      <c r="G119" s="8"/>
      <c r="H119" s="8"/>
      <c r="I119" s="8"/>
      <c r="J119" s="9"/>
      <c r="K119" s="8"/>
      <c r="L119" s="8"/>
      <c r="M119" s="8"/>
      <c r="N119" s="9"/>
      <c r="O119" s="9"/>
      <c r="P119" s="8"/>
    </row>
    <row r="120" spans="3:17" ht="15">
      <c r="H120" s="502" t="s">
        <v>1</v>
      </c>
      <c r="I120" s="502"/>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03" t="s">
        <v>22</v>
      </c>
      <c r="G138" s="503"/>
      <c r="H138" s="503"/>
      <c r="I138" s="503"/>
    </row>
    <row r="139" spans="6:18" ht="18">
      <c r="F139" s="504" t="s">
        <v>23</v>
      </c>
      <c r="G139" s="504"/>
      <c r="H139" s="504"/>
      <c r="I139" s="29">
        <v>20</v>
      </c>
      <c r="O139" s="30"/>
    </row>
    <row r="140" spans="6:18" ht="15">
      <c r="F140" s="501" t="s">
        <v>24</v>
      </c>
      <c r="G140" s="501"/>
      <c r="H140" s="501"/>
      <c r="I140" s="29">
        <f>0.7*I139/10</f>
        <v>1.4</v>
      </c>
    </row>
    <row r="141" spans="6:18" ht="15">
      <c r="F141" s="501" t="s">
        <v>25</v>
      </c>
      <c r="G141" s="501"/>
      <c r="H141" s="501"/>
      <c r="I141" s="29">
        <v>2</v>
      </c>
    </row>
    <row r="142" spans="6:18" ht="15">
      <c r="F142" s="501" t="s">
        <v>26</v>
      </c>
      <c r="G142" s="501"/>
      <c r="H142" s="501"/>
      <c r="I142" s="29">
        <v>1</v>
      </c>
    </row>
    <row r="143" spans="6:18" ht="15">
      <c r="F143" s="501" t="s">
        <v>27</v>
      </c>
      <c r="G143" s="501"/>
      <c r="H143" s="501"/>
      <c r="I143" s="29">
        <v>1</v>
      </c>
    </row>
    <row r="144" spans="6:18" ht="15"/>
    <row r="149" spans="3:17" ht="15">
      <c r="C149" s="6" t="s">
        <v>39</v>
      </c>
      <c r="D149" s="6"/>
      <c r="E149" s="6"/>
      <c r="F149" s="8"/>
      <c r="G149" s="8"/>
      <c r="H149" s="8"/>
      <c r="I149" s="8"/>
      <c r="J149" s="9"/>
      <c r="K149" s="8"/>
      <c r="L149" s="8"/>
      <c r="M149" s="8"/>
      <c r="N149" s="9"/>
      <c r="O149" s="9"/>
      <c r="P149" s="8"/>
    </row>
    <row r="150" spans="3:17" ht="15">
      <c r="H150" s="502" t="s">
        <v>1</v>
      </c>
      <c r="I150" s="502"/>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03" t="s">
        <v>22</v>
      </c>
      <c r="G168" s="503"/>
      <c r="H168" s="503"/>
      <c r="I168" s="503"/>
    </row>
    <row r="169" spans="6:18" ht="18">
      <c r="F169" s="504" t="s">
        <v>23</v>
      </c>
      <c r="G169" s="504"/>
      <c r="H169" s="504"/>
      <c r="I169" s="29">
        <v>20</v>
      </c>
      <c r="O169" s="30"/>
    </row>
    <row r="170" spans="6:18" ht="15">
      <c r="F170" s="501" t="s">
        <v>24</v>
      </c>
      <c r="G170" s="501"/>
      <c r="H170" s="501"/>
      <c r="I170" s="29">
        <f>0.7*I169/10</f>
        <v>1.4</v>
      </c>
    </row>
    <row r="171" spans="6:18" ht="15">
      <c r="F171" s="501" t="s">
        <v>25</v>
      </c>
      <c r="G171" s="501"/>
      <c r="H171" s="501"/>
      <c r="I171" s="29">
        <v>2</v>
      </c>
    </row>
    <row r="172" spans="6:18" ht="15">
      <c r="F172" s="501" t="s">
        <v>26</v>
      </c>
      <c r="G172" s="501"/>
      <c r="H172" s="501"/>
      <c r="I172" s="29">
        <v>1</v>
      </c>
    </row>
    <row r="173" spans="6:18" ht="15">
      <c r="F173" s="501" t="s">
        <v>27</v>
      </c>
      <c r="G173" s="501"/>
      <c r="H173" s="501"/>
      <c r="I173" s="29">
        <v>1</v>
      </c>
    </row>
    <row r="174" spans="6:18" ht="15"/>
    <row r="178" spans="3:17" ht="15">
      <c r="C178" s="6" t="s">
        <v>40</v>
      </c>
      <c r="D178" s="6"/>
      <c r="E178" s="6"/>
      <c r="F178" s="8"/>
      <c r="G178" s="8"/>
      <c r="H178" s="8"/>
      <c r="I178" s="8"/>
      <c r="J178" s="9"/>
      <c r="K178" s="8"/>
      <c r="L178" s="8"/>
      <c r="M178" s="8"/>
      <c r="N178" s="9"/>
      <c r="O178" s="9"/>
      <c r="P178" s="8"/>
    </row>
    <row r="179" spans="3:17" ht="15">
      <c r="H179" s="502" t="s">
        <v>1</v>
      </c>
      <c r="I179" s="502"/>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03" t="s">
        <v>22</v>
      </c>
      <c r="G197" s="503"/>
      <c r="H197" s="503"/>
      <c r="I197" s="503"/>
    </row>
    <row r="198" spans="6:19" ht="18">
      <c r="F198" s="504" t="s">
        <v>23</v>
      </c>
      <c r="G198" s="504"/>
      <c r="H198" s="504"/>
      <c r="I198" s="29">
        <v>20</v>
      </c>
      <c r="O198" s="30"/>
    </row>
    <row r="199" spans="6:19" ht="15">
      <c r="F199" s="501" t="s">
        <v>24</v>
      </c>
      <c r="G199" s="501"/>
      <c r="H199" s="501"/>
      <c r="I199" s="29">
        <f>0.7*I198/10</f>
        <v>1.4</v>
      </c>
    </row>
    <row r="200" spans="6:19" ht="15">
      <c r="F200" s="501" t="s">
        <v>25</v>
      </c>
      <c r="G200" s="501"/>
      <c r="H200" s="501"/>
      <c r="I200" s="29">
        <v>2</v>
      </c>
    </row>
    <row r="201" spans="6:19" ht="15">
      <c r="F201" s="501" t="s">
        <v>26</v>
      </c>
      <c r="G201" s="501"/>
      <c r="H201" s="501"/>
      <c r="I201" s="29">
        <v>1</v>
      </c>
    </row>
    <row r="202" spans="6:19" ht="15">
      <c r="F202" s="501" t="s">
        <v>27</v>
      </c>
      <c r="G202" s="501"/>
      <c r="H202" s="501"/>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02" t="s">
        <v>1</v>
      </c>
      <c r="I219" s="502"/>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03" t="s">
        <v>22</v>
      </c>
      <c r="G237" s="503"/>
      <c r="H237" s="503"/>
      <c r="I237" s="503"/>
    </row>
    <row r="238" spans="6:19" ht="18">
      <c r="F238" s="504" t="s">
        <v>23</v>
      </c>
      <c r="G238" s="504"/>
      <c r="H238" s="504"/>
      <c r="I238" s="29">
        <v>20</v>
      </c>
      <c r="O238" s="30"/>
      <c r="P238" s="41" t="s">
        <v>47</v>
      </c>
      <c r="Q238" s="41"/>
      <c r="R238" s="42">
        <f>P235</f>
        <v>643.01035679999995</v>
      </c>
      <c r="S238" s="383" t="s">
        <v>42</v>
      </c>
    </row>
    <row r="239" spans="6:19" ht="15">
      <c r="F239" s="501" t="s">
        <v>24</v>
      </c>
      <c r="G239" s="501"/>
      <c r="H239" s="501"/>
      <c r="I239" s="29">
        <f>0.7*I238/10</f>
        <v>1.4</v>
      </c>
    </row>
    <row r="240" spans="6:19" ht="15">
      <c r="F240" s="501" t="s">
        <v>25</v>
      </c>
      <c r="G240" s="501"/>
      <c r="H240" s="501"/>
      <c r="I240" s="29">
        <v>2</v>
      </c>
    </row>
    <row r="241" spans="3:20" ht="15">
      <c r="F241" s="501" t="s">
        <v>26</v>
      </c>
      <c r="G241" s="501"/>
      <c r="H241" s="501"/>
      <c r="I241" s="29">
        <v>20</v>
      </c>
    </row>
    <row r="242" spans="3:20" ht="15">
      <c r="F242" s="501" t="s">
        <v>27</v>
      </c>
      <c r="G242" s="501"/>
      <c r="H242" s="501"/>
      <c r="I242" s="29">
        <v>8</v>
      </c>
    </row>
    <row r="243" spans="3:20" ht="15"/>
    <row r="246" spans="3:20" ht="15">
      <c r="C246" s="6" t="s">
        <v>48</v>
      </c>
      <c r="D246" s="6"/>
      <c r="E246" s="6"/>
      <c r="F246" s="8"/>
      <c r="G246" s="8"/>
      <c r="H246" s="8"/>
      <c r="I246" s="8"/>
      <c r="J246" s="9"/>
      <c r="K246" s="8"/>
      <c r="L246" s="8"/>
      <c r="M246" s="8"/>
      <c r="N246" s="9"/>
      <c r="O246" s="9"/>
      <c r="P246" s="8"/>
    </row>
    <row r="247" spans="3:20" ht="15">
      <c r="H247" s="502" t="s">
        <v>1</v>
      </c>
      <c r="I247" s="502"/>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03" t="s">
        <v>22</v>
      </c>
      <c r="G265" s="503"/>
      <c r="H265" s="503"/>
      <c r="I265" s="503"/>
    </row>
    <row r="266" spans="6:19" ht="18">
      <c r="F266" s="504" t="s">
        <v>23</v>
      </c>
      <c r="G266" s="504"/>
      <c r="H266" s="504"/>
      <c r="I266" s="29">
        <v>20</v>
      </c>
      <c r="O266" s="30"/>
    </row>
    <row r="267" spans="6:19" ht="15">
      <c r="F267" s="501" t="s">
        <v>24</v>
      </c>
      <c r="G267" s="501"/>
      <c r="H267" s="501"/>
      <c r="I267" s="29">
        <f>0.7*I266/10</f>
        <v>1.4</v>
      </c>
    </row>
    <row r="268" spans="6:19" ht="15">
      <c r="F268" s="501" t="s">
        <v>25</v>
      </c>
      <c r="G268" s="501"/>
      <c r="H268" s="501"/>
      <c r="I268" s="29">
        <v>2</v>
      </c>
    </row>
    <row r="269" spans="6:19" ht="15">
      <c r="F269" s="501" t="s">
        <v>63</v>
      </c>
      <c r="G269" s="501"/>
      <c r="H269" s="501"/>
      <c r="I269" s="70">
        <v>6</v>
      </c>
    </row>
    <row r="270" spans="6:19" ht="15">
      <c r="F270" s="501" t="s">
        <v>71</v>
      </c>
      <c r="G270" s="501"/>
      <c r="H270" s="501"/>
      <c r="I270" s="70">
        <v>4</v>
      </c>
    </row>
    <row r="275" spans="3:20" ht="15">
      <c r="C275" s="6">
        <v>23149</v>
      </c>
      <c r="D275" s="6"/>
      <c r="E275" s="6"/>
      <c r="F275" s="8"/>
      <c r="G275" s="8"/>
      <c r="H275" s="8"/>
      <c r="I275" s="8"/>
      <c r="J275" s="9"/>
      <c r="K275" s="8"/>
      <c r="L275" s="8"/>
      <c r="M275" s="8"/>
      <c r="N275" s="9"/>
      <c r="O275" s="9"/>
      <c r="P275" s="8"/>
    </row>
    <row r="276" spans="3:20" ht="15">
      <c r="H276" s="502" t="s">
        <v>1</v>
      </c>
      <c r="I276" s="502"/>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03" t="s">
        <v>22</v>
      </c>
      <c r="G294" s="503"/>
      <c r="H294" s="503"/>
      <c r="I294" s="503"/>
    </row>
    <row r="295" spans="3:21" ht="18">
      <c r="F295" s="504" t="s">
        <v>23</v>
      </c>
      <c r="G295" s="504"/>
      <c r="H295" s="504"/>
      <c r="I295" s="29">
        <v>20</v>
      </c>
      <c r="O295" s="30"/>
      <c r="P295">
        <f>1030/60</f>
        <v>17.166666666666668</v>
      </c>
      <c r="Q295">
        <f>12+619/60</f>
        <v>22.316666666666666</v>
      </c>
      <c r="R295">
        <f>17.5+22.32-24</f>
        <v>15.82</v>
      </c>
    </row>
    <row r="296" spans="3:21" ht="15">
      <c r="F296" s="501" t="s">
        <v>24</v>
      </c>
      <c r="G296" s="501"/>
      <c r="H296" s="501"/>
      <c r="I296" s="29">
        <f>0.7*I295/10</f>
        <v>1.4</v>
      </c>
      <c r="N296" s="3">
        <f>1.6*3+23.4+143</f>
        <v>171.2</v>
      </c>
    </row>
    <row r="297" spans="3:21" ht="15">
      <c r="F297" s="501" t="s">
        <v>25</v>
      </c>
      <c r="G297" s="501"/>
      <c r="H297" s="501"/>
      <c r="I297" s="29">
        <v>2</v>
      </c>
      <c r="N297" s="3">
        <f>1.6*3+23.4</f>
        <v>28.2</v>
      </c>
      <c r="P297">
        <f>12*13</f>
        <v>156</v>
      </c>
      <c r="Q297">
        <f>15.2+1.6+156</f>
        <v>172.8</v>
      </c>
    </row>
    <row r="298" spans="3:21" ht="15">
      <c r="F298" s="501" t="s">
        <v>63</v>
      </c>
      <c r="G298" s="501"/>
      <c r="H298" s="501"/>
      <c r="I298" s="70">
        <v>6</v>
      </c>
      <c r="P298">
        <f>12-(2+19.5/24)</f>
        <v>9.1875</v>
      </c>
    </row>
    <row r="299" spans="3:21" ht="15">
      <c r="F299" s="501" t="s">
        <v>71</v>
      </c>
      <c r="G299" s="501"/>
      <c r="H299" s="501"/>
      <c r="I299" s="70">
        <v>4</v>
      </c>
    </row>
    <row r="301" spans="3:21" ht="15">
      <c r="C301" s="6">
        <v>23212</v>
      </c>
      <c r="D301" s="6"/>
      <c r="E301" s="6"/>
      <c r="F301" s="8"/>
      <c r="G301" s="8"/>
      <c r="H301" s="8"/>
      <c r="I301" s="8"/>
      <c r="J301" s="9"/>
      <c r="K301" s="8"/>
      <c r="L301" s="8"/>
      <c r="M301" s="8"/>
      <c r="N301" s="9"/>
      <c r="O301" s="9"/>
      <c r="P301" s="8"/>
      <c r="Q301">
        <f>11*13</f>
        <v>143</v>
      </c>
    </row>
    <row r="302" spans="3:21" ht="15">
      <c r="H302" s="502" t="s">
        <v>1</v>
      </c>
      <c r="I302" s="502"/>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03" t="s">
        <v>22</v>
      </c>
      <c r="G320" s="503"/>
      <c r="H320" s="503"/>
      <c r="I320" s="503"/>
    </row>
    <row r="321" spans="3:21" ht="18">
      <c r="F321" s="504" t="s">
        <v>23</v>
      </c>
      <c r="G321" s="504"/>
      <c r="H321" s="504"/>
      <c r="I321" s="29">
        <v>20</v>
      </c>
      <c r="O321" s="30"/>
    </row>
    <row r="322" spans="3:21" ht="15">
      <c r="F322" s="501" t="s">
        <v>24</v>
      </c>
      <c r="G322" s="501"/>
      <c r="H322" s="501"/>
      <c r="I322" s="29">
        <f>0.7*I321/10</f>
        <v>1.4</v>
      </c>
    </row>
    <row r="323" spans="3:21" ht="15">
      <c r="F323" s="501" t="s">
        <v>25</v>
      </c>
      <c r="G323" s="501"/>
      <c r="H323" s="501"/>
      <c r="I323" s="29">
        <v>2</v>
      </c>
    </row>
    <row r="324" spans="3:21" ht="15">
      <c r="F324" s="501" t="s">
        <v>63</v>
      </c>
      <c r="G324" s="501"/>
      <c r="H324" s="501"/>
      <c r="I324" s="70">
        <v>6</v>
      </c>
    </row>
    <row r="325" spans="3:21" ht="15">
      <c r="F325" s="501" t="s">
        <v>71</v>
      </c>
      <c r="G325" s="501"/>
      <c r="H325" s="501"/>
      <c r="I325" s="70">
        <v>4</v>
      </c>
    </row>
    <row r="327" spans="3:21" ht="15">
      <c r="C327" s="6">
        <v>23233</v>
      </c>
      <c r="D327" s="6"/>
      <c r="E327" s="6"/>
      <c r="F327" s="8"/>
      <c r="G327" s="8"/>
      <c r="H327" s="8"/>
      <c r="I327" s="8"/>
      <c r="J327" s="9"/>
      <c r="K327" s="8"/>
      <c r="L327" s="8"/>
      <c r="M327" s="8"/>
      <c r="N327" s="9"/>
      <c r="O327" s="9"/>
      <c r="P327" s="8"/>
      <c r="Q327">
        <f>11*13</f>
        <v>143</v>
      </c>
    </row>
    <row r="328" spans="3:21" ht="15">
      <c r="H328" s="502" t="s">
        <v>1</v>
      </c>
      <c r="I328" s="502"/>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03" t="s">
        <v>22</v>
      </c>
      <c r="G346" s="503"/>
      <c r="H346" s="503"/>
      <c r="I346" s="503"/>
    </row>
    <row r="347" spans="6:19" ht="18">
      <c r="F347" s="504" t="s">
        <v>23</v>
      </c>
      <c r="G347" s="504"/>
      <c r="H347" s="504"/>
      <c r="I347" s="29">
        <v>20</v>
      </c>
      <c r="N347" s="3">
        <f>13*5</f>
        <v>65</v>
      </c>
      <c r="O347" s="30"/>
      <c r="P347">
        <f>26+1.6+78</f>
        <v>105.6</v>
      </c>
    </row>
    <row r="348" spans="6:19" ht="15">
      <c r="F348" s="501" t="s">
        <v>24</v>
      </c>
      <c r="G348" s="501"/>
      <c r="H348" s="501"/>
      <c r="I348" s="29">
        <f>0.7*I347/10</f>
        <v>1.4</v>
      </c>
      <c r="N348" s="3">
        <f>13*6</f>
        <v>78</v>
      </c>
      <c r="P348">
        <f>13*5</f>
        <v>65</v>
      </c>
    </row>
    <row r="349" spans="6:19" ht="15">
      <c r="F349" s="501" t="s">
        <v>25</v>
      </c>
      <c r="G349" s="501"/>
      <c r="H349" s="501"/>
      <c r="I349" s="29">
        <v>2</v>
      </c>
    </row>
    <row r="350" spans="6:19" ht="15">
      <c r="F350" s="501" t="s">
        <v>63</v>
      </c>
      <c r="G350" s="501"/>
      <c r="H350" s="501"/>
      <c r="I350" s="70">
        <v>6</v>
      </c>
    </row>
    <row r="351" spans="6:19" ht="15">
      <c r="F351" s="501" t="s">
        <v>71</v>
      </c>
      <c r="G351" s="501"/>
      <c r="H351" s="501"/>
      <c r="I351" s="70">
        <v>4</v>
      </c>
    </row>
    <row r="354" spans="3:21" ht="15">
      <c r="C354" s="6">
        <v>23245</v>
      </c>
      <c r="D354" s="6"/>
      <c r="E354" s="6"/>
      <c r="F354" s="8"/>
      <c r="G354" s="8"/>
      <c r="H354" s="8"/>
      <c r="I354" s="8"/>
      <c r="J354" s="9"/>
      <c r="K354" s="8"/>
      <c r="L354" s="8"/>
      <c r="M354" s="8"/>
      <c r="N354" s="9"/>
      <c r="O354" s="9"/>
      <c r="P354" s="8"/>
      <c r="Q354">
        <f>11*13</f>
        <v>143</v>
      </c>
    </row>
    <row r="355" spans="3:21" ht="15">
      <c r="H355" s="502" t="s">
        <v>1</v>
      </c>
      <c r="I355" s="502"/>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03" t="s">
        <v>22</v>
      </c>
      <c r="G373" s="503"/>
      <c r="H373" s="503"/>
      <c r="I373" s="503"/>
    </row>
    <row r="374" spans="3:21" ht="18">
      <c r="F374" s="504" t="s">
        <v>23</v>
      </c>
      <c r="G374" s="504"/>
      <c r="H374" s="504"/>
      <c r="I374" s="29">
        <v>20</v>
      </c>
      <c r="N374" s="3">
        <f>13*5</f>
        <v>65</v>
      </c>
      <c r="O374" s="30"/>
      <c r="P374">
        <f>26+1.6+78</f>
        <v>105.6</v>
      </c>
    </row>
    <row r="375" spans="3:21" ht="15">
      <c r="F375" s="501" t="s">
        <v>24</v>
      </c>
      <c r="G375" s="501"/>
      <c r="H375" s="501"/>
      <c r="I375" s="29">
        <f>0.7*I374/10</f>
        <v>1.4</v>
      </c>
      <c r="N375" s="3">
        <f>13*6</f>
        <v>78</v>
      </c>
      <c r="P375">
        <f>13*5</f>
        <v>65</v>
      </c>
    </row>
    <row r="376" spans="3:21" ht="15">
      <c r="F376" s="501" t="s">
        <v>25</v>
      </c>
      <c r="G376" s="501"/>
      <c r="H376" s="501"/>
      <c r="I376" s="29">
        <v>2</v>
      </c>
    </row>
    <row r="377" spans="3:21" ht="15">
      <c r="F377" s="501" t="s">
        <v>63</v>
      </c>
      <c r="G377" s="501"/>
      <c r="H377" s="501"/>
      <c r="I377" s="70">
        <v>6</v>
      </c>
    </row>
    <row r="378" spans="3:21" ht="15">
      <c r="F378" s="501" t="s">
        <v>71</v>
      </c>
      <c r="G378" s="501"/>
      <c r="H378" s="501"/>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02" t="s">
        <v>1</v>
      </c>
      <c r="I383" s="502"/>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03" t="s">
        <v>22</v>
      </c>
      <c r="G401" s="503"/>
      <c r="H401" s="503"/>
      <c r="I401" s="503"/>
    </row>
    <row r="402" spans="3:19" ht="18">
      <c r="F402" s="504" t="s">
        <v>23</v>
      </c>
      <c r="G402" s="504"/>
      <c r="H402" s="504"/>
      <c r="I402" s="29">
        <v>20</v>
      </c>
      <c r="O402" s="30"/>
    </row>
    <row r="403" spans="3:19" ht="15">
      <c r="F403" s="501" t="s">
        <v>24</v>
      </c>
      <c r="G403" s="501"/>
      <c r="H403" s="501"/>
      <c r="I403" s="29">
        <f>0.7*I402/10</f>
        <v>1.4</v>
      </c>
    </row>
    <row r="404" spans="3:19" ht="15">
      <c r="F404" s="501" t="s">
        <v>25</v>
      </c>
      <c r="G404" s="501"/>
      <c r="H404" s="501"/>
      <c r="I404" s="29">
        <v>2</v>
      </c>
    </row>
    <row r="405" spans="3:19" ht="15">
      <c r="F405" s="501" t="s">
        <v>63</v>
      </c>
      <c r="G405" s="501"/>
      <c r="H405" s="501"/>
      <c r="I405" s="70">
        <v>6</v>
      </c>
    </row>
    <row r="406" spans="3:19" ht="15">
      <c r="F406" s="501" t="s">
        <v>71</v>
      </c>
      <c r="G406" s="501"/>
      <c r="H406" s="501"/>
      <c r="I406" s="70">
        <v>4</v>
      </c>
    </row>
    <row r="413" spans="3:19" ht="15">
      <c r="C413" s="6">
        <v>23275</v>
      </c>
      <c r="D413" s="6"/>
      <c r="E413" s="6"/>
      <c r="F413" s="8"/>
      <c r="G413" s="8"/>
      <c r="H413" s="8"/>
      <c r="I413" s="8"/>
      <c r="J413" s="9"/>
      <c r="K413" s="8"/>
      <c r="L413" s="8"/>
      <c r="M413" s="8"/>
      <c r="N413" s="9"/>
      <c r="O413" s="9"/>
      <c r="P413" s="8"/>
      <c r="Q413">
        <f>11*13</f>
        <v>143</v>
      </c>
    </row>
    <row r="414" spans="3:19" ht="15">
      <c r="H414" s="502" t="s">
        <v>1</v>
      </c>
      <c r="I414" s="502"/>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03" t="s">
        <v>22</v>
      </c>
      <c r="G432" s="503"/>
      <c r="H432" s="503"/>
      <c r="I432" s="503"/>
    </row>
    <row r="433" spans="3:21" ht="18">
      <c r="F433" s="504" t="s">
        <v>23</v>
      </c>
      <c r="G433" s="504"/>
      <c r="H433" s="504"/>
      <c r="I433" s="29">
        <v>20</v>
      </c>
      <c r="O433" s="30"/>
    </row>
    <row r="434" spans="3:21" ht="15">
      <c r="F434" s="501" t="s">
        <v>24</v>
      </c>
      <c r="G434" s="501"/>
      <c r="H434" s="501"/>
      <c r="I434" s="29">
        <f>0.7*I433/10</f>
        <v>1.4</v>
      </c>
    </row>
    <row r="435" spans="3:21" ht="15">
      <c r="F435" s="501" t="s">
        <v>25</v>
      </c>
      <c r="G435" s="501"/>
      <c r="H435" s="501"/>
      <c r="I435" s="29">
        <v>2</v>
      </c>
    </row>
    <row r="436" spans="3:21" ht="15">
      <c r="F436" s="501" t="s">
        <v>63</v>
      </c>
      <c r="G436" s="501"/>
      <c r="H436" s="501"/>
      <c r="I436" s="70">
        <v>6</v>
      </c>
    </row>
    <row r="437" spans="3:21" ht="15">
      <c r="F437" s="501" t="s">
        <v>71</v>
      </c>
      <c r="G437" s="501"/>
      <c r="H437" s="501"/>
      <c r="I437" s="70">
        <v>4</v>
      </c>
    </row>
    <row r="442" spans="3:21" ht="15">
      <c r="C442" s="6">
        <v>23296</v>
      </c>
      <c r="D442" s="6"/>
      <c r="E442" s="6"/>
      <c r="F442" s="8"/>
      <c r="G442" s="8"/>
      <c r="H442" s="8"/>
      <c r="I442" s="8"/>
      <c r="J442" s="9"/>
      <c r="K442" s="8"/>
      <c r="L442" s="8"/>
      <c r="M442" s="8"/>
      <c r="N442" s="9"/>
      <c r="O442" s="9"/>
      <c r="P442" s="8"/>
      <c r="Q442">
        <f>11*13</f>
        <v>143</v>
      </c>
    </row>
    <row r="443" spans="3:21" ht="15">
      <c r="H443" s="502" t="s">
        <v>1</v>
      </c>
      <c r="I443" s="502"/>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03" t="s">
        <v>22</v>
      </c>
      <c r="G461" s="503"/>
      <c r="H461" s="503"/>
      <c r="I461" s="503"/>
    </row>
    <row r="462" spans="6:20" ht="18">
      <c r="F462" s="504" t="s">
        <v>23</v>
      </c>
      <c r="G462" s="504"/>
      <c r="H462" s="504"/>
      <c r="I462" s="29">
        <v>20</v>
      </c>
      <c r="O462" s="30"/>
    </row>
    <row r="463" spans="6:20" ht="15">
      <c r="F463" s="501" t="s">
        <v>24</v>
      </c>
      <c r="G463" s="501"/>
      <c r="H463" s="501"/>
      <c r="I463" s="29">
        <f>0.7*I462/10</f>
        <v>1.4</v>
      </c>
    </row>
    <row r="464" spans="6:20" ht="15">
      <c r="F464" s="501" t="s">
        <v>25</v>
      </c>
      <c r="G464" s="501"/>
      <c r="H464" s="501"/>
      <c r="I464" s="29">
        <v>2</v>
      </c>
    </row>
    <row r="465" spans="3:21" ht="15">
      <c r="F465" s="501" t="s">
        <v>63</v>
      </c>
      <c r="G465" s="501"/>
      <c r="H465" s="501"/>
      <c r="I465" s="70">
        <v>6</v>
      </c>
    </row>
    <row r="466" spans="3:21" ht="15">
      <c r="F466" s="501" t="s">
        <v>71</v>
      </c>
      <c r="G466" s="501"/>
      <c r="H466" s="501"/>
      <c r="I466" s="70">
        <v>4</v>
      </c>
    </row>
    <row r="470" spans="3:21" ht="15">
      <c r="C470" s="6">
        <v>23317</v>
      </c>
      <c r="D470" s="6"/>
      <c r="E470" s="6"/>
      <c r="F470" s="8"/>
      <c r="G470" s="8"/>
      <c r="H470" s="8"/>
      <c r="I470" s="8"/>
      <c r="J470" s="9"/>
      <c r="K470" s="8"/>
      <c r="L470" s="8"/>
      <c r="M470" s="8"/>
      <c r="N470" s="9"/>
      <c r="O470" s="9"/>
      <c r="P470" s="8"/>
      <c r="Q470">
        <f>11*13</f>
        <v>143</v>
      </c>
    </row>
    <row r="471" spans="3:21" ht="15">
      <c r="H471" s="502" t="s">
        <v>1</v>
      </c>
      <c r="I471" s="502"/>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03" t="s">
        <v>22</v>
      </c>
      <c r="G489" s="503"/>
      <c r="H489" s="503"/>
      <c r="I489" s="503"/>
    </row>
    <row r="490" spans="6:19" ht="18">
      <c r="F490" s="504" t="s">
        <v>23</v>
      </c>
      <c r="G490" s="504"/>
      <c r="H490" s="504"/>
      <c r="I490" s="29">
        <v>20</v>
      </c>
      <c r="O490" s="30"/>
    </row>
    <row r="491" spans="6:19" ht="15">
      <c r="F491" s="501" t="s">
        <v>24</v>
      </c>
      <c r="G491" s="501"/>
      <c r="H491" s="501"/>
      <c r="I491" s="29">
        <f>0.7*I490/10</f>
        <v>1.4</v>
      </c>
    </row>
    <row r="492" spans="6:19" ht="15">
      <c r="F492" s="501" t="s">
        <v>25</v>
      </c>
      <c r="G492" s="501"/>
      <c r="H492" s="501"/>
      <c r="I492" s="29">
        <v>2</v>
      </c>
    </row>
    <row r="493" spans="6:19" ht="15">
      <c r="F493" s="501" t="s">
        <v>63</v>
      </c>
      <c r="G493" s="501"/>
      <c r="H493" s="501"/>
      <c r="I493" s="70">
        <v>6</v>
      </c>
    </row>
    <row r="494" spans="6:19" ht="15">
      <c r="F494" s="501" t="s">
        <v>71</v>
      </c>
      <c r="G494" s="501"/>
      <c r="H494" s="501"/>
      <c r="I494" s="70">
        <v>4</v>
      </c>
    </row>
    <row r="498" spans="3:21" ht="15">
      <c r="C498" s="6">
        <v>23338</v>
      </c>
      <c r="D498" s="6"/>
      <c r="E498" s="6"/>
      <c r="F498" s="8"/>
      <c r="G498" s="8"/>
      <c r="H498" s="8"/>
      <c r="I498" s="8"/>
      <c r="J498" s="9"/>
      <c r="K498" s="8"/>
      <c r="L498" s="8"/>
      <c r="M498" s="8"/>
      <c r="N498" s="9"/>
      <c r="O498" s="9"/>
      <c r="P498" s="8"/>
      <c r="Q498">
        <f>11*13</f>
        <v>143</v>
      </c>
    </row>
    <row r="499" spans="3:21" ht="15">
      <c r="H499" s="502" t="s">
        <v>1</v>
      </c>
      <c r="I499" s="502"/>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03" t="s">
        <v>22</v>
      </c>
      <c r="G517" s="503"/>
      <c r="H517" s="503"/>
      <c r="I517" s="503"/>
    </row>
    <row r="518" spans="3:19" ht="18">
      <c r="F518" s="504" t="s">
        <v>23</v>
      </c>
      <c r="G518" s="504"/>
      <c r="H518" s="504"/>
      <c r="I518" s="29">
        <v>20</v>
      </c>
      <c r="O518" s="30"/>
    </row>
    <row r="519" spans="3:19" ht="15">
      <c r="F519" s="501" t="s">
        <v>24</v>
      </c>
      <c r="G519" s="501"/>
      <c r="H519" s="501"/>
      <c r="I519" s="29">
        <f>0.7*I518/10</f>
        <v>1.4</v>
      </c>
    </row>
    <row r="520" spans="3:19" ht="15">
      <c r="F520" s="501" t="s">
        <v>25</v>
      </c>
      <c r="G520" s="501"/>
      <c r="H520" s="501"/>
      <c r="I520" s="29">
        <v>2</v>
      </c>
    </row>
    <row r="521" spans="3:19" ht="15">
      <c r="F521" s="501" t="s">
        <v>63</v>
      </c>
      <c r="G521" s="501"/>
      <c r="H521" s="501"/>
      <c r="I521" s="70">
        <v>6</v>
      </c>
    </row>
    <row r="522" spans="3:19" ht="15">
      <c r="F522" s="501" t="s">
        <v>71</v>
      </c>
      <c r="G522" s="501"/>
      <c r="H522" s="501"/>
      <c r="I522" s="70">
        <v>4</v>
      </c>
    </row>
    <row r="527" spans="3:19" ht="15">
      <c r="C527" s="6">
        <v>24015</v>
      </c>
      <c r="D527" s="6"/>
      <c r="E527" s="6"/>
      <c r="F527" s="8"/>
      <c r="G527" s="8"/>
      <c r="H527" s="8"/>
      <c r="I527" s="8"/>
      <c r="J527" s="9"/>
      <c r="K527" s="8"/>
      <c r="L527" s="8"/>
      <c r="M527" s="8"/>
      <c r="N527" s="9"/>
      <c r="O527" s="9"/>
      <c r="P527" s="8"/>
      <c r="Q527">
        <f>11*13</f>
        <v>143</v>
      </c>
    </row>
    <row r="528" spans="3:19" ht="15">
      <c r="H528" s="502" t="s">
        <v>1</v>
      </c>
      <c r="I528" s="502"/>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03" t="s">
        <v>22</v>
      </c>
      <c r="G546" s="503"/>
      <c r="H546" s="503"/>
      <c r="I546" s="503"/>
    </row>
    <row r="547" spans="3:19" ht="18">
      <c r="F547" s="504" t="s">
        <v>23</v>
      </c>
      <c r="G547" s="504"/>
      <c r="H547" s="504"/>
      <c r="I547" s="29">
        <v>20</v>
      </c>
      <c r="O547" s="30"/>
    </row>
    <row r="548" spans="3:19" ht="15">
      <c r="F548" s="501" t="s">
        <v>24</v>
      </c>
      <c r="G548" s="501"/>
      <c r="H548" s="501"/>
      <c r="I548" s="29">
        <f>0.7*I547/10</f>
        <v>1.4</v>
      </c>
    </row>
    <row r="549" spans="3:19" ht="15">
      <c r="F549" s="501" t="s">
        <v>25</v>
      </c>
      <c r="G549" s="501"/>
      <c r="H549" s="501"/>
      <c r="I549" s="29">
        <v>2</v>
      </c>
    </row>
    <row r="550" spans="3:19" ht="15">
      <c r="F550" s="501" t="s">
        <v>63</v>
      </c>
      <c r="G550" s="501"/>
      <c r="H550" s="501"/>
      <c r="I550" s="70">
        <v>6</v>
      </c>
    </row>
    <row r="551" spans="3:19" ht="15">
      <c r="F551" s="501" t="s">
        <v>71</v>
      </c>
      <c r="G551" s="501"/>
      <c r="H551" s="501"/>
      <c r="I551" s="70">
        <v>4</v>
      </c>
    </row>
    <row r="557" spans="3:19" ht="15">
      <c r="C557" s="6">
        <v>24036</v>
      </c>
      <c r="D557" s="6"/>
      <c r="E557" s="6"/>
      <c r="F557" s="8"/>
      <c r="G557" s="8"/>
      <c r="H557" s="8"/>
      <c r="I557" s="8"/>
      <c r="J557" s="9"/>
      <c r="K557" s="8"/>
      <c r="L557" s="8"/>
      <c r="M557" s="8"/>
      <c r="N557" s="9"/>
      <c r="O557" s="9"/>
      <c r="P557" s="8"/>
      <c r="Q557">
        <f>11*13</f>
        <v>143</v>
      </c>
    </row>
    <row r="558" spans="3:19" ht="15">
      <c r="H558" s="502" t="s">
        <v>1</v>
      </c>
      <c r="I558" s="502"/>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03" t="s">
        <v>22</v>
      </c>
      <c r="G576" s="503"/>
      <c r="H576" s="503"/>
      <c r="I576" s="503"/>
    </row>
    <row r="577" spans="3:20" ht="18">
      <c r="F577" s="504" t="s">
        <v>23</v>
      </c>
      <c r="G577" s="504"/>
      <c r="H577" s="504"/>
      <c r="I577" s="29">
        <v>20</v>
      </c>
      <c r="O577" s="30"/>
    </row>
    <row r="578" spans="3:20" ht="15">
      <c r="F578" s="501" t="s">
        <v>24</v>
      </c>
      <c r="G578" s="501"/>
      <c r="H578" s="501"/>
      <c r="I578" s="29">
        <f>0.7*I577/10</f>
        <v>1.4</v>
      </c>
    </row>
    <row r="579" spans="3:20" ht="15">
      <c r="F579" s="501" t="s">
        <v>25</v>
      </c>
      <c r="G579" s="501"/>
      <c r="H579" s="501"/>
      <c r="I579" s="29">
        <v>2</v>
      </c>
    </row>
    <row r="580" spans="3:20" ht="15">
      <c r="F580" s="501" t="s">
        <v>63</v>
      </c>
      <c r="G580" s="501"/>
      <c r="H580" s="501"/>
      <c r="I580" s="70">
        <v>6</v>
      </c>
    </row>
    <row r="581" spans="3:20" ht="15">
      <c r="F581" s="501" t="s">
        <v>71</v>
      </c>
      <c r="G581" s="501"/>
      <c r="H581" s="501"/>
      <c r="I581" s="70">
        <v>4</v>
      </c>
    </row>
    <row r="587" spans="3:20" ht="15">
      <c r="C587" s="6">
        <v>24057</v>
      </c>
      <c r="D587" s="6"/>
      <c r="E587" s="6"/>
      <c r="F587" s="8"/>
      <c r="G587" s="8"/>
      <c r="H587" s="8"/>
      <c r="I587" s="8"/>
      <c r="J587" s="9"/>
      <c r="K587" s="8"/>
      <c r="L587" s="8"/>
      <c r="M587" s="8"/>
      <c r="N587" s="9"/>
      <c r="O587" s="9"/>
      <c r="P587" s="8"/>
      <c r="Q587">
        <f>11*13</f>
        <v>143</v>
      </c>
    </row>
    <row r="588" spans="3:20" ht="15">
      <c r="H588" s="502" t="s">
        <v>1</v>
      </c>
      <c r="I588" s="502"/>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03" t="s">
        <v>22</v>
      </c>
      <c r="G606" s="503"/>
      <c r="H606" s="503"/>
      <c r="I606" s="503"/>
    </row>
    <row r="607" spans="6:21" ht="18">
      <c r="F607" s="504" t="s">
        <v>23</v>
      </c>
      <c r="G607" s="504"/>
      <c r="H607" s="504"/>
      <c r="I607" s="29">
        <v>20</v>
      </c>
      <c r="O607" s="30"/>
    </row>
    <row r="608" spans="6:21" ht="15">
      <c r="F608" s="501" t="s">
        <v>24</v>
      </c>
      <c r="G608" s="501"/>
      <c r="H608" s="501"/>
      <c r="I608" s="29">
        <f>0.7*I607/10</f>
        <v>1.4</v>
      </c>
      <c r="R608">
        <v>78</v>
      </c>
    </row>
    <row r="609" spans="3:23" ht="15">
      <c r="F609" s="501" t="s">
        <v>25</v>
      </c>
      <c r="G609" s="501"/>
      <c r="H609" s="501"/>
      <c r="I609" s="29">
        <v>2</v>
      </c>
      <c r="P609" t="s">
        <v>1940</v>
      </c>
      <c r="R609">
        <f>10*2.3</f>
        <v>23</v>
      </c>
      <c r="S609">
        <f>R609+R608</f>
        <v>101</v>
      </c>
    </row>
    <row r="610" spans="3:23" ht="15">
      <c r="F610" s="501" t="s">
        <v>63</v>
      </c>
      <c r="G610" s="501"/>
      <c r="H610" s="501"/>
      <c r="I610" s="70">
        <v>6</v>
      </c>
      <c r="P610">
        <f>366-277.25+83</f>
        <v>171.75</v>
      </c>
      <c r="R610">
        <f>366-276.8</f>
        <v>89.199999999999989</v>
      </c>
    </row>
    <row r="611" spans="3:23" ht="15">
      <c r="F611" s="501" t="s">
        <v>71</v>
      </c>
      <c r="G611" s="501"/>
      <c r="H611" s="501"/>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02" t="s">
        <v>1</v>
      </c>
      <c r="I615" s="502"/>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03" t="s">
        <v>22</v>
      </c>
      <c r="G633" s="503"/>
      <c r="H633" s="503"/>
      <c r="I633" s="503"/>
    </row>
    <row r="634" spans="6:21" ht="18">
      <c r="F634" s="504" t="s">
        <v>23</v>
      </c>
      <c r="G634" s="504"/>
      <c r="H634" s="504"/>
      <c r="I634" s="29">
        <v>20</v>
      </c>
      <c r="O634" s="30"/>
    </row>
    <row r="635" spans="6:21" ht="15">
      <c r="F635" s="501" t="s">
        <v>24</v>
      </c>
      <c r="G635" s="501"/>
      <c r="H635" s="501"/>
      <c r="I635" s="29">
        <f>0.7*I634/10</f>
        <v>1.4</v>
      </c>
    </row>
    <row r="636" spans="6:21" ht="15">
      <c r="F636" s="501" t="s">
        <v>25</v>
      </c>
      <c r="G636" s="501"/>
      <c r="H636" s="501"/>
      <c r="I636" s="29">
        <v>2</v>
      </c>
    </row>
    <row r="637" spans="6:21" ht="15">
      <c r="F637" s="501" t="s">
        <v>63</v>
      </c>
      <c r="G637" s="501"/>
      <c r="H637" s="501"/>
      <c r="I637" s="70">
        <v>6</v>
      </c>
    </row>
    <row r="638" spans="6:21" ht="15">
      <c r="F638" s="501" t="s">
        <v>71</v>
      </c>
      <c r="G638" s="501"/>
      <c r="H638" s="501"/>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2026-07-10T04:21:33Z</dcterms:modified>
  <dc:language>en-US</dc:language>
</cp:coreProperties>
</file>